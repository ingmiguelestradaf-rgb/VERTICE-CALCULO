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álogo" sheetId="2" state="visible" r:id="rId2"/>
    <sheet xmlns:r="http://schemas.openxmlformats.org/officeDocument/2006/relationships" name="Sobrecosto" sheetId="3" state="visible" r:id="rId3"/>
    <sheet xmlns:r="http://schemas.openxmlformats.org/officeDocument/2006/relationships" name="APU" sheetId="4" state="visible" r:id="rId4"/>
    <sheet xmlns:r="http://schemas.openxmlformats.org/officeDocument/2006/relationships" name="Insum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$&quot;#,##0.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23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Resumen por partida — Casa habitación 2 niveles — ejemplo</t>
        </is>
      </c>
    </row>
    <row r="3">
      <c r="A3" s="2" t="inlineStr">
        <is>
          <t>Partida</t>
        </is>
      </c>
      <c r="B3" s="2" t="inlineStr">
        <is>
          <t>Importe sin IVA</t>
        </is>
      </c>
      <c r="C3" s="2" t="inlineStr">
        <is>
          <t>% del total</t>
        </is>
      </c>
      <c r="D3" s="2" t="inlineStr">
        <is>
          <t>Costo por m²</t>
        </is>
      </c>
    </row>
    <row r="4">
      <c r="A4" t="inlineStr">
        <is>
          <t>Cimentación</t>
        </is>
      </c>
      <c r="B4" s="3">
        <f>SUMIF('Catálogo'!A5:A23,A4,'Catálogo'!H5:H23)</f>
        <v/>
      </c>
      <c r="C4" s="4">
        <f>B4/B9</f>
        <v/>
      </c>
      <c r="D4" s="3">
        <f>IF(160&gt;0,B4/160,0)</f>
        <v/>
      </c>
    </row>
    <row r="5">
      <c r="A5" t="inlineStr">
        <is>
          <t>Estructura</t>
        </is>
      </c>
      <c r="B5" s="3">
        <f>SUMIF('Catálogo'!A5:A23,A5,'Catálogo'!H5:H23)</f>
        <v/>
      </c>
      <c r="C5" s="4">
        <f>B5/B9</f>
        <v/>
      </c>
      <c r="D5" s="3">
        <f>IF(160&gt;0,B5/160,0)</f>
        <v/>
      </c>
    </row>
    <row r="6">
      <c r="A6" t="inlineStr">
        <is>
          <t>Albañilería</t>
        </is>
      </c>
      <c r="B6" s="3">
        <f>SUMIF('Catálogo'!A5:A23,A6,'Catálogo'!H5:H23)</f>
        <v/>
      </c>
      <c r="C6" s="4">
        <f>B6/B9</f>
        <v/>
      </c>
      <c r="D6" s="3">
        <f>IF(160&gt;0,B6/160,0)</f>
        <v/>
      </c>
    </row>
    <row r="7">
      <c r="A7" t="inlineStr">
        <is>
          <t>Acabados</t>
        </is>
      </c>
      <c r="B7" s="3">
        <f>SUMIF('Catálogo'!A5:A23,A7,'Catálogo'!H5:H23)</f>
        <v/>
      </c>
      <c r="C7" s="4">
        <f>B7/B9</f>
        <v/>
      </c>
      <c r="D7" s="3">
        <f>IF(160&gt;0,B7/160,0)</f>
        <v/>
      </c>
    </row>
    <row r="8">
      <c r="A8" t="inlineStr">
        <is>
          <t>Instalaciones</t>
        </is>
      </c>
      <c r="B8" s="3">
        <f>SUMIF('Catálogo'!A5:A23,A8,'Catálogo'!H5:H23)</f>
        <v/>
      </c>
      <c r="C8" s="4">
        <f>B8/B9</f>
        <v/>
      </c>
      <c r="D8" s="3">
        <f>IF(160&gt;0,B8/160,0)</f>
        <v/>
      </c>
    </row>
    <row r="9">
      <c r="A9" s="5" t="inlineStr">
        <is>
          <t>Total sin IVA</t>
        </is>
      </c>
      <c r="B9" s="3">
        <f>SUM(B4:B8)</f>
        <v/>
      </c>
      <c r="D9" s="3">
        <f>IF(160&gt;0,B9/160,0)</f>
        <v/>
      </c>
    </row>
    <row r="10">
      <c r="A10" s="5" t="inlineStr">
        <is>
          <t>Total con IVA</t>
        </is>
      </c>
      <c r="B10" s="3">
        <f>B9*(1+Sobrecosto!B7/100)</f>
        <v/>
      </c>
    </row>
    <row r="12">
      <c r="A12" t="inlineStr">
        <is>
          <t>Para revisión del DRO. Precios de referencia; sustituir por cotizaciones antes de contratar.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8" customWidth="1" min="3" max="3"/>
    <col width="8" customWidth="1" min="4" max="4"/>
    <col width="11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Presupuesto — Casa habitación 2 niveles — ejemplo</t>
        </is>
      </c>
    </row>
    <row r="2">
      <c r="A2" t="inlineStr">
        <is>
          <t>(ejemplo)  ·  Tijuana, B.C.  ·  Vértice Ingeniería, Arquitectura y Proyectos</t>
        </is>
      </c>
    </row>
    <row r="4">
      <c r="A4" s="2" t="inlineStr">
        <is>
          <t>Partida</t>
        </is>
      </c>
      <c r="B4" s="2" t="inlineStr">
        <is>
          <t>Clave</t>
        </is>
      </c>
      <c r="C4" s="2" t="inlineStr">
        <is>
          <t>Concepto</t>
        </is>
      </c>
      <c r="D4" s="2" t="inlineStr">
        <is>
          <t>Unidad</t>
        </is>
      </c>
      <c r="E4" s="2" t="inlineStr">
        <is>
          <t>Cantidad</t>
        </is>
      </c>
      <c r="F4" s="2" t="inlineStr">
        <is>
          <t>Costo directo</t>
        </is>
      </c>
      <c r="G4" s="2" t="inlineStr">
        <is>
          <t>P.U.</t>
        </is>
      </c>
      <c r="H4" s="2" t="inlineStr">
        <is>
          <t>Importe</t>
        </is>
      </c>
    </row>
    <row r="5">
      <c r="A5" t="inlineStr">
        <is>
          <t>Cimentación</t>
        </is>
      </c>
      <c r="B5" t="inlineStr">
        <is>
          <t>001</t>
        </is>
      </c>
      <c r="C5" t="inlineStr">
        <is>
          <t>Excavación a mano en material tipo II hasta 2 m</t>
        </is>
      </c>
      <c r="D5" t="inlineStr">
        <is>
          <t>m³</t>
        </is>
      </c>
      <c r="E5" t="n">
        <v>46.47</v>
      </c>
      <c r="F5" s="3">
        <f>APU!F5</f>
        <v/>
      </c>
      <c r="G5" s="3">
        <f>ROUND(F5*Sobrecosto!$B$8,2)</f>
        <v/>
      </c>
      <c r="H5" s="3">
        <f>E5*G5</f>
        <v/>
      </c>
    </row>
    <row r="6">
      <c r="A6" t="inlineStr">
        <is>
          <t>Cimentación</t>
        </is>
      </c>
      <c r="B6" t="inlineStr">
        <is>
          <t>002</t>
        </is>
      </c>
      <c r="C6" t="inlineStr">
        <is>
          <t>Plantilla de concreto f'c=100 kg/cm² de 5 cm</t>
        </is>
      </c>
      <c r="D6" t="inlineStr">
        <is>
          <t>m²</t>
        </is>
      </c>
      <c r="E6" t="n">
        <v>21.6</v>
      </c>
      <c r="F6" s="3">
        <f>APU!F14</f>
        <v/>
      </c>
      <c r="G6" s="3">
        <f>ROUND(F6*Sobrecosto!$B$8,2)</f>
        <v/>
      </c>
      <c r="H6" s="3">
        <f>E6*G6</f>
        <v/>
      </c>
    </row>
    <row r="7">
      <c r="A7" t="inlineStr">
        <is>
          <t>Cimentación</t>
        </is>
      </c>
      <c r="B7" t="inlineStr">
        <is>
          <t>003</t>
        </is>
      </c>
      <c r="C7" t="inlineStr">
        <is>
          <t>Cimbra común en zapatas y contratrabes</t>
        </is>
      </c>
      <c r="D7" t="inlineStr">
        <is>
          <t>m²</t>
        </is>
      </c>
      <c r="E7" t="n">
        <v>43.2</v>
      </c>
      <c r="F7" s="3">
        <f>APU!F20</f>
        <v/>
      </c>
      <c r="G7" s="3">
        <f>ROUND(F7*Sobrecosto!$B$8,2)</f>
        <v/>
      </c>
      <c r="H7" s="3">
        <f>E7*G7</f>
        <v/>
      </c>
    </row>
    <row r="8">
      <c r="A8" t="inlineStr">
        <is>
          <t>Estructura</t>
        </is>
      </c>
      <c r="B8" t="inlineStr">
        <is>
          <t>004</t>
        </is>
      </c>
      <c r="C8" t="inlineStr">
        <is>
          <t>Habilitado y armado de acero #3 y #4</t>
        </is>
      </c>
      <c r="D8" t="inlineStr">
        <is>
          <t>kg</t>
        </is>
      </c>
      <c r="E8" t="n">
        <v>2200</v>
      </c>
      <c r="F8" s="3">
        <f>APU!F28</f>
        <v/>
      </c>
      <c r="G8" s="3">
        <f>ROUND(F8*Sobrecosto!$B$8,2)</f>
        <v/>
      </c>
      <c r="H8" s="3">
        <f>E8*G8</f>
        <v/>
      </c>
    </row>
    <row r="9">
      <c r="A9" t="inlineStr">
        <is>
          <t>Estructura</t>
        </is>
      </c>
      <c r="B9" t="inlineStr">
        <is>
          <t>005</t>
        </is>
      </c>
      <c r="C9" t="inlineStr">
        <is>
          <t>Habilitado y armado de acero #5 a #8</t>
        </is>
      </c>
      <c r="D9" t="inlineStr">
        <is>
          <t>kg</t>
        </is>
      </c>
      <c r="E9" t="n">
        <v>900</v>
      </c>
      <c r="F9" s="3">
        <f>APU!F36</f>
        <v/>
      </c>
      <c r="G9" s="3">
        <f>ROUND(F9*Sobrecosto!$B$8,2)</f>
        <v/>
      </c>
      <c r="H9" s="3">
        <f>E9*G9</f>
        <v/>
      </c>
    </row>
    <row r="10">
      <c r="A10" t="inlineStr">
        <is>
          <t>Estructura</t>
        </is>
      </c>
      <c r="B10" t="inlineStr">
        <is>
          <t>006</t>
        </is>
      </c>
      <c r="C10" t="inlineStr">
        <is>
          <t>Colado de concreto premezclado bombeado y vibrado</t>
        </is>
      </c>
      <c r="D10" t="inlineStr">
        <is>
          <t>m³</t>
        </is>
      </c>
      <c r="E10" t="n">
        <v>25.8</v>
      </c>
      <c r="F10" s="3">
        <f>APU!F45</f>
        <v/>
      </c>
      <c r="G10" s="3">
        <f>ROUND(F10*Sobrecosto!$B$8,2)</f>
        <v/>
      </c>
      <c r="H10" s="3">
        <f>E10*G10</f>
        <v/>
      </c>
    </row>
    <row r="11">
      <c r="A11" t="inlineStr">
        <is>
          <t>Estructura</t>
        </is>
      </c>
      <c r="B11" t="inlineStr">
        <is>
          <t>007</t>
        </is>
      </c>
      <c r="C11" t="inlineStr">
        <is>
          <t>Cimbra de losa maciza con puntales</t>
        </is>
      </c>
      <c r="D11" t="inlineStr">
        <is>
          <t>m²</t>
        </is>
      </c>
      <c r="E11" t="n">
        <v>160</v>
      </c>
      <c r="F11" s="3">
        <f>APU!F51</f>
        <v/>
      </c>
      <c r="G11" s="3">
        <f>ROUND(F11*Sobrecosto!$B$8,2)</f>
        <v/>
      </c>
      <c r="H11" s="3">
        <f>E11*G11</f>
        <v/>
      </c>
    </row>
    <row r="12">
      <c r="A12" t="inlineStr">
        <is>
          <t>Estructura</t>
        </is>
      </c>
      <c r="B12" t="inlineStr">
        <is>
          <t>008</t>
        </is>
      </c>
      <c r="C12" t="inlineStr">
        <is>
          <t>Cimbra de columnas acabado común</t>
        </is>
      </c>
      <c r="D12" t="inlineStr">
        <is>
          <t>m²</t>
        </is>
      </c>
      <c r="E12" t="n">
        <v>6.72</v>
      </c>
      <c r="F12" s="3">
        <f>APU!F57</f>
        <v/>
      </c>
      <c r="G12" s="3">
        <f>ROUND(F12*Sobrecosto!$B$8,2)</f>
        <v/>
      </c>
      <c r="H12" s="3">
        <f>E12*G12</f>
        <v/>
      </c>
    </row>
    <row r="13">
      <c r="A13" t="inlineStr">
        <is>
          <t>Estructura</t>
        </is>
      </c>
      <c r="B13" t="inlineStr">
        <is>
          <t>009</t>
        </is>
      </c>
      <c r="C13" t="inlineStr">
        <is>
          <t>Cimbra de trabes acabado común</t>
        </is>
      </c>
      <c r="D13" t="inlineStr">
        <is>
          <t>m²</t>
        </is>
      </c>
      <c r="E13" t="n">
        <v>12.5</v>
      </c>
      <c r="F13" s="3">
        <f>APU!F63</f>
        <v/>
      </c>
      <c r="G13" s="3">
        <f>ROUND(F13*Sobrecosto!$B$8,2)</f>
        <v/>
      </c>
      <c r="H13" s="3">
        <f>E13*G13</f>
        <v/>
      </c>
    </row>
    <row r="14">
      <c r="A14" t="inlineStr">
        <is>
          <t>Albañilería</t>
        </is>
      </c>
      <c r="B14" t="inlineStr">
        <is>
          <t>010</t>
        </is>
      </c>
      <c r="C14" t="inlineStr">
        <is>
          <t>Muro de block 15x20x40 junteado con mortero</t>
        </is>
      </c>
      <c r="D14" t="inlineStr">
        <is>
          <t>m²</t>
        </is>
      </c>
      <c r="E14" t="n">
        <v>238.68</v>
      </c>
      <c r="F14" s="3">
        <f>APU!F72</f>
        <v/>
      </c>
      <c r="G14" s="3">
        <f>ROUND(F14*Sobrecosto!$B$8,2)</f>
        <v/>
      </c>
      <c r="H14" s="3">
        <f>E14*G14</f>
        <v/>
      </c>
    </row>
    <row r="15">
      <c r="A15" t="inlineStr">
        <is>
          <t>Albañilería</t>
        </is>
      </c>
      <c r="B15" t="inlineStr">
        <is>
          <t>011</t>
        </is>
      </c>
      <c r="C15" t="inlineStr">
        <is>
          <t>Castillo 15x15 armado, cimbrado y colado</t>
        </is>
      </c>
      <c r="D15" t="inlineStr">
        <is>
          <t>ml</t>
        </is>
      </c>
      <c r="E15" t="n">
        <v>124.8</v>
      </c>
      <c r="F15" s="3">
        <f>APU!F82</f>
        <v/>
      </c>
      <c r="G15" s="3">
        <f>ROUND(F15*Sobrecosto!$B$8,2)</f>
        <v/>
      </c>
      <c r="H15" s="3">
        <f>E15*G15</f>
        <v/>
      </c>
    </row>
    <row r="16">
      <c r="A16" t="inlineStr">
        <is>
          <t>Albañilería</t>
        </is>
      </c>
      <c r="B16" t="inlineStr">
        <is>
          <t>012</t>
        </is>
      </c>
      <c r="C16" t="inlineStr">
        <is>
          <t>Dala o cadena 15x20 armada, cimbrada y colada</t>
        </is>
      </c>
      <c r="D16" t="inlineStr">
        <is>
          <t>ml</t>
        </is>
      </c>
      <c r="E16" t="n">
        <v>108</v>
      </c>
      <c r="F16" s="3">
        <f>APU!F88</f>
        <v/>
      </c>
      <c r="G16" s="3">
        <f>ROUND(F16*Sobrecosto!$B$8,2)</f>
        <v/>
      </c>
      <c r="H16" s="3">
        <f>E16*G16</f>
        <v/>
      </c>
    </row>
    <row r="17">
      <c r="A17" t="inlineStr">
        <is>
          <t>Albañilería</t>
        </is>
      </c>
      <c r="B17" t="inlineStr">
        <is>
          <t>013</t>
        </is>
      </c>
      <c r="C17" t="inlineStr">
        <is>
          <t>Firme de concreto de 10 cm acabado pulido</t>
        </is>
      </c>
      <c r="D17" t="inlineStr">
        <is>
          <t>m²</t>
        </is>
      </c>
      <c r="E17" t="n">
        <v>80</v>
      </c>
      <c r="F17" s="3">
        <f>APU!F96</f>
        <v/>
      </c>
      <c r="G17" s="3">
        <f>ROUND(F17*Sobrecosto!$B$8,2)</f>
        <v/>
      </c>
      <c r="H17" s="3">
        <f>E17*G17</f>
        <v/>
      </c>
    </row>
    <row r="18">
      <c r="A18" t="inlineStr">
        <is>
          <t>Acabados</t>
        </is>
      </c>
      <c r="B18" t="inlineStr">
        <is>
          <t>014</t>
        </is>
      </c>
      <c r="C18" t="inlineStr">
        <is>
          <t>Aplanado de mortero en muros, acabado fino</t>
        </is>
      </c>
      <c r="D18" t="inlineStr">
        <is>
          <t>m²</t>
        </is>
      </c>
      <c r="E18" t="n">
        <v>358.02</v>
      </c>
      <c r="F18" s="3">
        <f>APU!F105</f>
        <v/>
      </c>
      <c r="G18" s="3">
        <f>ROUND(F18*Sobrecosto!$B$8,2)</f>
        <v/>
      </c>
      <c r="H18" s="3">
        <f>E18*G18</f>
        <v/>
      </c>
    </row>
    <row r="19">
      <c r="A19" t="inlineStr">
        <is>
          <t>Acabados</t>
        </is>
      </c>
      <c r="B19" t="inlineStr">
        <is>
          <t>015</t>
        </is>
      </c>
      <c r="C19" t="inlineStr">
        <is>
          <t>Piso cerámico/porcelanato pegado con adhesivo y boquilla</t>
        </is>
      </c>
      <c r="D19" t="inlineStr">
        <is>
          <t>m²</t>
        </is>
      </c>
      <c r="E19" t="n">
        <v>150</v>
      </c>
      <c r="F19" s="3">
        <f>APU!F111</f>
        <v/>
      </c>
      <c r="G19" s="3">
        <f>ROUND(F19*Sobrecosto!$B$8,2)</f>
        <v/>
      </c>
      <c r="H19" s="3">
        <f>E19*G19</f>
        <v/>
      </c>
    </row>
    <row r="20">
      <c r="A20" t="inlineStr">
        <is>
          <t>Acabados</t>
        </is>
      </c>
      <c r="B20" t="inlineStr">
        <is>
          <t>016</t>
        </is>
      </c>
      <c r="C20" t="inlineStr">
        <is>
          <t>Pintura vinílica dos manos con sellador</t>
        </is>
      </c>
      <c r="D20" t="inlineStr">
        <is>
          <t>m²</t>
        </is>
      </c>
      <c r="E20" t="n">
        <v>637.36</v>
      </c>
      <c r="F20" s="3">
        <f>APU!F117</f>
        <v/>
      </c>
      <c r="G20" s="3">
        <f>ROUND(F20*Sobrecosto!$B$8,2)</f>
        <v/>
      </c>
      <c r="H20" s="3">
        <f>E20*G20</f>
        <v/>
      </c>
    </row>
    <row r="21">
      <c r="A21" t="inlineStr">
        <is>
          <t>Acabados</t>
        </is>
      </c>
      <c r="B21" t="inlineStr">
        <is>
          <t>017</t>
        </is>
      </c>
      <c r="C21" t="inlineStr">
        <is>
          <t>Impermeabilización con sistema prefabricado</t>
        </is>
      </c>
      <c r="D21" t="inlineStr">
        <is>
          <t>m²</t>
        </is>
      </c>
      <c r="E21" t="n">
        <v>85</v>
      </c>
      <c r="F21" s="3">
        <f>APU!F123</f>
        <v/>
      </c>
      <c r="G21" s="3">
        <f>ROUND(F21*Sobrecosto!$B$8,2)</f>
        <v/>
      </c>
      <c r="H21" s="3">
        <f>E21*G21</f>
        <v/>
      </c>
    </row>
    <row r="22">
      <c r="A22" t="inlineStr">
        <is>
          <t>Instalaciones</t>
        </is>
      </c>
      <c r="B22" t="inlineStr">
        <is>
          <t>018</t>
        </is>
      </c>
      <c r="C22" t="inlineStr">
        <is>
          <t>Salida eléctrica (contacto o apagador) con tubería y cableado</t>
        </is>
      </c>
      <c r="D22" t="inlineStr">
        <is>
          <t>sal</t>
        </is>
      </c>
      <c r="E22" t="n">
        <v>70</v>
      </c>
      <c r="F22" s="3">
        <f>APU!F129</f>
        <v/>
      </c>
      <c r="G22" s="3">
        <f>ROUND(F22*Sobrecosto!$B$8,2)</f>
        <v/>
      </c>
      <c r="H22" s="3">
        <f>E22*G22</f>
        <v/>
      </c>
    </row>
    <row r="23">
      <c r="A23" t="inlineStr">
        <is>
          <t>Instalaciones</t>
        </is>
      </c>
      <c r="B23" t="inlineStr">
        <is>
          <t>019</t>
        </is>
      </c>
      <c r="C23" t="inlineStr">
        <is>
          <t>Salida hidráulica o sanitaria por mueble</t>
        </is>
      </c>
      <c r="D23" t="inlineStr">
        <is>
          <t>sal</t>
        </is>
      </c>
      <c r="E23" t="n">
        <v>18</v>
      </c>
      <c r="F23" s="3">
        <f>APU!F135</f>
        <v/>
      </c>
      <c r="G23" s="3">
        <f>ROUND(F23*Sobrecosto!$B$8,2)</f>
        <v/>
      </c>
      <c r="H23" s="3">
        <f>E23*G23</f>
        <v/>
      </c>
    </row>
    <row r="25">
      <c r="G25" s="5" t="inlineStr">
        <is>
          <t>Subtotal</t>
        </is>
      </c>
      <c r="H25" s="6">
        <f>SUM(H5:H23)</f>
        <v/>
      </c>
    </row>
    <row r="26">
      <c r="G26" s="5" t="inlineStr">
        <is>
          <t>IVA</t>
        </is>
      </c>
      <c r="H26" s="6">
        <f>H25*Sobrecosto!B7/100</f>
        <v/>
      </c>
    </row>
    <row r="27">
      <c r="G27" s="5" t="inlineStr">
        <is>
          <t>Total</t>
        </is>
      </c>
      <c r="H27" s="6">
        <f>H25+H26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Indirectos de oficina %</t>
        </is>
      </c>
      <c r="B2" t="n">
        <v>6</v>
      </c>
    </row>
    <row r="3">
      <c r="A3" t="inlineStr">
        <is>
          <t>Indirectos de campo %</t>
        </is>
      </c>
      <c r="B3" t="n">
        <v>6</v>
      </c>
    </row>
    <row r="4">
      <c r="A4" t="inlineStr">
        <is>
          <t>Financiamiento %</t>
        </is>
      </c>
      <c r="B4" t="n">
        <v>1</v>
      </c>
    </row>
    <row r="5">
      <c r="A5" t="inlineStr">
        <is>
          <t>Utilidad %</t>
        </is>
      </c>
      <c r="B5" t="n">
        <v>10</v>
      </c>
    </row>
    <row r="6">
      <c r="A6" t="inlineStr">
        <is>
          <t>Cargos adicionales %</t>
        </is>
      </c>
      <c r="B6" t="n">
        <v>0</v>
      </c>
    </row>
    <row r="7">
      <c r="A7" t="inlineStr">
        <is>
          <t>IVA %</t>
        </is>
      </c>
      <c r="B7" t="n">
        <v>8</v>
      </c>
    </row>
    <row r="8">
      <c r="A8" s="5" t="inlineStr">
        <is>
          <t>Factor de sobrecosto</t>
        </is>
      </c>
      <c r="B8" s="7">
        <f>(1+(B2+B3)/100)*(1+B4/100)*(1+B5/100)*(1+B6/100)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8" customWidth="1" min="3" max="3"/>
    <col width="11" customWidth="1" min="4" max="4"/>
    <col width="13" customWidth="1" min="5" max="5"/>
    <col width="14" customWidth="1" min="6" max="6"/>
    <col width="60" customWidth="1" min="7" max="7"/>
  </cols>
  <sheetData>
    <row r="1">
      <c r="A1" s="5" t="inlineStr">
        <is>
          <t>001</t>
        </is>
      </c>
      <c r="B1" s="5" t="inlineStr">
        <is>
          <t>Excavación a mano en material tipo II hasta 2 m</t>
        </is>
      </c>
      <c r="E1" t="inlineStr">
        <is>
          <t>m³</t>
        </is>
      </c>
    </row>
    <row r="2">
      <c r="A2" s="2" t="inlineStr">
        <is>
          <t>Tipo</t>
        </is>
      </c>
      <c r="B2" s="2" t="inlineStr">
        <is>
          <t>Insumo</t>
        </is>
      </c>
      <c r="C2" s="2" t="inlineStr">
        <is>
          <t>Unidad</t>
        </is>
      </c>
      <c r="D2" s="2" t="inlineStr">
        <is>
          <t>Cantidad</t>
        </is>
      </c>
      <c r="E2" s="2" t="inlineStr">
        <is>
          <t>Precio</t>
        </is>
      </c>
      <c r="F2" s="2" t="inlineStr">
        <is>
          <t>Importe</t>
        </is>
      </c>
      <c r="G2" s="2" t="inlineStr">
        <is>
          <t>Fuente</t>
        </is>
      </c>
    </row>
    <row r="3">
      <c r="A3" t="inlineStr">
        <is>
          <t>Mano de obra</t>
        </is>
      </c>
      <c r="B3" t="inlineStr">
        <is>
          <t>1 peón (rend. 3.75 m³/jor)</t>
        </is>
      </c>
      <c r="C3" t="inlineStr">
        <is>
          <t>jor</t>
        </is>
      </c>
      <c r="D3" t="n">
        <v>0.266667</v>
      </c>
      <c r="E3" s="3" t="n">
        <v>908.4299999999999</v>
      </c>
      <c r="F3" s="3">
        <f>D3*E3</f>
        <v/>
      </c>
      <c r="G3" t="inlineStr">
        <is>
          <t>FSR 2026 Tijuana</t>
        </is>
      </c>
    </row>
    <row r="4">
      <c r="A4" t="inlineStr">
        <is>
          <t>Herramienta</t>
        </is>
      </c>
      <c r="B4" t="inlineStr">
        <is>
          <t>Herramienta menor (3% de M.O.)</t>
        </is>
      </c>
      <c r="C4" t="inlineStr">
        <is>
          <t>%</t>
        </is>
      </c>
      <c r="D4" t="n">
        <v>0.03</v>
      </c>
      <c r="E4" s="3">
        <f>SUMIF(A3:A3,"Mano de obra",F3:F3)</f>
        <v/>
      </c>
      <c r="F4" s="3">
        <f>D4*E4</f>
        <v/>
      </c>
    </row>
    <row r="5">
      <c r="E5" s="5" t="inlineStr">
        <is>
          <t>Costo directo</t>
        </is>
      </c>
      <c r="F5" s="6">
        <f>SUM(F3:F4)</f>
        <v/>
      </c>
    </row>
    <row r="7">
      <c r="A7" s="5" t="inlineStr">
        <is>
          <t>002</t>
        </is>
      </c>
      <c r="B7" s="5" t="inlineStr">
        <is>
          <t>Plantilla de concreto f'c=100 kg/cm² de 5 cm</t>
        </is>
      </c>
      <c r="E7" t="inlineStr">
        <is>
          <t>m²</t>
        </is>
      </c>
    </row>
    <row r="8">
      <c r="A8" s="2" t="inlineStr">
        <is>
          <t>Tipo</t>
        </is>
      </c>
      <c r="B8" s="2" t="inlineStr">
        <is>
          <t>Insumo</t>
        </is>
      </c>
      <c r="C8" s="2" t="inlineStr">
        <is>
          <t>Unidad</t>
        </is>
      </c>
      <c r="D8" s="2" t="inlineStr">
        <is>
          <t>Cantidad</t>
        </is>
      </c>
      <c r="E8" s="2" t="inlineStr">
        <is>
          <t>Precio</t>
        </is>
      </c>
      <c r="F8" s="2" t="inlineStr">
        <is>
          <t>Importe</t>
        </is>
      </c>
      <c r="G8" s="2" t="inlineStr">
        <is>
          <t>Fuente</t>
        </is>
      </c>
    </row>
    <row r="9">
      <c r="A9" t="inlineStr">
        <is>
          <t>Material</t>
        </is>
      </c>
      <c r="B9" t="inlineStr">
        <is>
          <t>Cemento gris CPC 30R Bulto 50 kg, menudeo</t>
        </is>
      </c>
      <c r="C9" t="inlineStr">
        <is>
          <t>bulto</t>
        </is>
      </c>
      <c r="D9" t="n">
        <v>0.28</v>
      </c>
      <c r="E9" s="3" t="n">
        <v>253</v>
      </c>
      <c r="F9" s="3">
        <f>D9*E9</f>
        <v/>
      </c>
      <c r="G9" t="inlineStr">
        <is>
          <t>Promedio nacional de referencia (CDMX, Monterrey, Guadalajara, Querétaro), publicado en agosto 2026 (ago 2026) + 10% Tijuana</t>
        </is>
      </c>
    </row>
    <row r="10">
      <c r="A10" t="inlineStr">
        <is>
          <t>Material</t>
        </is>
      </c>
      <c r="B10" t="inlineStr">
        <is>
          <t>Arena de mina / río Varía por banco</t>
        </is>
      </c>
      <c r="C10" t="inlineStr">
        <is>
          <t>m³</t>
        </is>
      </c>
      <c r="D10" t="n">
        <v>0.03</v>
      </c>
      <c r="E10" s="3" t="n">
        <v>715</v>
      </c>
      <c r="F10" s="3">
        <f>D10*E10</f>
        <v/>
      </c>
      <c r="G10" t="inlineStr">
        <is>
          <t>Promedio nacional de referencia (CDMX, Monterrey, Guadalajara, Querétaro), publicado en agosto 2026 (ago 2026) + 10% Tijuana</t>
        </is>
      </c>
    </row>
    <row r="11">
      <c r="A11" t="inlineStr">
        <is>
          <t>Material</t>
        </is>
      </c>
      <c r="B11" t="inlineStr">
        <is>
          <t>Grava 3/4" Triturada o de banco</t>
        </is>
      </c>
      <c r="C11" t="inlineStr">
        <is>
          <t>m³</t>
        </is>
      </c>
      <c r="D11" t="n">
        <v>0.04</v>
      </c>
      <c r="E11" s="3" t="n">
        <v>792</v>
      </c>
      <c r="F11" s="3">
        <f>D11*E11</f>
        <v/>
      </c>
      <c r="G11" t="inlineStr">
        <is>
          <t>Promedio nacional de referencia (CDMX, Monterrey, Guadalajara, Querétaro), publicado en agosto 2026 (ago 2026) + 10% Tijuana</t>
        </is>
      </c>
    </row>
    <row r="12">
      <c r="A12" t="inlineStr">
        <is>
          <t>Mano de obra</t>
        </is>
      </c>
      <c r="B12" t="inlineStr">
        <is>
          <t>1 oficial albañil + 2 peones (+0.1 cabo) (rend. 30 m²/jor)</t>
        </is>
      </c>
      <c r="C12" t="inlineStr">
        <is>
          <t>jor</t>
        </is>
      </c>
      <c r="D12" t="n">
        <v>0.033333</v>
      </c>
      <c r="E12" s="3" t="n">
        <v>3095.05</v>
      </c>
      <c r="F12" s="3">
        <f>D12*E12</f>
        <v/>
      </c>
      <c r="G12" t="inlineStr">
        <is>
          <t>FSR 2026 Tijuana</t>
        </is>
      </c>
    </row>
    <row r="13">
      <c r="A13" t="inlineStr">
        <is>
          <t>Herramienta</t>
        </is>
      </c>
      <c r="B13" t="inlineStr">
        <is>
          <t>Herramienta menor (3% de M.O.)</t>
        </is>
      </c>
      <c r="C13" t="inlineStr">
        <is>
          <t>%</t>
        </is>
      </c>
      <c r="D13" t="n">
        <v>0.03</v>
      </c>
      <c r="E13" s="3">
        <f>SUMIF(A9:A12,"Mano de obra",F9:F12)</f>
        <v/>
      </c>
      <c r="F13" s="3">
        <f>D13*E13</f>
        <v/>
      </c>
    </row>
    <row r="14">
      <c r="E14" s="5" t="inlineStr">
        <is>
          <t>Costo directo</t>
        </is>
      </c>
      <c r="F14" s="6">
        <f>SUM(F9:F13)</f>
        <v/>
      </c>
    </row>
    <row r="16">
      <c r="A16" s="5" t="inlineStr">
        <is>
          <t>003</t>
        </is>
      </c>
      <c r="B16" s="5" t="inlineStr">
        <is>
          <t>Cimbra común en zapatas y contratrabes</t>
        </is>
      </c>
      <c r="E16" t="inlineStr">
        <is>
          <t>m²</t>
        </is>
      </c>
    </row>
    <row r="17">
      <c r="A17" s="2" t="inlineStr">
        <is>
          <t>Tipo</t>
        </is>
      </c>
      <c r="B17" s="2" t="inlineStr">
        <is>
          <t>Insumo</t>
        </is>
      </c>
      <c r="C17" s="2" t="inlineStr">
        <is>
          <t>Unidad</t>
        </is>
      </c>
      <c r="D17" s="2" t="inlineStr">
        <is>
          <t>Cantidad</t>
        </is>
      </c>
      <c r="E17" s="2" t="inlineStr">
        <is>
          <t>Precio</t>
        </is>
      </c>
      <c r="F17" s="2" t="inlineStr">
        <is>
          <t>Importe</t>
        </is>
      </c>
      <c r="G17" s="2" t="inlineStr">
        <is>
          <t>Fuente</t>
        </is>
      </c>
    </row>
    <row r="18">
      <c r="A18" t="inlineStr">
        <is>
          <t>Mano de obra</t>
        </is>
      </c>
      <c r="B18" t="inlineStr">
        <is>
          <t>1 carpintero + 1 ayudante (+0.1 cabo) (rend. 9.5 m²/jor)</t>
        </is>
      </c>
      <c r="C18" t="inlineStr">
        <is>
          <t>jor</t>
        </is>
      </c>
      <c r="D18" t="n">
        <v>0.105263</v>
      </c>
      <c r="E18" s="3" t="n">
        <v>2221.6</v>
      </c>
      <c r="F18" s="3">
        <f>D18*E18</f>
        <v/>
      </c>
      <c r="G18" t="inlineStr">
        <is>
          <t>FSR 2026 Tijuana</t>
        </is>
      </c>
    </row>
    <row r="19">
      <c r="A19" t="inlineStr">
        <is>
          <t>Herramienta</t>
        </is>
      </c>
      <c r="B19" t="inlineStr">
        <is>
          <t>Herramienta menor (3% de M.O.)</t>
        </is>
      </c>
      <c r="C19" t="inlineStr">
        <is>
          <t>%</t>
        </is>
      </c>
      <c r="D19" t="n">
        <v>0.03</v>
      </c>
      <c r="E19" s="3">
        <f>SUMIF(A18:A18,"Mano de obra",F18:F18)</f>
        <v/>
      </c>
      <c r="F19" s="3">
        <f>D19*E19</f>
        <v/>
      </c>
    </row>
    <row r="20">
      <c r="E20" s="5" t="inlineStr">
        <is>
          <t>Costo directo</t>
        </is>
      </c>
      <c r="F20" s="6">
        <f>SUM(F18:F19)</f>
        <v/>
      </c>
    </row>
    <row r="22">
      <c r="A22" s="5" t="inlineStr">
        <is>
          <t>004</t>
        </is>
      </c>
      <c r="B22" s="5" t="inlineStr">
        <is>
          <t>Habilitado y armado de acero #3 y #4</t>
        </is>
      </c>
      <c r="E22" t="inlineStr">
        <is>
          <t>kg</t>
        </is>
      </c>
    </row>
    <row r="23">
      <c r="A23" s="2" t="inlineStr">
        <is>
          <t>Tipo</t>
        </is>
      </c>
      <c r="B23" s="2" t="inlineStr">
        <is>
          <t>Insumo</t>
        </is>
      </c>
      <c r="C23" s="2" t="inlineStr">
        <is>
          <t>Unidad</t>
        </is>
      </c>
      <c r="D23" s="2" t="inlineStr">
        <is>
          <t>Cantidad</t>
        </is>
      </c>
      <c r="E23" s="2" t="inlineStr">
        <is>
          <t>Precio</t>
        </is>
      </c>
      <c r="F23" s="2" t="inlineStr">
        <is>
          <t>Importe</t>
        </is>
      </c>
      <c r="G23" s="2" t="inlineStr">
        <is>
          <t>Fuente</t>
        </is>
      </c>
    </row>
    <row r="24">
      <c r="A24" t="inlineStr">
        <is>
          <t>Material</t>
        </is>
      </c>
      <c r="B24" t="inlineStr">
        <is>
          <t>Varilla corrugada 3/8" (#3) Grado 42, por tonelada</t>
        </is>
      </c>
      <c r="C24" t="inlineStr">
        <is>
          <t>ton</t>
        </is>
      </c>
      <c r="D24" t="n">
        <v>0.00105</v>
      </c>
      <c r="E24" s="3" t="n">
        <v>28215</v>
      </c>
      <c r="F24" s="3">
        <f>D24*E24</f>
        <v/>
      </c>
      <c r="G24" t="inlineStr">
        <is>
          <t>Promedio nacional de referencia (CDMX, Monterrey, Guadalajara, Querétaro), publicado en agosto 2026 (ago 2026) + 10% Tijuana</t>
        </is>
      </c>
    </row>
    <row r="25">
      <c r="A25" t="inlineStr">
        <is>
          <t>Material</t>
        </is>
      </c>
      <c r="B25" t="inlineStr">
        <is>
          <t>Alambre recocido Cal. 18</t>
        </is>
      </c>
      <c r="C25" t="inlineStr">
        <is>
          <t>kg</t>
        </is>
      </c>
      <c r="D25" t="n">
        <v>0.02</v>
      </c>
      <c r="E25" s="3" t="n">
        <v>36.3</v>
      </c>
      <c r="F25" s="3">
        <f>D25*E25</f>
        <v/>
      </c>
      <c r="G25" t="inlineStr">
        <is>
          <t>Promedio nacional de referencia (CDMX, Monterrey, Guadalajara, Querétaro), publicado en agosto 2026 (ago 2026) + 10% Tijuana</t>
        </is>
      </c>
    </row>
    <row r="26">
      <c r="A26" t="inlineStr">
        <is>
          <t>Mano de obra</t>
        </is>
      </c>
      <c r="B26" t="inlineStr">
        <is>
          <t>1 fierrero + 1 ayudante (+0.1 cabo) (rend. 215 kg/jor)</t>
        </is>
      </c>
      <c r="C26" t="inlineStr">
        <is>
          <t>jor</t>
        </is>
      </c>
      <c r="D26" t="n">
        <v>0.004651</v>
      </c>
      <c r="E26" s="3" t="n">
        <v>2221.6</v>
      </c>
      <c r="F26" s="3">
        <f>D26*E26</f>
        <v/>
      </c>
      <c r="G26" t="inlineStr">
        <is>
          <t>FSR 2026 Tijuana</t>
        </is>
      </c>
    </row>
    <row r="27">
      <c r="A27" t="inlineStr">
        <is>
          <t>Herramienta</t>
        </is>
      </c>
      <c r="B27" t="inlineStr">
        <is>
          <t>Herramienta menor (3% de M.O.)</t>
        </is>
      </c>
      <c r="C27" t="inlineStr">
        <is>
          <t>%</t>
        </is>
      </c>
      <c r="D27" t="n">
        <v>0.03</v>
      </c>
      <c r="E27" s="3">
        <f>SUMIF(A24:A26,"Mano de obra",F24:F26)</f>
        <v/>
      </c>
      <c r="F27" s="3">
        <f>D27*E27</f>
        <v/>
      </c>
    </row>
    <row r="28">
      <c r="E28" s="5" t="inlineStr">
        <is>
          <t>Costo directo</t>
        </is>
      </c>
      <c r="F28" s="6">
        <f>SUM(F24:F27)</f>
        <v/>
      </c>
    </row>
    <row r="30">
      <c r="A30" s="5" t="inlineStr">
        <is>
          <t>005</t>
        </is>
      </c>
      <c r="B30" s="5" t="inlineStr">
        <is>
          <t>Habilitado y armado de acero #5 a #8</t>
        </is>
      </c>
      <c r="E30" t="inlineStr">
        <is>
          <t>kg</t>
        </is>
      </c>
    </row>
    <row r="31">
      <c r="A31" s="2" t="inlineStr">
        <is>
          <t>Tipo</t>
        </is>
      </c>
      <c r="B31" s="2" t="inlineStr">
        <is>
          <t>Insumo</t>
        </is>
      </c>
      <c r="C31" s="2" t="inlineStr">
        <is>
          <t>Unidad</t>
        </is>
      </c>
      <c r="D31" s="2" t="inlineStr">
        <is>
          <t>Cantidad</t>
        </is>
      </c>
      <c r="E31" s="2" t="inlineStr">
        <is>
          <t>Precio</t>
        </is>
      </c>
      <c r="F31" s="2" t="inlineStr">
        <is>
          <t>Importe</t>
        </is>
      </c>
      <c r="G31" s="2" t="inlineStr">
        <is>
          <t>Fuente</t>
        </is>
      </c>
    </row>
    <row r="32">
      <c r="A32" t="inlineStr">
        <is>
          <t>Material</t>
        </is>
      </c>
      <c r="B32" t="inlineStr">
        <is>
          <t>Varilla corrugada 1/2" (#4) Grado 42, por tonelada</t>
        </is>
      </c>
      <c r="C32" t="inlineStr">
        <is>
          <t>ton</t>
        </is>
      </c>
      <c r="D32" t="n">
        <v>0.00105</v>
      </c>
      <c r="E32" s="3" t="n">
        <v>27885</v>
      </c>
      <c r="F32" s="3">
        <f>D32*E32</f>
        <v/>
      </c>
      <c r="G32" t="inlineStr">
        <is>
          <t>Promedio nacional de referencia (CDMX, Monterrey, Guadalajara, Querétaro), publicado en agosto 2026 (ago 2026) + 10% Tijuana</t>
        </is>
      </c>
    </row>
    <row r="33">
      <c r="A33" t="inlineStr">
        <is>
          <t>Material</t>
        </is>
      </c>
      <c r="B33" t="inlineStr">
        <is>
          <t>Alambre recocido Cal. 18</t>
        </is>
      </c>
      <c r="C33" t="inlineStr">
        <is>
          <t>kg</t>
        </is>
      </c>
      <c r="D33" t="n">
        <v>0.015</v>
      </c>
      <c r="E33" s="3" t="n">
        <v>36.3</v>
      </c>
      <c r="F33" s="3">
        <f>D33*E33</f>
        <v/>
      </c>
      <c r="G33" t="inlineStr">
        <is>
          <t>Promedio nacional de referencia (CDMX, Monterrey, Guadalajara, Querétaro), publicado en agosto 2026 (ago 2026) + 10% Tijuana</t>
        </is>
      </c>
    </row>
    <row r="34">
      <c r="A34" t="inlineStr">
        <is>
          <t>Mano de obra</t>
        </is>
      </c>
      <c r="B34" t="inlineStr">
        <is>
          <t>1 fierrero + 1 ayudante (+0.1 cabo) (rend. 330 kg/jor)</t>
        </is>
      </c>
      <c r="C34" t="inlineStr">
        <is>
          <t>jor</t>
        </is>
      </c>
      <c r="D34" t="n">
        <v>0.00303</v>
      </c>
      <c r="E34" s="3" t="n">
        <v>2221.6</v>
      </c>
      <c r="F34" s="3">
        <f>D34*E34</f>
        <v/>
      </c>
      <c r="G34" t="inlineStr">
        <is>
          <t>FSR 2026 Tijuana</t>
        </is>
      </c>
    </row>
    <row r="35">
      <c r="A35" t="inlineStr">
        <is>
          <t>Herramienta</t>
        </is>
      </c>
      <c r="B35" t="inlineStr">
        <is>
          <t>Herramienta menor (3% de M.O.)</t>
        </is>
      </c>
      <c r="C35" t="inlineStr">
        <is>
          <t>%</t>
        </is>
      </c>
      <c r="D35" t="n">
        <v>0.03</v>
      </c>
      <c r="E35" s="3">
        <f>SUMIF(A32:A34,"Mano de obra",F32:F34)</f>
        <v/>
      </c>
      <c r="F35" s="3">
        <f>D35*E35</f>
        <v/>
      </c>
    </row>
    <row r="36">
      <c r="E36" s="5" t="inlineStr">
        <is>
          <t>Costo directo</t>
        </is>
      </c>
      <c r="F36" s="6">
        <f>SUM(F32:F35)</f>
        <v/>
      </c>
    </row>
    <row r="38">
      <c r="A38" s="5" t="inlineStr">
        <is>
          <t>006</t>
        </is>
      </c>
      <c r="B38" s="5" t="inlineStr">
        <is>
          <t>Colado de concreto premezclado bombeado y vibrado</t>
        </is>
      </c>
      <c r="E38" t="inlineStr">
        <is>
          <t>m³</t>
        </is>
      </c>
    </row>
    <row r="39">
      <c r="A39" s="2" t="inlineStr">
        <is>
          <t>Tipo</t>
        </is>
      </c>
      <c r="B39" s="2" t="inlineStr">
        <is>
          <t>Insumo</t>
        </is>
      </c>
      <c r="C39" s="2" t="inlineStr">
        <is>
          <t>Unidad</t>
        </is>
      </c>
      <c r="D39" s="2" t="inlineStr">
        <is>
          <t>Cantidad</t>
        </is>
      </c>
      <c r="E39" s="2" t="inlineStr">
        <is>
          <t>Precio</t>
        </is>
      </c>
      <c r="F39" s="2" t="inlineStr">
        <is>
          <t>Importe</t>
        </is>
      </c>
      <c r="G39" s="2" t="inlineStr">
        <is>
          <t>Fuente</t>
        </is>
      </c>
    </row>
    <row r="40">
      <c r="A40" t="inlineStr">
        <is>
          <t>Material</t>
        </is>
      </c>
      <c r="B40" t="inlineStr">
        <is>
          <t>Concreto premezclado f'c 250 Solo suministro</t>
        </is>
      </c>
      <c r="C40" t="inlineStr">
        <is>
          <t>m³</t>
        </is>
      </c>
      <c r="D40" t="n">
        <v>1.03</v>
      </c>
      <c r="E40" s="3" t="n">
        <v>3135</v>
      </c>
      <c r="F40" s="3">
        <f>D40*E40</f>
        <v/>
      </c>
      <c r="G40" t="inlineStr">
        <is>
          <t>Promedio nacional de referencia (CDMX, Monterrey, Guadalajara, Querétaro), publicado en agosto 2026 (2025-26) + 10% Tijuana</t>
        </is>
      </c>
    </row>
    <row r="41">
      <c r="A41" t="inlineStr">
        <is>
          <t>Mano de obra</t>
        </is>
      </c>
      <c r="B41" t="inlineStr">
        <is>
          <t>Colado: 2 oficiales + 6 peones + cabo (rend. 47.5 m³/jor)</t>
        </is>
      </c>
      <c r="C41" t="inlineStr">
        <is>
          <t>jor</t>
        </is>
      </c>
      <c r="D41" t="n">
        <v>0.021053</v>
      </c>
      <c r="E41" s="3" t="n">
        <v>9216.35</v>
      </c>
      <c r="F41" s="3">
        <f>D41*E41</f>
        <v/>
      </c>
      <c r="G41" t="inlineStr">
        <is>
          <t>FSR 2026 Tijuana</t>
        </is>
      </c>
    </row>
    <row r="42">
      <c r="A42" t="inlineStr">
        <is>
          <t>Equipo</t>
        </is>
      </c>
      <c r="B42" t="inlineStr">
        <is>
          <t>Vibrador de chicote a gasolina</t>
        </is>
      </c>
      <c r="C42" t="inlineStr">
        <is>
          <t>jornada</t>
        </is>
      </c>
      <c r="D42" t="n">
        <v>0.022222</v>
      </c>
      <c r="E42" s="3" t="n">
        <v>425</v>
      </c>
      <c r="F42" s="3">
        <f>D42*E42</f>
        <v/>
      </c>
      <c r="G42" t="inlineStr">
        <is>
          <t>Renta estimada Tijuana (Vértice, oct 2026); confirma con cotización.</t>
        </is>
      </c>
    </row>
    <row r="43">
      <c r="A43" t="inlineStr">
        <is>
          <t>Equipo</t>
        </is>
      </c>
      <c r="B43" t="inlineStr">
        <is>
          <t>Bomba de concreto con pluma (cargo por m³)</t>
        </is>
      </c>
      <c r="C43" t="inlineStr">
        <is>
          <t>m³</t>
        </is>
      </c>
      <c r="D43" t="n">
        <v>1</v>
      </c>
      <c r="E43" s="3" t="n">
        <v>350</v>
      </c>
      <c r="F43" s="3">
        <f>D43*E43</f>
        <v/>
      </c>
      <c r="G43" t="inlineStr">
        <is>
          <t>Renta estimada Tijuana (Vértice, oct 2026); confirma con cotización.</t>
        </is>
      </c>
    </row>
    <row r="44">
      <c r="A44" t="inlineStr">
        <is>
          <t>Herramienta</t>
        </is>
      </c>
      <c r="B44" t="inlineStr">
        <is>
          <t>Herramienta menor (3% de M.O.)</t>
        </is>
      </c>
      <c r="C44" t="inlineStr">
        <is>
          <t>%</t>
        </is>
      </c>
      <c r="D44" t="n">
        <v>0.03</v>
      </c>
      <c r="E44" s="3">
        <f>SUMIF(A40:A43,"Mano de obra",F40:F43)</f>
        <v/>
      </c>
      <c r="F44" s="3">
        <f>D44*E44</f>
        <v/>
      </c>
    </row>
    <row r="45">
      <c r="E45" s="5" t="inlineStr">
        <is>
          <t>Costo directo</t>
        </is>
      </c>
      <c r="F45" s="6">
        <f>SUM(F40:F44)</f>
        <v/>
      </c>
    </row>
    <row r="47">
      <c r="A47" s="5" t="inlineStr">
        <is>
          <t>007</t>
        </is>
      </c>
      <c r="B47" s="5" t="inlineStr">
        <is>
          <t>Cimbra de losa maciza con puntales</t>
        </is>
      </c>
      <c r="E47" t="inlineStr">
        <is>
          <t>m²</t>
        </is>
      </c>
    </row>
    <row r="48">
      <c r="A48" s="2" t="inlineStr">
        <is>
          <t>Tipo</t>
        </is>
      </c>
      <c r="B48" s="2" t="inlineStr">
        <is>
          <t>Insumo</t>
        </is>
      </c>
      <c r="C48" s="2" t="inlineStr">
        <is>
          <t>Unidad</t>
        </is>
      </c>
      <c r="D48" s="2" t="inlineStr">
        <is>
          <t>Cantidad</t>
        </is>
      </c>
      <c r="E48" s="2" t="inlineStr">
        <is>
          <t>Precio</t>
        </is>
      </c>
      <c r="F48" s="2" t="inlineStr">
        <is>
          <t>Importe</t>
        </is>
      </c>
      <c r="G48" s="2" t="inlineStr">
        <is>
          <t>Fuente</t>
        </is>
      </c>
    </row>
    <row r="49">
      <c r="A49" t="inlineStr">
        <is>
          <t>Mano de obra</t>
        </is>
      </c>
      <c r="B49" t="inlineStr">
        <is>
          <t>1 carpintero + 1 ayudante (+0.1 cabo) (rend. 12 m²/jor)</t>
        </is>
      </c>
      <c r="C49" t="inlineStr">
        <is>
          <t>jor</t>
        </is>
      </c>
      <c r="D49" t="n">
        <v>0.083333</v>
      </c>
      <c r="E49" s="3" t="n">
        <v>2221.6</v>
      </c>
      <c r="F49" s="3">
        <f>D49*E49</f>
        <v/>
      </c>
      <c r="G49" t="inlineStr">
        <is>
          <t>FSR 2026 Tijuana</t>
        </is>
      </c>
    </row>
    <row r="50">
      <c r="A50" t="inlineStr">
        <is>
          <t>Herramienta</t>
        </is>
      </c>
      <c r="B50" t="inlineStr">
        <is>
          <t>Herramienta menor (3% de M.O.)</t>
        </is>
      </c>
      <c r="C50" t="inlineStr">
        <is>
          <t>%</t>
        </is>
      </c>
      <c r="D50" t="n">
        <v>0.03</v>
      </c>
      <c r="E50" s="3">
        <f>SUMIF(A49:A49,"Mano de obra",F49:F49)</f>
        <v/>
      </c>
      <c r="F50" s="3">
        <f>D50*E50</f>
        <v/>
      </c>
    </row>
    <row r="51">
      <c r="E51" s="5" t="inlineStr">
        <is>
          <t>Costo directo</t>
        </is>
      </c>
      <c r="F51" s="6">
        <f>SUM(F49:F50)</f>
        <v/>
      </c>
    </row>
    <row r="53">
      <c r="A53" s="5" t="inlineStr">
        <is>
          <t>008</t>
        </is>
      </c>
      <c r="B53" s="5" t="inlineStr">
        <is>
          <t>Cimbra de columnas acabado común</t>
        </is>
      </c>
      <c r="E53" t="inlineStr">
        <is>
          <t>m²</t>
        </is>
      </c>
    </row>
    <row r="54">
      <c r="A54" s="2" t="inlineStr">
        <is>
          <t>Tipo</t>
        </is>
      </c>
      <c r="B54" s="2" t="inlineStr">
        <is>
          <t>Insumo</t>
        </is>
      </c>
      <c r="C54" s="2" t="inlineStr">
        <is>
          <t>Unidad</t>
        </is>
      </c>
      <c r="D54" s="2" t="inlineStr">
        <is>
          <t>Cantidad</t>
        </is>
      </c>
      <c r="E54" s="2" t="inlineStr">
        <is>
          <t>Precio</t>
        </is>
      </c>
      <c r="F54" s="2" t="inlineStr">
        <is>
          <t>Importe</t>
        </is>
      </c>
      <c r="G54" s="2" t="inlineStr">
        <is>
          <t>Fuente</t>
        </is>
      </c>
    </row>
    <row r="55">
      <c r="A55" t="inlineStr">
        <is>
          <t>Mano de obra</t>
        </is>
      </c>
      <c r="B55" t="inlineStr">
        <is>
          <t>1 carpintero + 1 ayudante (+0.1 cabo) (rend. 8 m²/jor)</t>
        </is>
      </c>
      <c r="C55" t="inlineStr">
        <is>
          <t>jor</t>
        </is>
      </c>
      <c r="D55" t="n">
        <v>0.125</v>
      </c>
      <c r="E55" s="3" t="n">
        <v>2221.6</v>
      </c>
      <c r="F55" s="3">
        <f>D55*E55</f>
        <v/>
      </c>
      <c r="G55" t="inlineStr">
        <is>
          <t>FSR 2026 Tijuana</t>
        </is>
      </c>
    </row>
    <row r="56">
      <c r="A56" t="inlineStr">
        <is>
          <t>Herramienta</t>
        </is>
      </c>
      <c r="B56" t="inlineStr">
        <is>
          <t>Herramienta menor (3% de M.O.)</t>
        </is>
      </c>
      <c r="C56" t="inlineStr">
        <is>
          <t>%</t>
        </is>
      </c>
      <c r="D56" t="n">
        <v>0.03</v>
      </c>
      <c r="E56" s="3">
        <f>SUMIF(A55:A55,"Mano de obra",F55:F55)</f>
        <v/>
      </c>
      <c r="F56" s="3">
        <f>D56*E56</f>
        <v/>
      </c>
    </row>
    <row r="57">
      <c r="E57" s="5" t="inlineStr">
        <is>
          <t>Costo directo</t>
        </is>
      </c>
      <c r="F57" s="6">
        <f>SUM(F55:F56)</f>
        <v/>
      </c>
    </row>
    <row r="59">
      <c r="A59" s="5" t="inlineStr">
        <is>
          <t>009</t>
        </is>
      </c>
      <c r="B59" s="5" t="inlineStr">
        <is>
          <t>Cimbra de trabes acabado común</t>
        </is>
      </c>
      <c r="E59" t="inlineStr">
        <is>
          <t>m²</t>
        </is>
      </c>
    </row>
    <row r="60">
      <c r="A60" s="2" t="inlineStr">
        <is>
          <t>Tipo</t>
        </is>
      </c>
      <c r="B60" s="2" t="inlineStr">
        <is>
          <t>Insumo</t>
        </is>
      </c>
      <c r="C60" s="2" t="inlineStr">
        <is>
          <t>Unidad</t>
        </is>
      </c>
      <c r="D60" s="2" t="inlineStr">
        <is>
          <t>Cantidad</t>
        </is>
      </c>
      <c r="E60" s="2" t="inlineStr">
        <is>
          <t>Precio</t>
        </is>
      </c>
      <c r="F60" s="2" t="inlineStr">
        <is>
          <t>Importe</t>
        </is>
      </c>
      <c r="G60" s="2" t="inlineStr">
        <is>
          <t>Fuente</t>
        </is>
      </c>
    </row>
    <row r="61">
      <c r="A61" t="inlineStr">
        <is>
          <t>Mano de obra</t>
        </is>
      </c>
      <c r="B61" t="inlineStr">
        <is>
          <t>1 carpintero + 1 ayudante (+0.1 cabo) (rend. 8.5 m²/jor)</t>
        </is>
      </c>
      <c r="C61" t="inlineStr">
        <is>
          <t>jor</t>
        </is>
      </c>
      <c r="D61" t="n">
        <v>0.117647</v>
      </c>
      <c r="E61" s="3" t="n">
        <v>2221.6</v>
      </c>
      <c r="F61" s="3">
        <f>D61*E61</f>
        <v/>
      </c>
      <c r="G61" t="inlineStr">
        <is>
          <t>FSR 2026 Tijuana</t>
        </is>
      </c>
    </row>
    <row r="62">
      <c r="A62" t="inlineStr">
        <is>
          <t>Herramienta</t>
        </is>
      </c>
      <c r="B62" t="inlineStr">
        <is>
          <t>Herramienta menor (3% de M.O.)</t>
        </is>
      </c>
      <c r="C62" t="inlineStr">
        <is>
          <t>%</t>
        </is>
      </c>
      <c r="D62" t="n">
        <v>0.03</v>
      </c>
      <c r="E62" s="3">
        <f>SUMIF(A61:A61,"Mano de obra",F61:F61)</f>
        <v/>
      </c>
      <c r="F62" s="3">
        <f>D62*E62</f>
        <v/>
      </c>
    </row>
    <row r="63">
      <c r="E63" s="5" t="inlineStr">
        <is>
          <t>Costo directo</t>
        </is>
      </c>
      <c r="F63" s="6">
        <f>SUM(F61:F62)</f>
        <v/>
      </c>
    </row>
    <row r="65">
      <c r="A65" s="5" t="inlineStr">
        <is>
          <t>010</t>
        </is>
      </c>
      <c r="B65" s="5" t="inlineStr">
        <is>
          <t>Muro de block 15x20x40 junteado con mortero</t>
        </is>
      </c>
      <c r="E65" t="inlineStr">
        <is>
          <t>m²</t>
        </is>
      </c>
    </row>
    <row r="66">
      <c r="A66" s="2" t="inlineStr">
        <is>
          <t>Tipo</t>
        </is>
      </c>
      <c r="B66" s="2" t="inlineStr">
        <is>
          <t>Insumo</t>
        </is>
      </c>
      <c r="C66" s="2" t="inlineStr">
        <is>
          <t>Unidad</t>
        </is>
      </c>
      <c r="D66" s="2" t="inlineStr">
        <is>
          <t>Cantidad</t>
        </is>
      </c>
      <c r="E66" s="2" t="inlineStr">
        <is>
          <t>Precio</t>
        </is>
      </c>
      <c r="F66" s="2" t="inlineStr">
        <is>
          <t>Importe</t>
        </is>
      </c>
      <c r="G66" s="2" t="inlineStr">
        <is>
          <t>Fuente</t>
        </is>
      </c>
    </row>
    <row r="67">
      <c r="A67" t="inlineStr">
        <is>
          <t>Material</t>
        </is>
      </c>
      <c r="B67" t="inlineStr">
        <is>
          <t>Block de concreto hueco 15x20x40 cm</t>
        </is>
      </c>
      <c r="C67" t="inlineStr">
        <is>
          <t>pza</t>
        </is>
      </c>
      <c r="D67" t="n">
        <v>12.9</v>
      </c>
      <c r="E67" s="3" t="n">
        <v>19.8</v>
      </c>
      <c r="F67" s="3">
        <f>D67*E67</f>
        <v/>
      </c>
      <c r="G67" t="inlineStr">
        <is>
          <t>Promedio nacional de referencia (CDMX, Monterrey, Guadalajara, Querétaro), publicado en agosto 2026 (ago 2026) + 10% Tijuana</t>
        </is>
      </c>
    </row>
    <row r="68">
      <c r="A68" t="inlineStr">
        <is>
          <t>Material</t>
        </is>
      </c>
      <c r="B68" t="inlineStr">
        <is>
          <t>Cemento gris CPC 30R Bulto 50 kg, menudeo</t>
        </is>
      </c>
      <c r="C68" t="inlineStr">
        <is>
          <t>bulto</t>
        </is>
      </c>
      <c r="D68" t="n">
        <v>0.1</v>
      </c>
      <c r="E68" s="3" t="n">
        <v>253</v>
      </c>
      <c r="F68" s="3">
        <f>D68*E68</f>
        <v/>
      </c>
      <c r="G68" t="inlineStr">
        <is>
          <t>Promedio nacional de referencia (CDMX, Monterrey, Guadalajara, Querétaro), publicado en agosto 2026 (ago 2026) + 10% Tijuana</t>
        </is>
      </c>
    </row>
    <row r="69">
      <c r="A69" t="inlineStr">
        <is>
          <t>Material</t>
        </is>
      </c>
      <c r="B69" t="inlineStr">
        <is>
          <t>Arena de mina / río Varía por banco</t>
        </is>
      </c>
      <c r="C69" t="inlineStr">
        <is>
          <t>m³</t>
        </is>
      </c>
      <c r="D69" t="n">
        <v>0.014</v>
      </c>
      <c r="E69" s="3" t="n">
        <v>715</v>
      </c>
      <c r="F69" s="3">
        <f>D69*E69</f>
        <v/>
      </c>
      <c r="G69" t="inlineStr">
        <is>
          <t>Promedio nacional de referencia (CDMX, Monterrey, Guadalajara, Querétaro), publicado en agosto 2026 (ago 2026) + 10% Tijuana</t>
        </is>
      </c>
    </row>
    <row r="70">
      <c r="A70" t="inlineStr">
        <is>
          <t>Mano de obra</t>
        </is>
      </c>
      <c r="B70" t="inlineStr">
        <is>
          <t>1 oficial albañil + 1 peón (+0.1 cabo) (rend. 10.5 m²/jor)</t>
        </is>
      </c>
      <c r="C70" t="inlineStr">
        <is>
          <t>jor</t>
        </is>
      </c>
      <c r="D70" t="n">
        <v>0.095238</v>
      </c>
      <c r="E70" s="3" t="n">
        <v>2186.62</v>
      </c>
      <c r="F70" s="3">
        <f>D70*E70</f>
        <v/>
      </c>
      <c r="G70" t="inlineStr">
        <is>
          <t>FSR 2026 Tijuana</t>
        </is>
      </c>
    </row>
    <row r="71">
      <c r="A71" t="inlineStr">
        <is>
          <t>Herramienta</t>
        </is>
      </c>
      <c r="B71" t="inlineStr">
        <is>
          <t>Herramienta menor (3% de M.O.)</t>
        </is>
      </c>
      <c r="C71" t="inlineStr">
        <is>
          <t>%</t>
        </is>
      </c>
      <c r="D71" t="n">
        <v>0.03</v>
      </c>
      <c r="E71" s="3">
        <f>SUMIF(A67:A70,"Mano de obra",F67:F70)</f>
        <v/>
      </c>
      <c r="F71" s="3">
        <f>D71*E71</f>
        <v/>
      </c>
    </row>
    <row r="72">
      <c r="E72" s="5" t="inlineStr">
        <is>
          <t>Costo directo</t>
        </is>
      </c>
      <c r="F72" s="6">
        <f>SUM(F67:F71)</f>
        <v/>
      </c>
    </row>
    <row r="74">
      <c r="A74" s="5" t="inlineStr">
        <is>
          <t>011</t>
        </is>
      </c>
      <c r="B74" s="5" t="inlineStr">
        <is>
          <t>Castillo 15x15 armado, cimbrado y colado</t>
        </is>
      </c>
      <c r="E74" t="inlineStr">
        <is>
          <t>ml</t>
        </is>
      </c>
    </row>
    <row r="75">
      <c r="A75" s="2" t="inlineStr">
        <is>
          <t>Tipo</t>
        </is>
      </c>
      <c r="B75" s="2" t="inlineStr">
        <is>
          <t>Insumo</t>
        </is>
      </c>
      <c r="C75" s="2" t="inlineStr">
        <is>
          <t>Unidad</t>
        </is>
      </c>
      <c r="D75" s="2" t="inlineStr">
        <is>
          <t>Cantidad</t>
        </is>
      </c>
      <c r="E75" s="2" t="inlineStr">
        <is>
          <t>Precio</t>
        </is>
      </c>
      <c r="F75" s="2" t="inlineStr">
        <is>
          <t>Importe</t>
        </is>
      </c>
      <c r="G75" s="2" t="inlineStr">
        <is>
          <t>Fuente</t>
        </is>
      </c>
    </row>
    <row r="76">
      <c r="A76" t="inlineStr">
        <is>
          <t>Material</t>
        </is>
      </c>
      <c r="B76" t="inlineStr">
        <is>
          <t>Armex castillo prefabricado 15x15-4, tramo 6 m</t>
        </is>
      </c>
      <c r="C76" t="inlineStr">
        <is>
          <t>tramo</t>
        </is>
      </c>
      <c r="D76" t="n">
        <v>0.175</v>
      </c>
      <c r="E76" s="3" t="n">
        <v>332.75</v>
      </c>
      <c r="F76" s="3">
        <f>D76*E76</f>
        <v/>
      </c>
      <c r="G76" t="inlineStr">
        <is>
          <t>Promedio nacional de referencia (CDMX, Monterrey, Guadalajara, Querétaro), publicado en agosto 2026 (ago 2026) + 10% Tijuana</t>
        </is>
      </c>
    </row>
    <row r="77">
      <c r="A77" t="inlineStr">
        <is>
          <t>Material</t>
        </is>
      </c>
      <c r="B77" t="inlineStr">
        <is>
          <t>Cemento gris CPC 30R Bulto 50 kg, menudeo</t>
        </is>
      </c>
      <c r="C77" t="inlineStr">
        <is>
          <t>bulto</t>
        </is>
      </c>
      <c r="D77" t="n">
        <v>0.17</v>
      </c>
      <c r="E77" s="3" t="n">
        <v>253</v>
      </c>
      <c r="F77" s="3">
        <f>D77*E77</f>
        <v/>
      </c>
      <c r="G77" t="inlineStr">
        <is>
          <t>Promedio nacional de referencia (CDMX, Monterrey, Guadalajara, Querétaro), publicado en agosto 2026 (ago 2026) + 10% Tijuana</t>
        </is>
      </c>
    </row>
    <row r="78">
      <c r="A78" t="inlineStr">
        <is>
          <t>Material</t>
        </is>
      </c>
      <c r="B78" t="inlineStr">
        <is>
          <t>Arena de mina / río Varía por banco</t>
        </is>
      </c>
      <c r="C78" t="inlineStr">
        <is>
          <t>m³</t>
        </is>
      </c>
      <c r="D78" t="n">
        <v>0.011</v>
      </c>
      <c r="E78" s="3" t="n">
        <v>715</v>
      </c>
      <c r="F78" s="3">
        <f>D78*E78</f>
        <v/>
      </c>
      <c r="G78" t="inlineStr">
        <is>
          <t>Promedio nacional de referencia (CDMX, Monterrey, Guadalajara, Querétaro), publicado en agosto 2026 (ago 2026) + 10% Tijuana</t>
        </is>
      </c>
    </row>
    <row r="79">
      <c r="A79" t="inlineStr">
        <is>
          <t>Material</t>
        </is>
      </c>
      <c r="B79" t="inlineStr">
        <is>
          <t>Grava 3/4" Triturada o de banco</t>
        </is>
      </c>
      <c r="C79" t="inlineStr">
        <is>
          <t>m³</t>
        </is>
      </c>
      <c r="D79" t="n">
        <v>0.015</v>
      </c>
      <c r="E79" s="3" t="n">
        <v>792</v>
      </c>
      <c r="F79" s="3">
        <f>D79*E79</f>
        <v/>
      </c>
      <c r="G79" t="inlineStr">
        <is>
          <t>Promedio nacional de referencia (CDMX, Monterrey, Guadalajara, Querétaro), publicado en agosto 2026 (ago 2026) + 10% Tijuana</t>
        </is>
      </c>
    </row>
    <row r="80">
      <c r="A80" t="inlineStr">
        <is>
          <t>Mano de obra</t>
        </is>
      </c>
      <c r="B80" t="inlineStr">
        <is>
          <t>1 oficial albañil + 1 peón (+0.1 cabo) (rend. 7 ml/jor)</t>
        </is>
      </c>
      <c r="C80" t="inlineStr">
        <is>
          <t>jor</t>
        </is>
      </c>
      <c r="D80" t="n">
        <v>0.142857</v>
      </c>
      <c r="E80" s="3" t="n">
        <v>2186.62</v>
      </c>
      <c r="F80" s="3">
        <f>D80*E80</f>
        <v/>
      </c>
      <c r="G80" t="inlineStr">
        <is>
          <t>FSR 2026 Tijuana</t>
        </is>
      </c>
    </row>
    <row r="81">
      <c r="A81" t="inlineStr">
        <is>
          <t>Herramienta</t>
        </is>
      </c>
      <c r="B81" t="inlineStr">
        <is>
          <t>Herramienta menor (3% de M.O.)</t>
        </is>
      </c>
      <c r="C81" t="inlineStr">
        <is>
          <t>%</t>
        </is>
      </c>
      <c r="D81" t="n">
        <v>0.03</v>
      </c>
      <c r="E81" s="3">
        <f>SUMIF(A76:A80,"Mano de obra",F76:F80)</f>
        <v/>
      </c>
      <c r="F81" s="3">
        <f>D81*E81</f>
        <v/>
      </c>
    </row>
    <row r="82">
      <c r="E82" s="5" t="inlineStr">
        <is>
          <t>Costo directo</t>
        </is>
      </c>
      <c r="F82" s="6">
        <f>SUM(F76:F81)</f>
        <v/>
      </c>
    </row>
    <row r="84">
      <c r="A84" s="5" t="inlineStr">
        <is>
          <t>012</t>
        </is>
      </c>
      <c r="B84" s="5" t="inlineStr">
        <is>
          <t>Dala o cadena 15x20 armada, cimbrada y colada</t>
        </is>
      </c>
      <c r="E84" t="inlineStr">
        <is>
          <t>ml</t>
        </is>
      </c>
    </row>
    <row r="85">
      <c r="A85" s="2" t="inlineStr">
        <is>
          <t>Tipo</t>
        </is>
      </c>
      <c r="B85" s="2" t="inlineStr">
        <is>
          <t>Insumo</t>
        </is>
      </c>
      <c r="C85" s="2" t="inlineStr">
        <is>
          <t>Unidad</t>
        </is>
      </c>
      <c r="D85" s="2" t="inlineStr">
        <is>
          <t>Cantidad</t>
        </is>
      </c>
      <c r="E85" s="2" t="inlineStr">
        <is>
          <t>Precio</t>
        </is>
      </c>
      <c r="F85" s="2" t="inlineStr">
        <is>
          <t>Importe</t>
        </is>
      </c>
      <c r="G85" s="2" t="inlineStr">
        <is>
          <t>Fuente</t>
        </is>
      </c>
    </row>
    <row r="86">
      <c r="A86" t="inlineStr">
        <is>
          <t>Mano de obra</t>
        </is>
      </c>
      <c r="B86" t="inlineStr">
        <is>
          <t>1 oficial albañil + 1 peón (+0.1 cabo) (rend. 7 ml/jor)</t>
        </is>
      </c>
      <c r="C86" t="inlineStr">
        <is>
          <t>jor</t>
        </is>
      </c>
      <c r="D86" t="n">
        <v>0.142857</v>
      </c>
      <c r="E86" s="3" t="n">
        <v>2186.62</v>
      </c>
      <c r="F86" s="3">
        <f>D86*E86</f>
        <v/>
      </c>
      <c r="G86" t="inlineStr">
        <is>
          <t>FSR 2026 Tijuana</t>
        </is>
      </c>
    </row>
    <row r="87">
      <c r="A87" t="inlineStr">
        <is>
          <t>Herramienta</t>
        </is>
      </c>
      <c r="B87" t="inlineStr">
        <is>
          <t>Herramienta menor (3% de M.O.)</t>
        </is>
      </c>
      <c r="C87" t="inlineStr">
        <is>
          <t>%</t>
        </is>
      </c>
      <c r="D87" t="n">
        <v>0.03</v>
      </c>
      <c r="E87" s="3">
        <f>SUMIF(A86:A86,"Mano de obra",F86:F86)</f>
        <v/>
      </c>
      <c r="F87" s="3">
        <f>D87*E87</f>
        <v/>
      </c>
    </row>
    <row r="88">
      <c r="E88" s="5" t="inlineStr">
        <is>
          <t>Costo directo</t>
        </is>
      </c>
      <c r="F88" s="6">
        <f>SUM(F86:F87)</f>
        <v/>
      </c>
    </row>
    <row r="90">
      <c r="A90" s="5" t="inlineStr">
        <is>
          <t>013</t>
        </is>
      </c>
      <c r="B90" s="5" t="inlineStr">
        <is>
          <t>Firme de concreto de 10 cm acabado pulido</t>
        </is>
      </c>
      <c r="E90" t="inlineStr">
        <is>
          <t>m²</t>
        </is>
      </c>
    </row>
    <row r="91">
      <c r="A91" s="2" t="inlineStr">
        <is>
          <t>Tipo</t>
        </is>
      </c>
      <c r="B91" s="2" t="inlineStr">
        <is>
          <t>Insumo</t>
        </is>
      </c>
      <c r="C91" s="2" t="inlineStr">
        <is>
          <t>Unidad</t>
        </is>
      </c>
      <c r="D91" s="2" t="inlineStr">
        <is>
          <t>Cantidad</t>
        </is>
      </c>
      <c r="E91" s="2" t="inlineStr">
        <is>
          <t>Precio</t>
        </is>
      </c>
      <c r="F91" s="2" t="inlineStr">
        <is>
          <t>Importe</t>
        </is>
      </c>
      <c r="G91" s="2" t="inlineStr">
        <is>
          <t>Fuente</t>
        </is>
      </c>
    </row>
    <row r="92">
      <c r="A92" t="inlineStr">
        <is>
          <t>Material</t>
        </is>
      </c>
      <c r="B92" t="inlineStr">
        <is>
          <t>Concreto premezclado f'c 200 Solo suministro</t>
        </is>
      </c>
      <c r="C92" t="inlineStr">
        <is>
          <t>m³</t>
        </is>
      </c>
      <c r="D92" t="n">
        <v>0.105</v>
      </c>
      <c r="E92" s="3" t="n">
        <v>2750</v>
      </c>
      <c r="F92" s="3">
        <f>D92*E92</f>
        <v/>
      </c>
      <c r="G92" t="inlineStr">
        <is>
          <t>Promedio nacional de referencia (CDMX, Monterrey, Guadalajara, Querétaro), publicado en agosto 2026 (2025-26) + 10% Tijuana</t>
        </is>
      </c>
    </row>
    <row r="93">
      <c r="A93" t="inlineStr">
        <is>
          <t>Material</t>
        </is>
      </c>
      <c r="B93" t="inlineStr">
        <is>
          <t>Malla electrosoldada 6-6/10-10</t>
        </is>
      </c>
      <c r="C93" t="inlineStr">
        <is>
          <t>m²</t>
        </is>
      </c>
      <c r="D93" t="n">
        <v>1.05</v>
      </c>
      <c r="E93" s="3" t="n">
        <v>71.5</v>
      </c>
      <c r="F93" s="3">
        <f>D93*E93</f>
        <v/>
      </c>
      <c r="G93" t="inlineStr">
        <is>
          <t>Promedio nacional de referencia (CDMX, Monterrey, Guadalajara, Querétaro), publicado en agosto 2026 (ago 2026) + 10% Tijuana</t>
        </is>
      </c>
    </row>
    <row r="94">
      <c r="A94" t="inlineStr">
        <is>
          <t>Mano de obra</t>
        </is>
      </c>
      <c r="B94" t="inlineStr">
        <is>
          <t>1 oficial albañil + 2 peones (+0.1 cabo) (rend. 30 m²/jor)</t>
        </is>
      </c>
      <c r="C94" t="inlineStr">
        <is>
          <t>jor</t>
        </is>
      </c>
      <c r="D94" t="n">
        <v>0.033333</v>
      </c>
      <c r="E94" s="3" t="n">
        <v>3095.05</v>
      </c>
      <c r="F94" s="3">
        <f>D94*E94</f>
        <v/>
      </c>
      <c r="G94" t="inlineStr">
        <is>
          <t>FSR 2026 Tijuana</t>
        </is>
      </c>
    </row>
    <row r="95">
      <c r="A95" t="inlineStr">
        <is>
          <t>Herramienta</t>
        </is>
      </c>
      <c r="B95" t="inlineStr">
        <is>
          <t>Herramienta menor (3% de M.O.)</t>
        </is>
      </c>
      <c r="C95" t="inlineStr">
        <is>
          <t>%</t>
        </is>
      </c>
      <c r="D95" t="n">
        <v>0.03</v>
      </c>
      <c r="E95" s="3">
        <f>SUMIF(A92:A94,"Mano de obra",F92:F94)</f>
        <v/>
      </c>
      <c r="F95" s="3">
        <f>D95*E95</f>
        <v/>
      </c>
    </row>
    <row r="96">
      <c r="E96" s="5" t="inlineStr">
        <is>
          <t>Costo directo</t>
        </is>
      </c>
      <c r="F96" s="6">
        <f>SUM(F92:F95)</f>
        <v/>
      </c>
    </row>
    <row r="98">
      <c r="A98" s="5" t="inlineStr">
        <is>
          <t>014</t>
        </is>
      </c>
      <c r="B98" s="5" t="inlineStr">
        <is>
          <t>Aplanado de mortero en muros, acabado fino</t>
        </is>
      </c>
      <c r="E98" t="inlineStr">
        <is>
          <t>m²</t>
        </is>
      </c>
    </row>
    <row r="99">
      <c r="A99" s="2" t="inlineStr">
        <is>
          <t>Tipo</t>
        </is>
      </c>
      <c r="B99" s="2" t="inlineStr">
        <is>
          <t>Insumo</t>
        </is>
      </c>
      <c r="C99" s="2" t="inlineStr">
        <is>
          <t>Unidad</t>
        </is>
      </c>
      <c r="D99" s="2" t="inlineStr">
        <is>
          <t>Cantidad</t>
        </is>
      </c>
      <c r="E99" s="2" t="inlineStr">
        <is>
          <t>Precio</t>
        </is>
      </c>
      <c r="F99" s="2" t="inlineStr">
        <is>
          <t>Importe</t>
        </is>
      </c>
      <c r="G99" s="2" t="inlineStr">
        <is>
          <t>Fuente</t>
        </is>
      </c>
    </row>
    <row r="100">
      <c r="A100" t="inlineStr">
        <is>
          <t>Material</t>
        </is>
      </c>
      <c r="B100" t="inlineStr">
        <is>
          <t>Cemento gris CPC 30R Bulto 50 kg, menudeo</t>
        </is>
      </c>
      <c r="C100" t="inlineStr">
        <is>
          <t>bulto</t>
        </is>
      </c>
      <c r="D100" t="n">
        <v>0.15</v>
      </c>
      <c r="E100" s="3" t="n">
        <v>253</v>
      </c>
      <c r="F100" s="3">
        <f>D100*E100</f>
        <v/>
      </c>
      <c r="G100" t="inlineStr">
        <is>
          <t>Promedio nacional de referencia (CDMX, Monterrey, Guadalajara, Querétaro), publicado en agosto 2026 (ago 2026) + 10% Tijuana</t>
        </is>
      </c>
    </row>
    <row r="101">
      <c r="A101" t="inlineStr">
        <is>
          <t>Material</t>
        </is>
      </c>
      <c r="B101" t="inlineStr">
        <is>
          <t>Cal hidratada Bulto 25 kg</t>
        </is>
      </c>
      <c r="C101" t="inlineStr">
        <is>
          <t>bulto</t>
        </is>
      </c>
      <c r="D101" t="n">
        <v>0.05</v>
      </c>
      <c r="E101" s="3" t="n">
        <v>115.5</v>
      </c>
      <c r="F101" s="3">
        <f>D101*E101</f>
        <v/>
      </c>
      <c r="G101" t="inlineStr">
        <is>
          <t>Promedio nacional de referencia (CDMX, Monterrey, Guadalajara, Querétaro), publicado en agosto 2026 (ago 2026) + 10% Tijuana</t>
        </is>
      </c>
    </row>
    <row r="102">
      <c r="A102" t="inlineStr">
        <is>
          <t>Material</t>
        </is>
      </c>
      <c r="B102" t="inlineStr">
        <is>
          <t>Arena de mina / río Varía por banco</t>
        </is>
      </c>
      <c r="C102" t="inlineStr">
        <is>
          <t>m³</t>
        </is>
      </c>
      <c r="D102" t="n">
        <v>0.024</v>
      </c>
      <c r="E102" s="3" t="n">
        <v>715</v>
      </c>
      <c r="F102" s="3">
        <f>D102*E102</f>
        <v/>
      </c>
      <c r="G102" t="inlineStr">
        <is>
          <t>Promedio nacional de referencia (CDMX, Monterrey, Guadalajara, Querétaro), publicado en agosto 2026 (ago 2026) + 10% Tijuana</t>
        </is>
      </c>
    </row>
    <row r="103">
      <c r="A103" t="inlineStr">
        <is>
          <t>Mano de obra</t>
        </is>
      </c>
      <c r="B103" t="inlineStr">
        <is>
          <t>1 oficial albañil + 1 peón (+0.1 cabo) (rend. 12 m²/jor)</t>
        </is>
      </c>
      <c r="C103" t="inlineStr">
        <is>
          <t>jor</t>
        </is>
      </c>
      <c r="D103" t="n">
        <v>0.083333</v>
      </c>
      <c r="E103" s="3" t="n">
        <v>2186.62</v>
      </c>
      <c r="F103" s="3">
        <f>D103*E103</f>
        <v/>
      </c>
      <c r="G103" t="inlineStr">
        <is>
          <t>FSR 2026 Tijuana</t>
        </is>
      </c>
    </row>
    <row r="104">
      <c r="A104" t="inlineStr">
        <is>
          <t>Herramienta</t>
        </is>
      </c>
      <c r="B104" t="inlineStr">
        <is>
          <t>Herramienta menor (3% de M.O.)</t>
        </is>
      </c>
      <c r="C104" t="inlineStr">
        <is>
          <t>%</t>
        </is>
      </c>
      <c r="D104" t="n">
        <v>0.03</v>
      </c>
      <c r="E104" s="3">
        <f>SUMIF(A100:A103,"Mano de obra",F100:F103)</f>
        <v/>
      </c>
      <c r="F104" s="3">
        <f>D104*E104</f>
        <v/>
      </c>
    </row>
    <row r="105">
      <c r="E105" s="5" t="inlineStr">
        <is>
          <t>Costo directo</t>
        </is>
      </c>
      <c r="F105" s="6">
        <f>SUM(F100:F104)</f>
        <v/>
      </c>
    </row>
    <row r="107">
      <c r="A107" s="5" t="inlineStr">
        <is>
          <t>015</t>
        </is>
      </c>
      <c r="B107" s="5" t="inlineStr">
        <is>
          <t>Piso cerámico/porcelanato pegado con adhesivo y boquilla</t>
        </is>
      </c>
      <c r="E107" t="inlineStr">
        <is>
          <t>m²</t>
        </is>
      </c>
    </row>
    <row r="108">
      <c r="A108" s="2" t="inlineStr">
        <is>
          <t>Tipo</t>
        </is>
      </c>
      <c r="B108" s="2" t="inlineStr">
        <is>
          <t>Insumo</t>
        </is>
      </c>
      <c r="C108" s="2" t="inlineStr">
        <is>
          <t>Unidad</t>
        </is>
      </c>
      <c r="D108" s="2" t="inlineStr">
        <is>
          <t>Cantidad</t>
        </is>
      </c>
      <c r="E108" s="2" t="inlineStr">
        <is>
          <t>Precio</t>
        </is>
      </c>
      <c r="F108" s="2" t="inlineStr">
        <is>
          <t>Importe</t>
        </is>
      </c>
      <c r="G108" s="2" t="inlineStr">
        <is>
          <t>Fuente</t>
        </is>
      </c>
    </row>
    <row r="109">
      <c r="A109" t="inlineStr">
        <is>
          <t>Mano de obra</t>
        </is>
      </c>
      <c r="B109" t="inlineStr">
        <is>
          <t>1 azulejero + 1 ayudante (rend. 15 m²/jor)</t>
        </is>
      </c>
      <c r="C109" t="inlineStr">
        <is>
          <t>jor</t>
        </is>
      </c>
      <c r="D109" t="n">
        <v>0.066667</v>
      </c>
      <c r="E109" s="3" t="n">
        <v>2087.91</v>
      </c>
      <c r="F109" s="3">
        <f>D109*E109</f>
        <v/>
      </c>
      <c r="G109" t="inlineStr">
        <is>
          <t>FSR 2026 Tijuana</t>
        </is>
      </c>
    </row>
    <row r="110">
      <c r="A110" t="inlineStr">
        <is>
          <t>Herramienta</t>
        </is>
      </c>
      <c r="B110" t="inlineStr">
        <is>
          <t>Herramienta menor (3% de M.O.)</t>
        </is>
      </c>
      <c r="C110" t="inlineStr">
        <is>
          <t>%</t>
        </is>
      </c>
      <c r="D110" t="n">
        <v>0.03</v>
      </c>
      <c r="E110" s="3">
        <f>SUMIF(A109:A109,"Mano de obra",F109:F109)</f>
        <v/>
      </c>
      <c r="F110" s="3">
        <f>D110*E110</f>
        <v/>
      </c>
    </row>
    <row r="111">
      <c r="E111" s="5" t="inlineStr">
        <is>
          <t>Costo directo</t>
        </is>
      </c>
      <c r="F111" s="6">
        <f>SUM(F109:F110)</f>
        <v/>
      </c>
    </row>
    <row r="113">
      <c r="A113" s="5" t="inlineStr">
        <is>
          <t>016</t>
        </is>
      </c>
      <c r="B113" s="5" t="inlineStr">
        <is>
          <t>Pintura vinílica dos manos con sellador</t>
        </is>
      </c>
      <c r="E113" t="inlineStr">
        <is>
          <t>m²</t>
        </is>
      </c>
    </row>
    <row r="114">
      <c r="A114" s="2" t="inlineStr">
        <is>
          <t>Tipo</t>
        </is>
      </c>
      <c r="B114" s="2" t="inlineStr">
        <is>
          <t>Insumo</t>
        </is>
      </c>
      <c r="C114" s="2" t="inlineStr">
        <is>
          <t>Unidad</t>
        </is>
      </c>
      <c r="D114" s="2" t="inlineStr">
        <is>
          <t>Cantidad</t>
        </is>
      </c>
      <c r="E114" s="2" t="inlineStr">
        <is>
          <t>Precio</t>
        </is>
      </c>
      <c r="F114" s="2" t="inlineStr">
        <is>
          <t>Importe</t>
        </is>
      </c>
      <c r="G114" s="2" t="inlineStr">
        <is>
          <t>Fuente</t>
        </is>
      </c>
    </row>
    <row r="115">
      <c r="A115" t="inlineStr">
        <is>
          <t>Mano de obra</t>
        </is>
      </c>
      <c r="B115" t="inlineStr">
        <is>
          <t>1 pintor (rend. 50 m²/jor)</t>
        </is>
      </c>
      <c r="C115" t="inlineStr">
        <is>
          <t>jor</t>
        </is>
      </c>
      <c r="D115" t="n">
        <v>0.02</v>
      </c>
      <c r="E115" s="3" t="n">
        <v>1092.04</v>
      </c>
      <c r="F115" s="3">
        <f>D115*E115</f>
        <v/>
      </c>
      <c r="G115" t="inlineStr">
        <is>
          <t>FSR 2026 Tijuana</t>
        </is>
      </c>
    </row>
    <row r="116">
      <c r="A116" t="inlineStr">
        <is>
          <t>Herramienta</t>
        </is>
      </c>
      <c r="B116" t="inlineStr">
        <is>
          <t>Herramienta menor (3% de M.O.)</t>
        </is>
      </c>
      <c r="C116" t="inlineStr">
        <is>
          <t>%</t>
        </is>
      </c>
      <c r="D116" t="n">
        <v>0.03</v>
      </c>
      <c r="E116" s="3">
        <f>SUMIF(A115:A115,"Mano de obra",F115:F115)</f>
        <v/>
      </c>
      <c r="F116" s="3">
        <f>D116*E116</f>
        <v/>
      </c>
    </row>
    <row r="117">
      <c r="E117" s="5" t="inlineStr">
        <is>
          <t>Costo directo</t>
        </is>
      </c>
      <c r="F117" s="6">
        <f>SUM(F115:F116)</f>
        <v/>
      </c>
    </row>
    <row r="119">
      <c r="A119" s="5" t="inlineStr">
        <is>
          <t>017</t>
        </is>
      </c>
      <c r="B119" s="5" t="inlineStr">
        <is>
          <t>Impermeabilización con sistema prefabricado</t>
        </is>
      </c>
      <c r="E119" t="inlineStr">
        <is>
          <t>m²</t>
        </is>
      </c>
    </row>
    <row r="120">
      <c r="A120" s="2" t="inlineStr">
        <is>
          <t>Tipo</t>
        </is>
      </c>
      <c r="B120" s="2" t="inlineStr">
        <is>
          <t>Insumo</t>
        </is>
      </c>
      <c r="C120" s="2" t="inlineStr">
        <is>
          <t>Unidad</t>
        </is>
      </c>
      <c r="D120" s="2" t="inlineStr">
        <is>
          <t>Cantidad</t>
        </is>
      </c>
      <c r="E120" s="2" t="inlineStr">
        <is>
          <t>Precio</t>
        </is>
      </c>
      <c r="F120" s="2" t="inlineStr">
        <is>
          <t>Importe</t>
        </is>
      </c>
      <c r="G120" s="2" t="inlineStr">
        <is>
          <t>Fuente</t>
        </is>
      </c>
    </row>
    <row r="121">
      <c r="A121" t="inlineStr">
        <is>
          <t>Mano de obra</t>
        </is>
      </c>
      <c r="B121" t="inlineStr">
        <is>
          <t>1 impermeabilizador + 1 ayudante (rend. 50 m²/jor)</t>
        </is>
      </c>
      <c r="C121" t="inlineStr">
        <is>
          <t>jor</t>
        </is>
      </c>
      <c r="D121" t="n">
        <v>0.02</v>
      </c>
      <c r="E121" s="3" t="n">
        <v>2000.47</v>
      </c>
      <c r="F121" s="3">
        <f>D121*E121</f>
        <v/>
      </c>
      <c r="G121" t="inlineStr">
        <is>
          <t>FSR 2026 Tijuana</t>
        </is>
      </c>
    </row>
    <row r="122">
      <c r="A122" t="inlineStr">
        <is>
          <t>Herramienta</t>
        </is>
      </c>
      <c r="B122" t="inlineStr">
        <is>
          <t>Herramienta menor (3% de M.O.)</t>
        </is>
      </c>
      <c r="C122" t="inlineStr">
        <is>
          <t>%</t>
        </is>
      </c>
      <c r="D122" t="n">
        <v>0.03</v>
      </c>
      <c r="E122" s="3">
        <f>SUMIF(A121:A121,"Mano de obra",F121:F121)</f>
        <v/>
      </c>
      <c r="F122" s="3">
        <f>D122*E122</f>
        <v/>
      </c>
    </row>
    <row r="123">
      <c r="E123" s="5" t="inlineStr">
        <is>
          <t>Costo directo</t>
        </is>
      </c>
      <c r="F123" s="6">
        <f>SUM(F121:F122)</f>
        <v/>
      </c>
    </row>
    <row r="125">
      <c r="A125" s="5" t="inlineStr">
        <is>
          <t>018</t>
        </is>
      </c>
      <c r="B125" s="5" t="inlineStr">
        <is>
          <t>Salida eléctrica (contacto o apagador) con tubería y cableado</t>
        </is>
      </c>
      <c r="E125" t="inlineStr">
        <is>
          <t>sal</t>
        </is>
      </c>
    </row>
    <row r="126">
      <c r="A126" s="2" t="inlineStr">
        <is>
          <t>Tipo</t>
        </is>
      </c>
      <c r="B126" s="2" t="inlineStr">
        <is>
          <t>Insumo</t>
        </is>
      </c>
      <c r="C126" s="2" t="inlineStr">
        <is>
          <t>Unidad</t>
        </is>
      </c>
      <c r="D126" s="2" t="inlineStr">
        <is>
          <t>Cantidad</t>
        </is>
      </c>
      <c r="E126" s="2" t="inlineStr">
        <is>
          <t>Precio</t>
        </is>
      </c>
      <c r="F126" s="2" t="inlineStr">
        <is>
          <t>Importe</t>
        </is>
      </c>
      <c r="G126" s="2" t="inlineStr">
        <is>
          <t>Fuente</t>
        </is>
      </c>
    </row>
    <row r="127">
      <c r="A127" t="inlineStr">
        <is>
          <t>Mano de obra</t>
        </is>
      </c>
      <c r="B127" t="inlineStr">
        <is>
          <t>1 electricista + 1 ayudante (rend. 5 sal/jor)</t>
        </is>
      </c>
      <c r="C127" t="inlineStr">
        <is>
          <t>jor</t>
        </is>
      </c>
      <c r="D127" t="n">
        <v>0.2</v>
      </c>
      <c r="E127" s="3" t="n">
        <v>2175.34</v>
      </c>
      <c r="F127" s="3">
        <f>D127*E127</f>
        <v/>
      </c>
      <c r="G127" t="inlineStr">
        <is>
          <t>FSR 2026 Tijuana</t>
        </is>
      </c>
    </row>
    <row r="128">
      <c r="A128" t="inlineStr">
        <is>
          <t>Herramienta</t>
        </is>
      </c>
      <c r="B128" t="inlineStr">
        <is>
          <t>Herramienta menor (3% de M.O.)</t>
        </is>
      </c>
      <c r="C128" t="inlineStr">
        <is>
          <t>%</t>
        </is>
      </c>
      <c r="D128" t="n">
        <v>0.03</v>
      </c>
      <c r="E128" s="3">
        <f>SUMIF(A127:A127,"Mano de obra",F127:F127)</f>
        <v/>
      </c>
      <c r="F128" s="3">
        <f>D128*E128</f>
        <v/>
      </c>
    </row>
    <row r="129">
      <c r="E129" s="5" t="inlineStr">
        <is>
          <t>Costo directo</t>
        </is>
      </c>
      <c r="F129" s="6">
        <f>SUM(F127:F128)</f>
        <v/>
      </c>
    </row>
    <row r="131">
      <c r="A131" s="5" t="inlineStr">
        <is>
          <t>019</t>
        </is>
      </c>
      <c r="B131" s="5" t="inlineStr">
        <is>
          <t>Salida hidráulica o sanitaria por mueble</t>
        </is>
      </c>
      <c r="E131" t="inlineStr">
        <is>
          <t>sal</t>
        </is>
      </c>
    </row>
    <row r="132">
      <c r="A132" s="2" t="inlineStr">
        <is>
          <t>Tipo</t>
        </is>
      </c>
      <c r="B132" s="2" t="inlineStr">
        <is>
          <t>Insumo</t>
        </is>
      </c>
      <c r="C132" s="2" t="inlineStr">
        <is>
          <t>Unidad</t>
        </is>
      </c>
      <c r="D132" s="2" t="inlineStr">
        <is>
          <t>Cantidad</t>
        </is>
      </c>
      <c r="E132" s="2" t="inlineStr">
        <is>
          <t>Precio</t>
        </is>
      </c>
      <c r="F132" s="2" t="inlineStr">
        <is>
          <t>Importe</t>
        </is>
      </c>
      <c r="G132" s="2" t="inlineStr">
        <is>
          <t>Fuente</t>
        </is>
      </c>
    </row>
    <row r="133">
      <c r="A133" t="inlineStr">
        <is>
          <t>Mano de obra</t>
        </is>
      </c>
      <c r="B133" t="inlineStr">
        <is>
          <t>1 plomero + 1 ayudante (rend. 2.5 sal/jor)</t>
        </is>
      </c>
      <c r="C133" t="inlineStr">
        <is>
          <t>jor</t>
        </is>
      </c>
      <c r="D133" t="n">
        <v>0.4</v>
      </c>
      <c r="E133" s="3" t="n">
        <v>2175.34</v>
      </c>
      <c r="F133" s="3">
        <f>D133*E133</f>
        <v/>
      </c>
      <c r="G133" t="inlineStr">
        <is>
          <t>FSR 2026 Tijuana</t>
        </is>
      </c>
    </row>
    <row r="134">
      <c r="A134" t="inlineStr">
        <is>
          <t>Herramienta</t>
        </is>
      </c>
      <c r="B134" t="inlineStr">
        <is>
          <t>Herramienta menor (3% de M.O.)</t>
        </is>
      </c>
      <c r="C134" t="inlineStr">
        <is>
          <t>%</t>
        </is>
      </c>
      <c r="D134" t="n">
        <v>0.03</v>
      </c>
      <c r="E134" s="3">
        <f>SUMIF(A133:A133,"Mano de obra",F133:F133)</f>
        <v/>
      </c>
      <c r="F134" s="3">
        <f>D134*E134</f>
        <v/>
      </c>
    </row>
    <row r="135">
      <c r="E135" s="5" t="inlineStr">
        <is>
          <t>Costo directo</t>
        </is>
      </c>
      <c r="F135" s="6">
        <f>SUM(F133:F134)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5" customWidth="1" min="4" max="4"/>
    <col width="20" customWidth="1" min="5" max="5"/>
  </cols>
  <sheetData>
    <row r="1">
      <c r="A1" s="2" t="inlineStr">
        <is>
          <t>Tipo</t>
        </is>
      </c>
      <c r="B1" s="2" t="inlineStr">
        <is>
          <t>Insumo</t>
        </is>
      </c>
      <c r="C1" s="2" t="inlineStr">
        <is>
          <t>Unidad</t>
        </is>
      </c>
      <c r="D1" s="2" t="inlineStr">
        <is>
          <t>Cantidad total</t>
        </is>
      </c>
      <c r="E1" s="2" t="inlineStr">
        <is>
          <t>Importe (costo directo)</t>
        </is>
      </c>
    </row>
    <row r="2">
      <c r="A2" t="inlineStr">
        <is>
          <t>Equipo</t>
        </is>
      </c>
      <c r="B2" t="inlineStr">
        <is>
          <t>Bomba de concreto con pluma (cargo por m³)</t>
        </is>
      </c>
      <c r="C2" t="inlineStr">
        <is>
          <t>m³</t>
        </is>
      </c>
      <c r="D2" t="n">
        <v>25.8</v>
      </c>
      <c r="E2" s="3" t="n">
        <v>9030</v>
      </c>
    </row>
    <row r="3">
      <c r="A3" t="inlineStr">
        <is>
          <t>Equipo</t>
        </is>
      </c>
      <c r="B3" t="inlineStr">
        <is>
          <t>Vibrador de chicote a gasolina</t>
        </is>
      </c>
      <c r="C3" t="inlineStr">
        <is>
          <t>jornada</t>
        </is>
      </c>
      <c r="D3" t="n">
        <v>0.573</v>
      </c>
      <c r="E3" s="3" t="n">
        <v>243.67</v>
      </c>
    </row>
    <row r="4">
      <c r="A4" t="inlineStr">
        <is>
          <t>Mano de obra</t>
        </is>
      </c>
      <c r="B4" t="inlineStr">
        <is>
          <t>1 azulejero + 1 ayudante (rend. 15 m²/jor)</t>
        </is>
      </c>
      <c r="C4" t="inlineStr">
        <is>
          <t>jor</t>
        </is>
      </c>
      <c r="D4" t="n">
        <v>10</v>
      </c>
      <c r="E4" s="3" t="n">
        <v>20879.1</v>
      </c>
    </row>
    <row r="5">
      <c r="A5" t="inlineStr">
        <is>
          <t>Mano de obra</t>
        </is>
      </c>
      <c r="B5" t="inlineStr">
        <is>
          <t>1 carpintero + 1 ayudante (+0.1 cabo) (rend. 12 m²/jor)</t>
        </is>
      </c>
      <c r="C5" t="inlineStr">
        <is>
          <t>jor</t>
        </is>
      </c>
      <c r="D5" t="n">
        <v>13.333</v>
      </c>
      <c r="E5" s="3" t="n">
        <v>29621.28</v>
      </c>
    </row>
    <row r="6">
      <c r="A6" t="inlineStr">
        <is>
          <t>Mano de obra</t>
        </is>
      </c>
      <c r="B6" t="inlineStr">
        <is>
          <t>1 carpintero + 1 ayudante (+0.1 cabo) (rend. 8 m²/jor)</t>
        </is>
      </c>
      <c r="C6" t="inlineStr">
        <is>
          <t>jor</t>
        </is>
      </c>
      <c r="D6" t="n">
        <v>0.84</v>
      </c>
      <c r="E6" s="3" t="n">
        <v>1866.14</v>
      </c>
    </row>
    <row r="7">
      <c r="A7" t="inlineStr">
        <is>
          <t>Mano de obra</t>
        </is>
      </c>
      <c r="B7" t="inlineStr">
        <is>
          <t>1 carpintero + 1 ayudante (+0.1 cabo) (rend. 8.5 m²/jor)</t>
        </is>
      </c>
      <c r="C7" t="inlineStr">
        <is>
          <t>jor</t>
        </is>
      </c>
      <c r="D7" t="n">
        <v>1.471</v>
      </c>
      <c r="E7" s="3" t="n">
        <v>3267.05</v>
      </c>
    </row>
    <row r="8">
      <c r="A8" t="inlineStr">
        <is>
          <t>Mano de obra</t>
        </is>
      </c>
      <c r="B8" t="inlineStr">
        <is>
          <t>1 carpintero + 1 ayudante (+0.1 cabo) (rend. 9.5 m²/jor)</t>
        </is>
      </c>
      <c r="C8" t="inlineStr">
        <is>
          <t>jor</t>
        </is>
      </c>
      <c r="D8" t="n">
        <v>4.547</v>
      </c>
      <c r="E8" s="3" t="n">
        <v>10102.42</v>
      </c>
    </row>
    <row r="9">
      <c r="A9" t="inlineStr">
        <is>
          <t>Mano de obra</t>
        </is>
      </c>
      <c r="B9" t="inlineStr">
        <is>
          <t>1 electricista + 1 ayudante (rend. 5 sal/jor)</t>
        </is>
      </c>
      <c r="C9" t="inlineStr">
        <is>
          <t>jor</t>
        </is>
      </c>
      <c r="D9" t="n">
        <v>14</v>
      </c>
      <c r="E9" s="3" t="n">
        <v>30454.83</v>
      </c>
    </row>
    <row r="10">
      <c r="A10" t="inlineStr">
        <is>
          <t>Mano de obra</t>
        </is>
      </c>
      <c r="B10" t="inlineStr">
        <is>
          <t>1 fierrero + 1 ayudante (+0.1 cabo) (rend. 215 kg/jor)</t>
        </is>
      </c>
      <c r="C10" t="inlineStr">
        <is>
          <t>jor</t>
        </is>
      </c>
      <c r="D10" t="n">
        <v>10.233</v>
      </c>
      <c r="E10" s="3" t="n">
        <v>22732.61</v>
      </c>
    </row>
    <row r="11">
      <c r="A11" t="inlineStr">
        <is>
          <t>Mano de obra</t>
        </is>
      </c>
      <c r="B11" t="inlineStr">
        <is>
          <t>1 fierrero + 1 ayudante (+0.1 cabo) (rend. 330 kg/jor)</t>
        </is>
      </c>
      <c r="C11" t="inlineStr">
        <is>
          <t>jor</t>
        </is>
      </c>
      <c r="D11" t="n">
        <v>2.727</v>
      </c>
      <c r="E11" s="3" t="n">
        <v>6058.9</v>
      </c>
    </row>
    <row r="12">
      <c r="A12" t="inlineStr">
        <is>
          <t>Mano de obra</t>
        </is>
      </c>
      <c r="B12" t="inlineStr">
        <is>
          <t>1 impermeabilizador + 1 ayudante (rend. 50 m²/jor)</t>
        </is>
      </c>
      <c r="C12" t="inlineStr">
        <is>
          <t>jor</t>
        </is>
      </c>
      <c r="D12" t="n">
        <v>1.7</v>
      </c>
      <c r="E12" s="3" t="n">
        <v>3400.81</v>
      </c>
    </row>
    <row r="13">
      <c r="A13" t="inlineStr">
        <is>
          <t>Mano de obra</t>
        </is>
      </c>
      <c r="B13" t="inlineStr">
        <is>
          <t>1 oficial albañil + 1 peón (+0.1 cabo) (rend. 10.5 m²/jor)</t>
        </is>
      </c>
      <c r="C13" t="inlineStr">
        <is>
          <t>jor</t>
        </is>
      </c>
      <c r="D13" t="n">
        <v>22.731</v>
      </c>
      <c r="E13" s="3" t="n">
        <v>49705.04</v>
      </c>
    </row>
    <row r="14">
      <c r="A14" t="inlineStr">
        <is>
          <t>Mano de obra</t>
        </is>
      </c>
      <c r="B14" t="inlineStr">
        <is>
          <t>1 oficial albañil + 1 peón (+0.1 cabo) (rend. 12 m²/jor)</t>
        </is>
      </c>
      <c r="C14" t="inlineStr">
        <is>
          <t>jor</t>
        </is>
      </c>
      <c r="D14" t="n">
        <v>29.835</v>
      </c>
      <c r="E14" s="3" t="n">
        <v>65237.87</v>
      </c>
    </row>
    <row r="15">
      <c r="A15" t="inlineStr">
        <is>
          <t>Mano de obra</t>
        </is>
      </c>
      <c r="B15" t="inlineStr">
        <is>
          <t>1 oficial albañil + 1 peón (+0.1 cabo) (rend. 7 ml/jor)</t>
        </is>
      </c>
      <c r="C15" t="inlineStr">
        <is>
          <t>jor</t>
        </is>
      </c>
      <c r="D15" t="n">
        <v>33.257</v>
      </c>
      <c r="E15" s="3" t="n">
        <v>72720.8</v>
      </c>
    </row>
    <row r="16">
      <c r="A16" t="inlineStr">
        <is>
          <t>Mano de obra</t>
        </is>
      </c>
      <c r="B16" t="inlineStr">
        <is>
          <t>1 oficial albañil + 2 peones (+0.1 cabo) (rend. 30 m²/jor)</t>
        </is>
      </c>
      <c r="C16" t="inlineStr">
        <is>
          <t>jor</t>
        </is>
      </c>
      <c r="D16" t="n">
        <v>3.387</v>
      </c>
      <c r="E16" s="3" t="n">
        <v>10481.91</v>
      </c>
    </row>
    <row r="17">
      <c r="A17" t="inlineStr">
        <is>
          <t>Mano de obra</t>
        </is>
      </c>
      <c r="B17" t="inlineStr">
        <is>
          <t>1 peón (rend. 3.75 m³/jor)</t>
        </is>
      </c>
      <c r="C17" t="inlineStr">
        <is>
          <t>jor</t>
        </is>
      </c>
      <c r="D17" t="n">
        <v>12.392</v>
      </c>
      <c r="E17" s="3" t="n">
        <v>11257.27</v>
      </c>
    </row>
    <row r="18">
      <c r="A18" t="inlineStr">
        <is>
          <t>Mano de obra</t>
        </is>
      </c>
      <c r="B18" t="inlineStr">
        <is>
          <t>1 pintor (rend. 50 m²/jor)</t>
        </is>
      </c>
      <c r="C18" t="inlineStr">
        <is>
          <t>jor</t>
        </is>
      </c>
      <c r="D18" t="n">
        <v>12.747</v>
      </c>
      <c r="E18" s="3" t="n">
        <v>13920.51</v>
      </c>
    </row>
    <row r="19">
      <c r="A19" t="inlineStr">
        <is>
          <t>Mano de obra</t>
        </is>
      </c>
      <c r="B19" t="inlineStr">
        <is>
          <t>1 plomero + 1 ayudante (rend. 2.5 sal/jor)</t>
        </is>
      </c>
      <c r="C19" t="inlineStr">
        <is>
          <t>jor</t>
        </is>
      </c>
      <c r="D19" t="n">
        <v>7.2</v>
      </c>
      <c r="E19" s="3" t="n">
        <v>15662.48</v>
      </c>
    </row>
    <row r="20">
      <c r="A20" t="inlineStr">
        <is>
          <t>Mano de obra</t>
        </is>
      </c>
      <c r="B20" t="inlineStr">
        <is>
          <t>Colado: 2 oficiales + 6 peones + cabo (rend. 47.5 m³/jor)</t>
        </is>
      </c>
      <c r="C20" t="inlineStr">
        <is>
          <t>jor</t>
        </is>
      </c>
      <c r="D20" t="n">
        <v>0.543</v>
      </c>
      <c r="E20" s="3" t="n">
        <v>5005.93</v>
      </c>
    </row>
    <row r="21">
      <c r="A21" t="inlineStr">
        <is>
          <t>Material</t>
        </is>
      </c>
      <c r="B21" t="inlineStr">
        <is>
          <t>Alambre recocido Cal. 18</t>
        </is>
      </c>
      <c r="C21" t="inlineStr">
        <is>
          <t>kg</t>
        </is>
      </c>
      <c r="D21" t="n">
        <v>57.5</v>
      </c>
      <c r="E21" s="3" t="n">
        <v>2087.25</v>
      </c>
    </row>
    <row r="22">
      <c r="A22" t="inlineStr">
        <is>
          <t>Material</t>
        </is>
      </c>
      <c r="B22" t="inlineStr">
        <is>
          <t>Arena de mina / río Varía por banco</t>
        </is>
      </c>
      <c r="C22" t="inlineStr">
        <is>
          <t>m³</t>
        </is>
      </c>
      <c r="D22" t="n">
        <v>13.955</v>
      </c>
      <c r="E22" s="3" t="n">
        <v>9977.68</v>
      </c>
    </row>
    <row r="23">
      <c r="A23" t="inlineStr">
        <is>
          <t>Material</t>
        </is>
      </c>
      <c r="B23" t="inlineStr">
        <is>
          <t>Armex castillo prefabricado 15x15-4, tramo 6 m</t>
        </is>
      </c>
      <c r="C23" t="inlineStr">
        <is>
          <t>tramo</t>
        </is>
      </c>
      <c r="D23" t="n">
        <v>21.84</v>
      </c>
      <c r="E23" s="3" t="n">
        <v>7267.26</v>
      </c>
    </row>
    <row r="24">
      <c r="A24" t="inlineStr">
        <is>
          <t>Material</t>
        </is>
      </c>
      <c r="B24" t="inlineStr">
        <is>
          <t>Block de concreto hueco 15x20x40 cm</t>
        </is>
      </c>
      <c r="C24" t="inlineStr">
        <is>
          <t>pza</t>
        </is>
      </c>
      <c r="D24" t="n">
        <v>3078.972</v>
      </c>
      <c r="E24" s="3" t="n">
        <v>60963.65</v>
      </c>
    </row>
    <row r="25">
      <c r="A25" t="inlineStr">
        <is>
          <t>Material</t>
        </is>
      </c>
      <c r="B25" t="inlineStr">
        <is>
          <t>Cal hidratada Bulto 25 kg</t>
        </is>
      </c>
      <c r="C25" t="inlineStr">
        <is>
          <t>bulto</t>
        </is>
      </c>
      <c r="D25" t="n">
        <v>17.901</v>
      </c>
      <c r="E25" s="3" t="n">
        <v>2067.57</v>
      </c>
    </row>
    <row r="26">
      <c r="A26" t="inlineStr">
        <is>
          <t>Material</t>
        </is>
      </c>
      <c r="B26" t="inlineStr">
        <is>
          <t>Cemento gris CPC 30R Bulto 50 kg, menudeo</t>
        </is>
      </c>
      <c r="C26" t="inlineStr">
        <is>
          <t>bulto</t>
        </is>
      </c>
      <c r="D26" t="n">
        <v>104.835</v>
      </c>
      <c r="E26" s="3" t="n">
        <v>26523.26</v>
      </c>
    </row>
    <row r="27">
      <c r="A27" t="inlineStr">
        <is>
          <t>Material</t>
        </is>
      </c>
      <c r="B27" t="inlineStr">
        <is>
          <t>Concreto premezclado f'c 200 Solo suministro</t>
        </is>
      </c>
      <c r="C27" t="inlineStr">
        <is>
          <t>m³</t>
        </is>
      </c>
      <c r="D27" t="n">
        <v>8.4</v>
      </c>
      <c r="E27" s="3" t="n">
        <v>23100</v>
      </c>
    </row>
    <row r="28">
      <c r="A28" t="inlineStr">
        <is>
          <t>Material</t>
        </is>
      </c>
      <c r="B28" t="inlineStr">
        <is>
          <t>Concreto premezclado f'c 250 Solo suministro</t>
        </is>
      </c>
      <c r="C28" t="inlineStr">
        <is>
          <t>m³</t>
        </is>
      </c>
      <c r="D28" t="n">
        <v>26.574</v>
      </c>
      <c r="E28" s="3" t="n">
        <v>83309.49000000001</v>
      </c>
    </row>
    <row r="29">
      <c r="A29" t="inlineStr">
        <is>
          <t>Material</t>
        </is>
      </c>
      <c r="B29" t="inlineStr">
        <is>
          <t>Grava 3/4" Triturada o de banco</t>
        </is>
      </c>
      <c r="C29" t="inlineStr">
        <is>
          <t>m³</t>
        </is>
      </c>
      <c r="D29" t="n">
        <v>2.736</v>
      </c>
      <c r="E29" s="3" t="n">
        <v>2166.91</v>
      </c>
    </row>
    <row r="30">
      <c r="A30" t="inlineStr">
        <is>
          <t>Material</t>
        </is>
      </c>
      <c r="B30" t="inlineStr">
        <is>
          <t>Malla electrosoldada 6-6/10-10</t>
        </is>
      </c>
      <c r="C30" t="inlineStr">
        <is>
          <t>m²</t>
        </is>
      </c>
      <c r="D30" t="n">
        <v>84</v>
      </c>
      <c r="E30" s="3" t="n">
        <v>6006</v>
      </c>
    </row>
    <row r="31">
      <c r="A31" t="inlineStr">
        <is>
          <t>Material</t>
        </is>
      </c>
      <c r="B31" t="inlineStr">
        <is>
          <t>Varilla corrugada 1/2" (#4) Grado 42, por tonelada</t>
        </is>
      </c>
      <c r="C31" t="inlineStr">
        <is>
          <t>ton</t>
        </is>
      </c>
      <c r="D31" t="n">
        <v>0.945</v>
      </c>
      <c r="E31" s="3" t="n">
        <v>26351.33</v>
      </c>
    </row>
    <row r="32">
      <c r="A32" t="inlineStr">
        <is>
          <t>Material</t>
        </is>
      </c>
      <c r="B32" t="inlineStr">
        <is>
          <t>Varilla corrugada 3/8" (#3) Grado 42, por tonelada</t>
        </is>
      </c>
      <c r="C32" t="inlineStr">
        <is>
          <t>ton</t>
        </is>
      </c>
      <c r="D32" t="n">
        <v>2.31</v>
      </c>
      <c r="E32" s="3" t="n">
        <v>65176.65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2026-10-19T07:33:50Z</dcterms:created>
  <dcterms:modified xmlns:dcterms="http://purl.org/dc/terms/" xmlns:xsi="http://www.w3.org/2001/XMLSchema-instance" xsi:type="dcterms:W3CDTF">2026-10-19T07:33:50Z</dcterms:modified>
</cp:coreProperties>
</file>