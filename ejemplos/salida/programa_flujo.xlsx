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" sheetId="1" state="visible" r:id="rId1"/>
    <sheet xmlns:r="http://schemas.openxmlformats.org/officeDocument/2006/relationships" name="Flujo de caja" sheetId="2" state="visible" r:id="rId2"/>
    <sheet xmlns:r="http://schemas.openxmlformats.org/officeDocument/2006/relationships" name="Curva 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2328"/>
      </patternFill>
    </fill>
    <fill>
      <patternFill patternType="solid">
        <fgColor rgb="00B23B2E"/>
      </patternFill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'Flujo de caja'!$A$2:$A$20</f>
            </numRef>
          </cat>
          <val>
            <numRef>
              <f>'Flujo de caja'!$F$2:$F$20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>
      <c r="A1" s="1" t="inlineStr">
        <is>
          <t>ID</t>
        </is>
      </c>
      <c r="B1" s="1" t="inlineStr">
        <is>
          <t>Actividad</t>
        </is>
      </c>
      <c r="C1" s="1" t="inlineStr">
        <is>
          <t>Partida</t>
        </is>
      </c>
      <c r="D1" s="1" t="inlineStr">
        <is>
          <t>Duración (días)</t>
        </is>
      </c>
      <c r="E1" s="1" t="inlineStr">
        <is>
          <t>Predecesoras</t>
        </is>
      </c>
      <c r="F1" s="1" t="inlineStr">
        <is>
          <t>Inicio temprano</t>
        </is>
      </c>
      <c r="G1" s="1" t="inlineStr">
        <is>
          <t>Fin temprano</t>
        </is>
      </c>
      <c r="H1" s="1" t="inlineStr">
        <is>
          <t>Inicio tardío</t>
        </is>
      </c>
      <c r="I1" s="1" t="inlineStr">
        <is>
          <t>Fin tardío</t>
        </is>
      </c>
      <c r="J1" s="1" t="inlineStr">
        <is>
          <t>Holgura</t>
        </is>
      </c>
      <c r="K1" s="1" t="inlineStr">
        <is>
          <t>Crítica</t>
        </is>
      </c>
      <c r="L1" s="1" t="inlineStr">
        <is>
          <t>Costo</t>
        </is>
      </c>
      <c r="N1" s="1" t="inlineStr">
        <is>
          <t>S1</t>
        </is>
      </c>
      <c r="O1" s="1" t="inlineStr">
        <is>
          <t>S2</t>
        </is>
      </c>
      <c r="P1" s="1" t="inlineStr">
        <is>
          <t>S3</t>
        </is>
      </c>
      <c r="Q1" s="1" t="inlineStr">
        <is>
          <t>S4</t>
        </is>
      </c>
      <c r="R1" s="1" t="inlineStr">
        <is>
          <t>S5</t>
        </is>
      </c>
      <c r="S1" s="1" t="inlineStr">
        <is>
          <t>S6</t>
        </is>
      </c>
      <c r="T1" s="1" t="inlineStr">
        <is>
          <t>S7</t>
        </is>
      </c>
      <c r="U1" s="1" t="inlineStr">
        <is>
          <t>S8</t>
        </is>
      </c>
      <c r="V1" s="1" t="inlineStr">
        <is>
          <t>S9</t>
        </is>
      </c>
      <c r="W1" s="1" t="inlineStr">
        <is>
          <t>S10</t>
        </is>
      </c>
      <c r="X1" s="1" t="inlineStr">
        <is>
          <t>S11</t>
        </is>
      </c>
      <c r="Y1" s="1" t="inlineStr">
        <is>
          <t>S12</t>
        </is>
      </c>
      <c r="Z1" s="1" t="inlineStr">
        <is>
          <t>S13</t>
        </is>
      </c>
    </row>
    <row r="2">
      <c r="A2" t="inlineStr">
        <is>
          <t>A01</t>
        </is>
      </c>
      <c r="B2" t="inlineStr">
        <is>
          <t>Excavación de cimentación</t>
        </is>
      </c>
      <c r="C2" t="inlineStr">
        <is>
          <t>Cimentación</t>
        </is>
      </c>
      <c r="D2" t="n">
        <v>4.5</v>
      </c>
      <c r="E2" t="inlineStr"/>
      <c r="F2" t="n">
        <v>0</v>
      </c>
      <c r="G2" t="n">
        <v>4.5</v>
      </c>
      <c r="H2" t="n">
        <v>0</v>
      </c>
      <c r="I2" t="n">
        <v>4.5</v>
      </c>
      <c r="J2">
        <f>H2-F2</f>
        <v/>
      </c>
      <c r="K2" t="inlineStr">
        <is>
          <t>Sí</t>
        </is>
      </c>
      <c r="L2" s="2" t="n">
        <v>14536.45789247031</v>
      </c>
      <c r="N2" s="3" t="n"/>
    </row>
    <row r="3">
      <c r="A3" t="inlineStr">
        <is>
          <t>A02</t>
        </is>
      </c>
      <c r="B3" t="inlineStr">
        <is>
          <t>Plantillas</t>
        </is>
      </c>
      <c r="C3" t="inlineStr">
        <is>
          <t>Cimentación</t>
        </is>
      </c>
      <c r="D3" t="n">
        <v>1</v>
      </c>
      <c r="E3" t="inlineStr">
        <is>
          <t>A01</t>
        </is>
      </c>
      <c r="F3" t="n">
        <v>4.5</v>
      </c>
      <c r="G3" t="n">
        <v>5.5</v>
      </c>
      <c r="H3" t="n">
        <v>4.5</v>
      </c>
      <c r="I3" t="n">
        <v>5.5</v>
      </c>
      <c r="J3">
        <f>H3-F3</f>
        <v/>
      </c>
      <c r="K3" t="inlineStr">
        <is>
          <t>Sí</t>
        </is>
      </c>
      <c r="L3" s="2" t="n">
        <v>6234.627515726164</v>
      </c>
      <c r="N3" s="3" t="n"/>
    </row>
    <row r="4">
      <c r="A4" t="inlineStr">
        <is>
          <t>A03</t>
        </is>
      </c>
      <c r="B4" t="inlineStr">
        <is>
          <t>Cimbra de cimentación</t>
        </is>
      </c>
      <c r="C4" t="inlineStr">
        <is>
          <t>Cimentación</t>
        </is>
      </c>
      <c r="D4" t="n">
        <v>5</v>
      </c>
      <c r="E4" t="inlineStr">
        <is>
          <t>A02</t>
        </is>
      </c>
      <c r="F4" t="n">
        <v>5.5</v>
      </c>
      <c r="G4" t="n">
        <v>10.5</v>
      </c>
      <c r="H4" t="n">
        <v>5.5</v>
      </c>
      <c r="I4" t="n">
        <v>10.5</v>
      </c>
      <c r="J4">
        <f>H4-F4</f>
        <v/>
      </c>
      <c r="K4" t="inlineStr">
        <is>
          <t>Sí</t>
        </is>
      </c>
      <c r="L4" s="2" t="n">
        <v>13045.20078729863</v>
      </c>
      <c r="N4" s="3" t="n"/>
      <c r="O4" s="3" t="n"/>
    </row>
    <row r="5">
      <c r="A5" t="inlineStr">
        <is>
          <t>A04</t>
        </is>
      </c>
      <c r="B5" t="inlineStr">
        <is>
          <t>Acero de cimentación y columnas</t>
        </is>
      </c>
      <c r="C5" t="inlineStr">
        <is>
          <t>Estructura</t>
        </is>
      </c>
      <c r="D5" t="n">
        <v>3</v>
      </c>
      <c r="E5" t="inlineStr">
        <is>
          <t>A02</t>
        </is>
      </c>
      <c r="F5" t="n">
        <v>5.5</v>
      </c>
      <c r="G5" t="n">
        <v>8.5</v>
      </c>
      <c r="H5" t="n">
        <v>7.5</v>
      </c>
      <c r="I5" t="n">
        <v>10.5</v>
      </c>
      <c r="J5">
        <f>H5-F5</f>
        <v/>
      </c>
      <c r="K5" t="inlineStr"/>
      <c r="L5" s="2" t="n">
        <v>41474.44646435494</v>
      </c>
      <c r="N5" s="4" t="n"/>
      <c r="O5" s="4" t="n"/>
    </row>
    <row r="6">
      <c r="A6" t="inlineStr">
        <is>
          <t>A05</t>
        </is>
      </c>
      <c r="B6" t="inlineStr">
        <is>
          <t>Muros de block (dos niveles)</t>
        </is>
      </c>
      <c r="C6" t="inlineStr">
        <is>
          <t>Albañilería</t>
        </is>
      </c>
      <c r="D6" t="n">
        <v>8</v>
      </c>
      <c r="E6" t="inlineStr">
        <is>
          <t>A03, A04</t>
        </is>
      </c>
      <c r="F6" t="n">
        <v>10.5</v>
      </c>
      <c r="G6" t="n">
        <v>18.5</v>
      </c>
      <c r="H6" t="n">
        <v>10.5</v>
      </c>
      <c r="I6" t="n">
        <v>18.5</v>
      </c>
      <c r="J6">
        <f>H6-F6</f>
        <v/>
      </c>
      <c r="K6" t="inlineStr">
        <is>
          <t>Sí</t>
        </is>
      </c>
      <c r="L6" s="2" t="n">
        <v>151178.8605362969</v>
      </c>
      <c r="O6" s="3" t="n"/>
      <c r="P6" s="3" t="n"/>
      <c r="Q6" s="3" t="n"/>
    </row>
    <row r="7">
      <c r="A7" t="inlineStr">
        <is>
          <t>A06</t>
        </is>
      </c>
      <c r="B7" t="inlineStr">
        <is>
          <t>Castillos</t>
        </is>
      </c>
      <c r="C7" t="inlineStr">
        <is>
          <t>Albañilería</t>
        </is>
      </c>
      <c r="D7" t="n">
        <v>9</v>
      </c>
      <c r="E7" t="inlineStr">
        <is>
          <t>A05</t>
        </is>
      </c>
      <c r="F7" t="n">
        <v>18.5</v>
      </c>
      <c r="G7" t="n">
        <v>27.5</v>
      </c>
      <c r="H7" t="n">
        <v>18.5</v>
      </c>
      <c r="I7" t="n">
        <v>27.5</v>
      </c>
      <c r="J7">
        <f>H7-F7</f>
        <v/>
      </c>
      <c r="K7" t="inlineStr">
        <is>
          <t>Sí</t>
        </is>
      </c>
      <c r="L7" s="2" t="n">
        <v>69269.78874979011</v>
      </c>
      <c r="Q7" s="3" t="n"/>
      <c r="R7" s="3" t="n"/>
    </row>
    <row r="8">
      <c r="A8" t="inlineStr">
        <is>
          <t>A07</t>
        </is>
      </c>
      <c r="B8" t="inlineStr">
        <is>
          <t>Dalas</t>
        </is>
      </c>
      <c r="C8" t="inlineStr">
        <is>
          <t>Albañilería</t>
        </is>
      </c>
      <c r="D8" t="n">
        <v>8</v>
      </c>
      <c r="E8" t="inlineStr">
        <is>
          <t>A06</t>
        </is>
      </c>
      <c r="F8" t="n">
        <v>27.5</v>
      </c>
      <c r="G8" t="n">
        <v>35.5</v>
      </c>
      <c r="H8" t="n">
        <v>27.5</v>
      </c>
      <c r="I8" t="n">
        <v>35.5</v>
      </c>
      <c r="J8">
        <f>H8-F8</f>
        <v/>
      </c>
      <c r="K8" t="inlineStr">
        <is>
          <t>Sí</t>
        </is>
      </c>
      <c r="L8" s="2" t="n">
        <v>43563.72000985245</v>
      </c>
      <c r="R8" s="3" t="n"/>
      <c r="S8" s="3" t="n"/>
    </row>
    <row r="9">
      <c r="A9" t="inlineStr">
        <is>
          <t>A08</t>
        </is>
      </c>
      <c r="B9" t="inlineStr">
        <is>
          <t>Cimbra de losas, trabes y columnas</t>
        </is>
      </c>
      <c r="C9" t="inlineStr">
        <is>
          <t>Estructura</t>
        </is>
      </c>
      <c r="D9" t="n">
        <v>7</v>
      </c>
      <c r="E9" t="inlineStr">
        <is>
          <t>A07</t>
        </is>
      </c>
      <c r="F9" t="n">
        <v>35.5</v>
      </c>
      <c r="G9" t="n">
        <v>42.5</v>
      </c>
      <c r="H9" t="n">
        <v>35.5</v>
      </c>
      <c r="I9" t="n">
        <v>42.5</v>
      </c>
      <c r="J9">
        <f>H9-F9</f>
        <v/>
      </c>
      <c r="K9" t="inlineStr">
        <is>
          <t>Sí</t>
        </is>
      </c>
      <c r="L9" s="2" t="n">
        <v>38249.81712325216</v>
      </c>
      <c r="S9" s="3" t="n"/>
      <c r="T9" s="3" t="n"/>
      <c r="U9" s="3" t="n"/>
    </row>
    <row r="10">
      <c r="A10" t="inlineStr">
        <is>
          <t>A11</t>
        </is>
      </c>
      <c r="B10" t="inlineStr">
        <is>
          <t>Instalación eléctrica</t>
        </is>
      </c>
      <c r="C10" t="inlineStr">
        <is>
          <t>Instalaciones</t>
        </is>
      </c>
      <c r="D10" t="n">
        <v>14</v>
      </c>
      <c r="E10" t="inlineStr">
        <is>
          <t>A07</t>
        </is>
      </c>
      <c r="F10" t="n">
        <v>35.5</v>
      </c>
      <c r="G10" t="n">
        <v>49.5</v>
      </c>
      <c r="H10" t="n">
        <v>37</v>
      </c>
      <c r="I10" t="n">
        <v>51</v>
      </c>
      <c r="J10">
        <f>H10-F10</f>
        <v/>
      </c>
      <c r="K10" t="inlineStr"/>
      <c r="L10" s="2" t="n">
        <v>39326.17428991987</v>
      </c>
      <c r="S10" s="4" t="n"/>
      <c r="T10" s="4" t="n"/>
      <c r="U10" s="4" t="n"/>
      <c r="V10" s="4" t="n"/>
    </row>
    <row r="11">
      <c r="A11" t="inlineStr">
        <is>
          <t>A12</t>
        </is>
      </c>
      <c r="B11" t="inlineStr">
        <is>
          <t>Instalación hidrosanitaria</t>
        </is>
      </c>
      <c r="C11" t="inlineStr">
        <is>
          <t>Instalaciones</t>
        </is>
      </c>
      <c r="D11" t="n">
        <v>7.5</v>
      </c>
      <c r="E11" t="inlineStr">
        <is>
          <t>A07</t>
        </is>
      </c>
      <c r="F11" t="n">
        <v>35.5</v>
      </c>
      <c r="G11" t="n">
        <v>43</v>
      </c>
      <c r="H11" t="n">
        <v>43.5</v>
      </c>
      <c r="I11" t="n">
        <v>51</v>
      </c>
      <c r="J11">
        <f>H11-F11</f>
        <v/>
      </c>
      <c r="K11" t="inlineStr"/>
      <c r="L11" s="2" t="n">
        <v>20224.88963481593</v>
      </c>
      <c r="S11" s="4" t="n"/>
      <c r="T11" s="4" t="n"/>
      <c r="U11" s="4" t="n"/>
    </row>
    <row r="12">
      <c r="A12" t="inlineStr">
        <is>
          <t>A09</t>
        </is>
      </c>
      <c r="B12" t="inlineStr">
        <is>
          <t>Acero de losas</t>
        </is>
      </c>
      <c r="C12" t="inlineStr">
        <is>
          <t>Estructura</t>
        </is>
      </c>
      <c r="D12" t="n">
        <v>5.5</v>
      </c>
      <c r="E12" t="inlineStr">
        <is>
          <t>A08</t>
        </is>
      </c>
      <c r="F12" t="n">
        <v>42.5</v>
      </c>
      <c r="G12" t="n">
        <v>48</v>
      </c>
      <c r="H12" t="n">
        <v>42.5</v>
      </c>
      <c r="I12" t="n">
        <v>48</v>
      </c>
      <c r="J12">
        <f>H12-F12</f>
        <v/>
      </c>
      <c r="K12" t="inlineStr">
        <is>
          <t>Sí</t>
        </is>
      </c>
      <c r="L12" s="2" t="n">
        <v>113067.8626073728</v>
      </c>
      <c r="U12" s="3" t="n"/>
    </row>
    <row r="13">
      <c r="A13" t="inlineStr">
        <is>
          <t>A10</t>
        </is>
      </c>
      <c r="B13" t="inlineStr">
        <is>
          <t>Colados (cimentación y losas)</t>
        </is>
      </c>
      <c r="C13" t="inlineStr">
        <is>
          <t>Estructura</t>
        </is>
      </c>
      <c r="D13" t="n">
        <v>3</v>
      </c>
      <c r="E13" t="inlineStr">
        <is>
          <t>A09</t>
        </is>
      </c>
      <c r="F13" t="n">
        <v>48</v>
      </c>
      <c r="G13" t="n">
        <v>51</v>
      </c>
      <c r="H13" t="n">
        <v>48</v>
      </c>
      <c r="I13" t="n">
        <v>51</v>
      </c>
      <c r="J13">
        <f>H13-F13</f>
        <v/>
      </c>
      <c r="K13" t="inlineStr">
        <is>
          <t>Sí</t>
        </is>
      </c>
      <c r="L13" s="2" t="n">
        <v>122534.2226751816</v>
      </c>
      <c r="V13" s="3" t="n"/>
    </row>
    <row r="14">
      <c r="A14" t="inlineStr">
        <is>
          <t>A13</t>
        </is>
      </c>
      <c r="B14" t="inlineStr">
        <is>
          <t>Firmes</t>
        </is>
      </c>
      <c r="C14" t="inlineStr">
        <is>
          <t>Albañilería</t>
        </is>
      </c>
      <c r="D14" t="n">
        <v>3</v>
      </c>
      <c r="E14" t="inlineStr">
        <is>
          <t>A10, A12</t>
        </is>
      </c>
      <c r="F14" t="n">
        <v>51</v>
      </c>
      <c r="G14" t="n">
        <v>54</v>
      </c>
      <c r="H14" t="n">
        <v>58</v>
      </c>
      <c r="I14" t="n">
        <v>61</v>
      </c>
      <c r="J14">
        <f>H14-F14</f>
        <v/>
      </c>
      <c r="K14" t="inlineStr"/>
      <c r="L14" s="2" t="n">
        <v>47147.41585394574</v>
      </c>
      <c r="V14" s="4" t="n"/>
    </row>
    <row r="15">
      <c r="A15" t="inlineStr">
        <is>
          <t>A14</t>
        </is>
      </c>
      <c r="B15" t="inlineStr">
        <is>
          <t>Aplanados</t>
        </is>
      </c>
      <c r="C15" t="inlineStr">
        <is>
          <t>Acabados</t>
        </is>
      </c>
      <c r="D15" t="n">
        <v>10</v>
      </c>
      <c r="E15" t="inlineStr">
        <is>
          <t>A11, A12, A10</t>
        </is>
      </c>
      <c r="F15" t="n">
        <v>51</v>
      </c>
      <c r="G15" t="n">
        <v>61</v>
      </c>
      <c r="H15" t="n">
        <v>51</v>
      </c>
      <c r="I15" t="n">
        <v>61</v>
      </c>
      <c r="J15">
        <f>H15-F15</f>
        <v/>
      </c>
      <c r="K15" t="inlineStr">
        <is>
          <t>Sí</t>
        </is>
      </c>
      <c r="L15" s="2" t="n">
        <v>111569.2217052643</v>
      </c>
      <c r="V15" s="3" t="n"/>
      <c r="W15" s="3" t="n"/>
      <c r="X15" s="3" t="n"/>
    </row>
    <row r="16">
      <c r="A16" t="inlineStr">
        <is>
          <t>A15</t>
        </is>
      </c>
      <c r="B16" t="inlineStr">
        <is>
          <t>Impermeabilización</t>
        </is>
      </c>
      <c r="C16" t="inlineStr">
        <is>
          <t>Acabados</t>
        </is>
      </c>
      <c r="D16" t="n">
        <v>2</v>
      </c>
      <c r="E16" t="inlineStr">
        <is>
          <t>A10</t>
        </is>
      </c>
      <c r="F16" t="n">
        <v>51</v>
      </c>
      <c r="G16" t="n">
        <v>53</v>
      </c>
      <c r="H16" t="n">
        <v>70.5</v>
      </c>
      <c r="I16" t="n">
        <v>72.5</v>
      </c>
      <c r="J16">
        <f>H16-F16</f>
        <v/>
      </c>
      <c r="K16" t="inlineStr"/>
      <c r="L16" s="2" t="n">
        <v>4391.445530908481</v>
      </c>
      <c r="V16" s="4" t="n"/>
    </row>
    <row r="17">
      <c r="A17" t="inlineStr">
        <is>
          <t>A16</t>
        </is>
      </c>
      <c r="B17" t="inlineStr">
        <is>
          <t>Pisos cerámicos</t>
        </is>
      </c>
      <c r="C17" t="inlineStr">
        <is>
          <t>Acabados</t>
        </is>
      </c>
      <c r="D17" t="n">
        <v>5</v>
      </c>
      <c r="E17" t="inlineStr">
        <is>
          <t>A13, A14</t>
        </is>
      </c>
      <c r="F17" t="n">
        <v>61</v>
      </c>
      <c r="G17" t="n">
        <v>66</v>
      </c>
      <c r="H17" t="n">
        <v>61</v>
      </c>
      <c r="I17" t="n">
        <v>66</v>
      </c>
      <c r="J17">
        <f>H17-F17</f>
        <v/>
      </c>
      <c r="K17" t="inlineStr">
        <is>
          <t>Sí</t>
        </is>
      </c>
      <c r="L17" s="2" t="n">
        <v>26961.07851377783</v>
      </c>
      <c r="X17" s="3" t="n"/>
    </row>
    <row r="18">
      <c r="A18" t="inlineStr">
        <is>
          <t>A17</t>
        </is>
      </c>
      <c r="B18" t="inlineStr">
        <is>
          <t>Pintura</t>
        </is>
      </c>
      <c r="C18" t="inlineStr">
        <is>
          <t>Acabados</t>
        </is>
      </c>
      <c r="D18" t="n">
        <v>6.5</v>
      </c>
      <c r="E18" t="inlineStr">
        <is>
          <t>A16</t>
        </is>
      </c>
      <c r="F18" t="n">
        <v>66</v>
      </c>
      <c r="G18" t="n">
        <v>72.5</v>
      </c>
      <c r="H18" t="n">
        <v>66</v>
      </c>
      <c r="I18" t="n">
        <v>72.5</v>
      </c>
      <c r="J18">
        <f>H18-F18</f>
        <v/>
      </c>
      <c r="K18" t="inlineStr">
        <is>
          <t>Sí</t>
        </is>
      </c>
      <c r="L18" s="2" t="n">
        <v>17975.4826212499</v>
      </c>
      <c r="Y18" s="3" t="n"/>
      <c r="Z1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Semana</t>
        </is>
      </c>
      <c r="B1" s="1" t="inlineStr">
        <is>
          <t>Costo programado</t>
        </is>
      </c>
      <c r="C1" s="1" t="inlineStr">
        <is>
          <t>Ingresos</t>
        </is>
      </c>
      <c r="D1" s="1" t="inlineStr">
        <is>
          <t>Egresos</t>
        </is>
      </c>
      <c r="E1" s="1" t="inlineStr">
        <is>
          <t>Saldo</t>
        </is>
      </c>
      <c r="F1" s="1" t="inlineStr">
        <is>
          <t>Acumulado</t>
        </is>
      </c>
    </row>
    <row r="2">
      <c r="A2" t="n">
        <v>1</v>
      </c>
      <c r="B2" s="2" t="n">
        <v>28988.01</v>
      </c>
      <c r="C2" s="2" t="n">
        <v>264225.21</v>
      </c>
      <c r="D2" s="2" t="n">
        <v>10145.8</v>
      </c>
      <c r="E2" s="2">
        <f>C2-D2</f>
        <v/>
      </c>
      <c r="F2" s="2">
        <f>E2</f>
        <v/>
      </c>
    </row>
    <row r="3">
      <c r="A3" t="n">
        <v>2</v>
      </c>
      <c r="B3" s="2" t="n">
        <v>74648.75999999999</v>
      </c>
      <c r="C3" s="2" t="n">
        <v>0</v>
      </c>
      <c r="D3" s="2" t="n">
        <v>29025.87</v>
      </c>
      <c r="E3" s="2">
        <f>C3-D3</f>
        <v/>
      </c>
      <c r="F3" s="2">
        <f>F2+E3</f>
        <v/>
      </c>
    </row>
    <row r="4">
      <c r="A4" t="n">
        <v>3</v>
      </c>
      <c r="B4" s="2" t="n">
        <v>113384.15</v>
      </c>
      <c r="C4" s="2" t="n">
        <v>0</v>
      </c>
      <c r="D4" s="2" t="n">
        <v>63092.73</v>
      </c>
      <c r="E4" s="2">
        <f>C4-D4</f>
        <v/>
      </c>
      <c r="F4" s="2">
        <f>F3+E4</f>
        <v/>
      </c>
    </row>
    <row r="5">
      <c r="A5" t="n">
        <v>4</v>
      </c>
      <c r="B5" s="2" t="n">
        <v>51780.22</v>
      </c>
      <c r="C5" s="2" t="n">
        <v>67363.89999999999</v>
      </c>
      <c r="D5" s="2" t="n">
        <v>70518.31</v>
      </c>
      <c r="E5" s="2">
        <f>C5-D5</f>
        <v/>
      </c>
      <c r="F5" s="2">
        <f>F4+E5</f>
        <v/>
      </c>
    </row>
    <row r="6">
      <c r="A6" t="n">
        <v>5</v>
      </c>
      <c r="B6" s="2" t="n">
        <v>40551.91</v>
      </c>
      <c r="C6" s="2" t="n">
        <v>0</v>
      </c>
      <c r="D6" s="2" t="n">
        <v>81732.47</v>
      </c>
      <c r="E6" s="2">
        <f>C6-D6</f>
        <v/>
      </c>
      <c r="F6" s="2">
        <f>F5+E6</f>
        <v/>
      </c>
    </row>
    <row r="7">
      <c r="A7" t="n">
        <v>6</v>
      </c>
      <c r="B7" s="2" t="n">
        <v>35435.02</v>
      </c>
      <c r="C7" s="2" t="n">
        <v>107356.84</v>
      </c>
      <c r="D7" s="2" t="n">
        <v>44936.57</v>
      </c>
      <c r="E7" s="2">
        <f>C7-D7</f>
        <v/>
      </c>
      <c r="F7" s="2">
        <f>F6+E7</f>
        <v/>
      </c>
    </row>
    <row r="8">
      <c r="A8" t="n">
        <v>7</v>
      </c>
      <c r="B8" s="2" t="n">
        <v>65819.53999999999</v>
      </c>
      <c r="C8" s="2" t="n">
        <v>0</v>
      </c>
      <c r="D8" s="2" t="n">
        <v>48883.89</v>
      </c>
      <c r="E8" s="2">
        <f>C8-D8</f>
        <v/>
      </c>
      <c r="F8" s="2">
        <f>F7+E8</f>
        <v/>
      </c>
    </row>
    <row r="9">
      <c r="A9" t="n">
        <v>8</v>
      </c>
      <c r="B9" s="2" t="n">
        <v>135350.72</v>
      </c>
      <c r="C9" s="2" t="n">
        <v>49391.51</v>
      </c>
      <c r="D9" s="2" t="n">
        <v>73443.97</v>
      </c>
      <c r="E9" s="2">
        <f>C9-D9</f>
        <v/>
      </c>
      <c r="F9" s="2">
        <f>F8+E9</f>
        <v/>
      </c>
    </row>
    <row r="10">
      <c r="A10" t="n">
        <v>9</v>
      </c>
      <c r="B10" s="2" t="n">
        <v>211757.37</v>
      </c>
      <c r="C10" s="2" t="n">
        <v>0</v>
      </c>
      <c r="D10" s="2" t="n">
        <v>123850.9</v>
      </c>
      <c r="E10" s="2">
        <f>C10-D10</f>
        <v/>
      </c>
      <c r="F10" s="2">
        <f>F9+E10</f>
        <v/>
      </c>
    </row>
    <row r="11">
      <c r="A11" t="n">
        <v>10</v>
      </c>
      <c r="B11" s="2" t="n">
        <v>66941.53</v>
      </c>
      <c r="C11" s="2" t="n">
        <v>130760.67</v>
      </c>
      <c r="D11" s="2" t="n">
        <v>119048.17</v>
      </c>
      <c r="E11" s="2">
        <f>C11-D11</f>
        <v/>
      </c>
      <c r="F11" s="2">
        <f>F10+E11</f>
        <v/>
      </c>
    </row>
    <row r="12">
      <c r="A12" t="n">
        <v>11</v>
      </c>
      <c r="B12" s="2" t="n">
        <v>38118</v>
      </c>
      <c r="C12" s="2" t="n">
        <v>0</v>
      </c>
      <c r="D12" s="2" t="n">
        <v>136502.01</v>
      </c>
      <c r="E12" s="2">
        <f>C12-D12</f>
        <v/>
      </c>
      <c r="F12" s="2">
        <f>F11+E12</f>
        <v/>
      </c>
    </row>
    <row r="13">
      <c r="A13" t="n">
        <v>12</v>
      </c>
      <c r="B13" s="2" t="n">
        <v>16592.75</v>
      </c>
      <c r="C13" s="2" t="n">
        <v>181154.29</v>
      </c>
      <c r="D13" s="2" t="n">
        <v>46437.11</v>
      </c>
      <c r="E13" s="2">
        <f>C13-D13</f>
        <v/>
      </c>
      <c r="F13" s="2">
        <f>F12+E13</f>
        <v/>
      </c>
    </row>
    <row r="14">
      <c r="A14" t="n">
        <v>13</v>
      </c>
      <c r="B14" s="2" t="n">
        <v>1382.73</v>
      </c>
      <c r="C14" s="2" t="n">
        <v>0</v>
      </c>
      <c r="D14" s="2" t="n">
        <v>23108.13</v>
      </c>
      <c r="E14" s="2">
        <f>C14-D14</f>
        <v/>
      </c>
      <c r="F14" s="2">
        <f>F13+E14</f>
        <v/>
      </c>
    </row>
    <row r="15">
      <c r="A15" t="n">
        <v>14</v>
      </c>
      <c r="B15" s="2" t="n">
        <v>0</v>
      </c>
      <c r="C15" s="2" t="n">
        <v>35561.99</v>
      </c>
      <c r="D15" s="2" t="n">
        <v>9264.290000000001</v>
      </c>
      <c r="E15" s="2">
        <f>C15-D15</f>
        <v/>
      </c>
      <c r="F15" s="2">
        <f>F14+E15</f>
        <v/>
      </c>
    </row>
    <row r="16">
      <c r="A16" t="n">
        <v>15</v>
      </c>
      <c r="B16" s="2" t="n">
        <v>0</v>
      </c>
      <c r="C16" s="2" t="n">
        <v>898.77</v>
      </c>
      <c r="D16" s="2" t="n">
        <v>760.5</v>
      </c>
      <c r="E16" s="2">
        <f>C16-D16</f>
        <v/>
      </c>
      <c r="F16" s="2">
        <f>F15+E16</f>
        <v/>
      </c>
    </row>
    <row r="17">
      <c r="A17" t="n">
        <v>16</v>
      </c>
      <c r="B17" s="2" t="n">
        <v>0</v>
      </c>
      <c r="C17" s="2" t="n">
        <v>0</v>
      </c>
      <c r="D17" s="2" t="n">
        <v>0</v>
      </c>
      <c r="E17" s="2">
        <f>C17-D17</f>
        <v/>
      </c>
      <c r="F17" s="2">
        <f>F16+E17</f>
        <v/>
      </c>
    </row>
    <row r="18">
      <c r="A18" t="n">
        <v>17</v>
      </c>
      <c r="B18" s="2" t="n">
        <v>0</v>
      </c>
      <c r="C18" s="2" t="n">
        <v>44037.54</v>
      </c>
      <c r="D18" s="2" t="n">
        <v>0</v>
      </c>
      <c r="E18" s="2">
        <f>C18-D18</f>
        <v/>
      </c>
      <c r="F18" s="2">
        <f>F17+E18</f>
        <v/>
      </c>
    </row>
    <row r="19">
      <c r="A19" t="n">
        <v>18</v>
      </c>
      <c r="B19" s="2" t="n">
        <v>0</v>
      </c>
      <c r="C19" s="2" t="n">
        <v>0</v>
      </c>
      <c r="D19" s="2" t="n">
        <v>0</v>
      </c>
      <c r="E19" s="2">
        <f>C19-D19</f>
        <v/>
      </c>
      <c r="F19" s="2">
        <f>F18+E19</f>
        <v/>
      </c>
    </row>
    <row r="20">
      <c r="A20" t="n">
        <v>19</v>
      </c>
      <c r="B20" s="2" t="n">
        <v>0</v>
      </c>
      <c r="C20" s="2" t="n">
        <v>0</v>
      </c>
      <c r="D20" s="2" t="n">
        <v>0</v>
      </c>
      <c r="E20" s="2">
        <f>C20-D20</f>
        <v/>
      </c>
      <c r="F20" s="2">
        <f>F19+E20</f>
        <v/>
      </c>
    </row>
    <row r="22">
      <c r="A22" t="inlineStr">
        <is>
          <t>necesidad max financiamiento</t>
        </is>
      </c>
      <c r="B22" t="n">
        <v>182082.56</v>
      </c>
    </row>
    <row r="23">
      <c r="A23" t="inlineStr">
        <is>
          <t>costo financiamiento</t>
        </is>
      </c>
      <c r="B23" t="n">
        <v>1349.89</v>
      </c>
    </row>
    <row r="24">
      <c r="A24" t="inlineStr">
        <is>
          <t>pct financiamiento sobre costo</t>
        </is>
      </c>
      <c r="B24" t="n">
        <v>0.15</v>
      </c>
    </row>
    <row r="25">
      <c r="A25" t="inlineStr">
        <is>
          <t>utilidad bruta</t>
        </is>
      </c>
      <c r="B25" t="n">
        <v>-0</v>
      </c>
    </row>
    <row r="26">
      <c r="A26" t="inlineStr">
        <is>
          <t>semanas obra</t>
        </is>
      </c>
      <c r="B26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Costo acumulado</t>
        </is>
      </c>
      <c r="C1" s="1" t="inlineStr">
        <is>
          <t>% acumulado</t>
        </is>
      </c>
    </row>
    <row r="2">
      <c r="A2" t="n">
        <v>1</v>
      </c>
      <c r="B2" s="2" t="n">
        <v>28988.01</v>
      </c>
      <c r="C2" s="5" t="n">
        <v>0.0329128467558381</v>
      </c>
    </row>
    <row r="3">
      <c r="A3" t="n">
        <v>2</v>
      </c>
      <c r="B3" s="2" t="n">
        <v>103636.77</v>
      </c>
      <c r="C3" s="5" t="n">
        <v>0.1176686746183644</v>
      </c>
    </row>
    <row r="4">
      <c r="A4" t="n">
        <v>3</v>
      </c>
      <c r="B4" s="2" t="n">
        <v>217020.91</v>
      </c>
      <c r="C4" s="5" t="n">
        <v>0.246404472150569</v>
      </c>
    </row>
    <row r="5">
      <c r="A5" t="n">
        <v>4</v>
      </c>
      <c r="B5" s="2" t="n">
        <v>268801.13</v>
      </c>
      <c r="C5" s="5" t="n">
        <v>0.3051954735284531</v>
      </c>
    </row>
    <row r="6">
      <c r="A6" t="n">
        <v>5</v>
      </c>
      <c r="B6" s="2" t="n">
        <v>309353.04</v>
      </c>
      <c r="C6" s="5" t="n">
        <v>0.35123791562642</v>
      </c>
    </row>
    <row r="7">
      <c r="A7" t="n">
        <v>6</v>
      </c>
      <c r="B7" s="2" t="n">
        <v>344788.06</v>
      </c>
      <c r="C7" s="5" t="n">
        <v>0.391470661394564</v>
      </c>
    </row>
    <row r="8">
      <c r="A8" t="n">
        <v>7</v>
      </c>
      <c r="B8" s="2" t="n">
        <v>410607.61</v>
      </c>
      <c r="C8" s="5" t="n">
        <v>0.4662018458293323</v>
      </c>
    </row>
    <row r="9">
      <c r="A9" t="n">
        <v>8</v>
      </c>
      <c r="B9" s="2" t="n">
        <v>545958.33</v>
      </c>
      <c r="C9" s="5" t="n">
        <v>0.6198783823636307</v>
      </c>
    </row>
    <row r="10">
      <c r="A10" t="n">
        <v>9</v>
      </c>
      <c r="B10" s="2" t="n">
        <v>757715.7</v>
      </c>
      <c r="C10" s="5" t="n">
        <v>0.8603066513816651</v>
      </c>
    </row>
    <row r="11">
      <c r="A11" t="n">
        <v>10</v>
      </c>
      <c r="B11" s="2" t="n">
        <v>824657.23</v>
      </c>
      <c r="C11" s="5" t="n">
        <v>0.9363117366710921</v>
      </c>
    </row>
    <row r="12">
      <c r="A12" t="n">
        <v>11</v>
      </c>
      <c r="B12" s="2" t="n">
        <v>862775.23</v>
      </c>
      <c r="C12" s="5" t="n">
        <v>0.9795907259955628</v>
      </c>
    </row>
    <row r="13">
      <c r="A13" t="n">
        <v>12</v>
      </c>
      <c r="B13" s="2" t="n">
        <v>879367.98</v>
      </c>
      <c r="C13" s="5" t="n">
        <v>0.9984300558458125</v>
      </c>
    </row>
    <row r="14">
      <c r="A14" t="n">
        <v>13</v>
      </c>
      <c r="B14" s="2" t="n">
        <v>880750.71</v>
      </c>
      <c r="C14" s="5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2026-10-19T07:33:51Z</dcterms:created>
  <dcterms:modified xmlns:dcterms="http://purl.org/dc/terms/" xmlns:xsi="http://www.w3.org/2001/XMLSchema-instance" xsi:type="dcterms:W3CDTF">2026-10-19T07:33:51Z</dcterms:modified>
</cp:coreProperties>
</file>