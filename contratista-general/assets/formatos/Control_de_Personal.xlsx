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Datos" sheetId="2" state="visible" r:id="rId4"/>
    <sheet name="Plantilla" sheetId="3" state="visible" r:id="rId5"/>
    <sheet name="Asistencia" sheetId="4" state="visible" r:id="rId6"/>
    <sheet name="Lista de raya" sheetId="5" state="visible" r:id="rId7"/>
    <sheet name="Subcontratistas REPS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<sst xmlns="http://schemas.openxmlformats.org/spreadsheetml/2006/main" count="171" uniqueCount="116">
  <si>
    <t xml:space="preserve">VÉRTICE  ·  Ingeniería, Arquitectura y Proyectos</t>
  </si>
  <si>
    <t xml:space="preserve">CONTROL DE PERSONAL, LISTA DE RAYA Y SUBCONTRATISTAS REPSE</t>
  </si>
  <si>
    <t xml:space="preserve">Captura</t>
  </si>
  <si>
    <t xml:space="preserve">Celdas amarillas con texto azul = datos que capturas. Texto negro = fórmulas: no escribas encima. La fila de ejemplo muestra el formato esperado; sustitúyela por tus datos.</t>
  </si>
  <si>
    <t xml:space="preserve">Para qué sirve:</t>
  </si>
  <si>
    <t xml:space="preserve">Plantilla de personal en obra, asistencia semanal con horas extra, lista de raya con costo real (FSR) y control documental de subcontratistas REPSE para saber a quién retenerle el pago.</t>
  </si>
  <si>
    <t xml:space="preserve">Cómo se llena:</t>
  </si>
  <si>
    <t xml:space="preserve">1. «Datos»: lunes de la semana, jornada máxima semanal y el FSR. El FSR sale de VERTICE-CALCULO (costos.BaseDatos().fsr(sd)) con IMSS, INFONAVIT e ISN B.C. 2026.</t>
  </si>
  <si>
    <t xml:space="preserve">2. «Plantilla»: alta de cada trabajador antes de que entre a obra (alta IMSS previa, SIROC, DC-3 y EPP).</t>
  </si>
  <si>
    <t xml:space="preserve">3. «Asistencia»: horas trabajadas por día. Las horas extra se separan en dobles y triples con las reglas de «Datos».</t>
  </si>
  <si>
    <t xml:space="preserve">4. «Lista de raya»: captura destajos, retenciones de IMSS e ISR (de tu sistema de nómina) y préstamos; el neto y el costo se calculan solos.</t>
  </si>
  <si>
    <t xml:space="preserve">5. «Subcontratistas REPSE»: cada mes marca Sí/No por documento. Si falta uno o el REPSE vence, el estatus dice RETENER PAGO (cláusula de REGISTRO REPSE del subcontrato; art. 15 LFT).</t>
  </si>
  <si>
    <t xml:space="preserve">Jornada:</t>
  </si>
  <si>
    <t xml:space="preserve">Hoy la jornada diurna máxima es de 48 horas semanales y las primeras 9 horas extra a la semana se pagan dobles; el excedente, triple (arts. 61, 66-68 LFT). La reforma constitucional publicada en el DOF el 3-mar-2026 reduce la jornada a 46 h en 2027, 44 h en 2028, 42 h en 2029 y 40 h en 2030: cambia los valores de «Datos» cuando entre en vigor cada etapa y confirma las reglas de horas extra de la reforma a la LFT.</t>
  </si>
  <si>
    <t xml:space="preserve">Privacidad:</t>
  </si>
  <si>
    <t xml:space="preserve">Este libro tiene datos personales (NSS, CURP). Guárdalo con acceso restringido conforme a la Ley Federal de Protección de Datos Personales en Posesión de los Particulares.</t>
  </si>
  <si>
    <t xml:space="preserve">CONTROL DE PERSONAL — PARÁMETROS</t>
  </si>
  <si>
    <t xml:space="preserve">Obra:</t>
  </si>
  <si>
    <t xml:space="preserve">Contrato:</t>
  </si>
  <si>
    <t xml:space="preserve">Semana que inicia (lunes)</t>
  </si>
  <si>
    <t xml:space="preserve">Jornada máxima semanal (horas)</t>
  </si>
  <si>
    <t xml:space="preserve">48 h en 2026; 46 h desde 2027 (reforma DOF 3-mar-2026)</t>
  </si>
  <si>
    <t xml:space="preserve">Horas extra semanales pagadas al doble</t>
  </si>
  <si>
    <t xml:space="preserve">Art. 67-68 LFT vigente; ajusta con la reforma</t>
  </si>
  <si>
    <t xml:space="preserve">Horas de la jornada diaria</t>
  </si>
  <si>
    <t xml:space="preserve">Salario mínimo diario ZLFN 2026</t>
  </si>
  <si>
    <t xml:space="preserve">Zona Libre de la Frontera Norte (fuente: mano-obra.json de VERTICE-CALCULO)</t>
  </si>
  <si>
    <t xml:space="preserve">Factor de salario real (FSR)</t>
  </si>
  <si>
    <t xml:space="preserve">Calcúlalo con VERTICE-CALCULO; depende del SD y de tu prima de riesgo</t>
  </si>
  <si>
    <t xml:space="preserve">PLANTILLA DE PERSONAL EN OBRA</t>
  </si>
  <si>
    <t xml:space="preserve">No.</t>
  </si>
  <si>
    <t xml:space="preserve">Nombre completo</t>
  </si>
  <si>
    <t xml:space="preserve">Categoría</t>
  </si>
  <si>
    <t xml:space="preserve">Empresa (propio / subcontratista)</t>
  </si>
  <si>
    <t xml:space="preserve">NSS</t>
  </si>
  <si>
    <t xml:space="preserve">CURP</t>
  </si>
  <si>
    <t xml:space="preserve">Fecha alta IMSS</t>
  </si>
  <si>
    <t xml:space="preserve">Salario diario</t>
  </si>
  <si>
    <t xml:space="preserve">Ingreso a obra</t>
  </si>
  <si>
    <t xml:space="preserve">DC-3 vigente</t>
  </si>
  <si>
    <t xml:space="preserve">EPP entregado (fecha)</t>
  </si>
  <si>
    <t xml:space="preserve">Activo</t>
  </si>
  <si>
    <t xml:space="preserve">Alerta</t>
  </si>
  <si>
    <t xml:space="preserve">Maestro de obra (ejemplo)</t>
  </si>
  <si>
    <t xml:space="preserve">Maestro</t>
  </si>
  <si>
    <t xml:space="preserve">Propio</t>
  </si>
  <si>
    <t xml:space="preserve">Sí</t>
  </si>
  <si>
    <t xml:space="preserve">Oficial albañil (ejemplo)</t>
  </si>
  <si>
    <t xml:space="preserve">Oficial albañil</t>
  </si>
  <si>
    <t xml:space="preserve">Oficial tablaroquero (ejemplo)</t>
  </si>
  <si>
    <t xml:space="preserve">Oficial yesero</t>
  </si>
  <si>
    <t xml:space="preserve">Ayudante general (ejemplo)</t>
  </si>
  <si>
    <t xml:space="preserve">Peón</t>
  </si>
  <si>
    <t xml:space="preserve">Oficial electricista (ejemplo)</t>
  </si>
  <si>
    <t xml:space="preserve">Oficial electricista</t>
  </si>
  <si>
    <t xml:space="preserve">Ayudante general 2 (ejemplo)</t>
  </si>
  <si>
    <t xml:space="preserve">No</t>
  </si>
  <si>
    <t xml:space="preserve">ASISTENCIA Y HORAS DE LA SEMANA</t>
  </si>
  <si>
    <t xml:space="preserve">Nombre</t>
  </si>
  <si>
    <t xml:space="preserve">Lun</t>
  </si>
  <si>
    <t xml:space="preserve">Mar</t>
  </si>
  <si>
    <t xml:space="preserve">Mié</t>
  </si>
  <si>
    <t xml:space="preserve">Jue</t>
  </si>
  <si>
    <t xml:space="preserve">Vie</t>
  </si>
  <si>
    <t xml:space="preserve">Sáb</t>
  </si>
  <si>
    <t xml:space="preserve">Dom</t>
  </si>
  <si>
    <t xml:space="preserve">Horas totales</t>
  </si>
  <si>
    <t xml:space="preserve">Días trabajados</t>
  </si>
  <si>
    <t xml:space="preserve">Horas ordinarias</t>
  </si>
  <si>
    <t xml:space="preserve">Extra dobles</t>
  </si>
  <si>
    <t xml:space="preserve">Extra triples</t>
  </si>
  <si>
    <t xml:space="preserve">LISTA DE RAYA SEMANAL</t>
  </si>
  <si>
    <t xml:space="preserve">Sueldo</t>
  </si>
  <si>
    <t xml:space="preserve">Séptimo día</t>
  </si>
  <si>
    <t xml:space="preserve">Horas extra</t>
  </si>
  <si>
    <t xml:space="preserve">Destajo / bonos</t>
  </si>
  <si>
    <t xml:space="preserve">Total percepciones</t>
  </si>
  <si>
    <t xml:space="preserve">Retención IMSS</t>
  </si>
  <si>
    <t xml:space="preserve">Retención ISR</t>
  </si>
  <si>
    <t xml:space="preserve">Préstamos / anticipos</t>
  </si>
  <si>
    <t xml:space="preserve">NETO A PAGAR</t>
  </si>
  <si>
    <t xml:space="preserve">Costo real empresa</t>
  </si>
  <si>
    <t xml:space="preserve">Firma</t>
  </si>
  <si>
    <t xml:space="preserve">TOTAL DE LA SEMANA</t>
  </si>
  <si>
    <t xml:space="preserve">Séptimo día proporcional (días trabajados / 6). Horas extra = salario por hora × 2 o × 3. El costo real aplica el FSR a sueldo y séptimo día.</t>
  </si>
  <si>
    <t xml:space="preserve">____________________________</t>
  </si>
  <si>
    <t xml:space="preserve">Elaboró — administrador de obra</t>
  </si>
  <si>
    <t xml:space="preserve">Autorizó — superintendente</t>
  </si>
  <si>
    <t xml:space="preserve">CONTROL DOCUMENTAL DE SUBCONTRATISTAS (REPSE)</t>
  </si>
  <si>
    <t xml:space="preserve">Empresa</t>
  </si>
  <si>
    <t xml:space="preserve">RFC</t>
  </si>
  <si>
    <t xml:space="preserve">Especialidad</t>
  </si>
  <si>
    <t xml:space="preserve">No. REPSE</t>
  </si>
  <si>
    <t xml:space="preserve">Vigencia REPSE</t>
  </si>
  <si>
    <t xml:space="preserve">Días para vencer</t>
  </si>
  <si>
    <t xml:space="preserve">Trabajadores en obra</t>
  </si>
  <si>
    <t xml:space="preserve">Vinculado a SIROC</t>
  </si>
  <si>
    <t xml:space="preserve">Mes revisado</t>
  </si>
  <si>
    <t xml:space="preserve">CFDI nómina</t>
  </si>
  <si>
    <t xml:space="preserve">Pago IMSS</t>
  </si>
  <si>
    <t xml:space="preserve">Pago INFONAVIT</t>
  </si>
  <si>
    <t xml:space="preserve">Decl. ISR retenciones</t>
  </si>
  <si>
    <t xml:space="preserve">Decl. IVA y acuse</t>
  </si>
  <si>
    <t xml:space="preserve">ICSOE (cuatrim.)</t>
  </si>
  <si>
    <t xml:space="preserve">SISUB (cuatrim.)</t>
  </si>
  <si>
    <t xml:space="preserve">Opinión 32-D positiva</t>
  </si>
  <si>
    <t xml:space="preserve">ESTATUS</t>
  </si>
  <si>
    <t xml:space="preserve">Observaciones</t>
  </si>
  <si>
    <t xml:space="preserve">Instalaciones Ejemplo, S.A. de C.V.</t>
  </si>
  <si>
    <t xml:space="preserve">Eléctrica</t>
  </si>
  <si>
    <t xml:space="preserve">REPSE-EJEMPLO-1</t>
  </si>
  <si>
    <t xml:space="preserve">10/2026</t>
  </si>
  <si>
    <t xml:space="preserve">Plafones Ejemplo, S. de R.L.</t>
  </si>
  <si>
    <t xml:space="preserve">Tablaroca y plafones</t>
  </si>
  <si>
    <t xml:space="preserve">REPSE-EJEMPLO-2</t>
  </si>
  <si>
    <t xml:space="preserve">Base: arts. 13-15 LFT (REPSE y responsabilidad solidaria), 15-A LSS (ICSOE), 29 Bis Ley INFONAVIT (SISUB), 27 fr. V LISR, 5 fr. II LIVA, 15-D y 32-D CFF. Sin REPSE capturado el estatus es RETENER PAGO.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</si>
</sst>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yy"/>
    <numFmt numFmtId="166" formatCode="0"/>
    <numFmt numFmtId="167" formatCode="\$#,##0.00;&quot;($&quot;#,##0.00\);\-"/>
    <numFmt numFmtId="168" formatCode="0.0000"/>
    <numFmt numFmtId="169" formatCode="dd/mm"/>
    <numFmt numFmtId="170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D2328"/>
      <name val="Arial"/>
      <family val="0"/>
      <charset val="1"/>
    </font>
    <font>
      <b val="true"/>
      <sz val="11"/>
      <color rgb="FFB23B2E"/>
      <name val="Arial"/>
      <family val="0"/>
      <charset val="1"/>
    </font>
    <font>
      <sz val="9"/>
      <color rgb="FF0000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i val="true"/>
      <sz val="8"/>
      <color rgb="FF5B656E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8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CE8C3"/>
      </patternFill>
    </fill>
    <fill>
      <patternFill patternType="solid">
        <fgColor rgb="FF1D2328"/>
        <bgColor rgb="FF333300"/>
      </patternFill>
    </fill>
    <fill>
      <patternFill patternType="solid">
        <fgColor rgb="FFE3E6E8"/>
        <bgColor rgb="FFD9EDD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B23B2E"/>
      </bottom>
      <diagonal/>
    </border>
    <border diagonalUp="false" diagonalDown="false">
      <left style="thin">
        <color rgb="FFBFC5CA"/>
      </left>
      <right style="thin">
        <color rgb="FFBFC5CA"/>
      </right>
      <top style="thin">
        <color rgb="FFBFC5CA"/>
      </top>
      <bottom style="thin">
        <color rgb="FFBFC5C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8D7D3"/>
        </patternFill>
      </fill>
    </dxf>
    <dxf>
      <fill>
        <patternFill>
          <bgColor rgb="FFFCE8C3"/>
        </patternFill>
      </fill>
    </dxf>
    <dxf>
      <fill>
        <patternFill>
          <bgColor rgb="FFD9EDD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5CA"/>
      <rgbColor rgb="FF808080"/>
      <rgbColor rgb="FF9999FF"/>
      <rgbColor rgb="FF993366"/>
      <rgbColor rgb="FFFFF2CC"/>
      <rgbColor rgb="FFE3E6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DDF"/>
      <rgbColor rgb="FFFCE8C3"/>
      <rgbColor rgb="FF99CCFF"/>
      <rgbColor rgb="FFFF99CC"/>
      <rgbColor rgb="FFCC99FF"/>
      <rgbColor rgb="FFF8D7D3"/>
      <rgbColor rgb="FF3366FF"/>
      <rgbColor rgb="FF33CCCC"/>
      <rgbColor rgb="FF99CC00"/>
      <rgbColor rgb="FFFFCC00"/>
      <rgbColor rgb="FFFF9900"/>
      <rgbColor rgb="FFFF6600"/>
      <rgbColor rgb="FF5B656E"/>
      <rgbColor rgb="FF969696"/>
      <rgbColor rgb="FF003366"/>
      <rgbColor rgb="FF339966"/>
      <rgbColor rgb="FF003300"/>
      <rgbColor rgb="FF333300"/>
      <rgbColor rgb="FFB23B2E"/>
      <rgbColor rgb="FF993366"/>
      <rgbColor rgb="FF333399"/>
      <rgbColor rgb="FF1D232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22.35" hidden="false" customHeight="false" outlineLevel="0" collapsed="false">
      <c r="A5" s="4" t="s">
        <v>3</v>
      </c>
    </row>
    <row r="7" customFormat="false" ht="15" hidden="false" customHeight="false" outlineLevel="0" collapsed="false">
      <c r="A7" s="5" t="s">
        <v>4</v>
      </c>
    </row>
    <row r="8" customFormat="false" ht="22.35" hidden="false" customHeight="false" outlineLevel="0" collapsed="false">
      <c r="A8" s="6" t="s">
        <v>5</v>
      </c>
    </row>
    <row r="9" customFormat="false" ht="15" hidden="false" customHeight="false" outlineLevel="0" collapsed="false">
      <c r="A9" s="5" t="s">
        <v>6</v>
      </c>
    </row>
    <row r="10" customFormat="false" ht="22.35" hidden="false" customHeight="false" outlineLevel="0" collapsed="false">
      <c r="A10" s="6" t="s">
        <v>7</v>
      </c>
    </row>
    <row r="11" customFormat="false" ht="15" hidden="false" customHeight="false" outlineLevel="0" collapsed="false">
      <c r="A11" s="6" t="s">
        <v>8</v>
      </c>
    </row>
    <row r="12" customFormat="false" ht="15" hidden="false" customHeight="false" outlineLevel="0" collapsed="false">
      <c r="A12" s="6" t="s">
        <v>9</v>
      </c>
    </row>
    <row r="13" customFormat="false" ht="15" hidden="false" customHeight="false" outlineLevel="0" collapsed="false">
      <c r="A13" s="6" t="s">
        <v>10</v>
      </c>
    </row>
    <row r="14" customFormat="false" ht="22.35" hidden="false" customHeight="false" outlineLevel="0" collapsed="false">
      <c r="A14" s="6" t="s">
        <v>11</v>
      </c>
    </row>
    <row r="15" customFormat="false" ht="15" hidden="false" customHeight="false" outlineLevel="0" collapsed="false">
      <c r="A15" s="5" t="s">
        <v>12</v>
      </c>
    </row>
    <row r="16" customFormat="false" ht="32.8" hidden="false" customHeight="false" outlineLevel="0" collapsed="false">
      <c r="A16" s="6" t="s">
        <v>13</v>
      </c>
    </row>
    <row r="17" customFormat="false" ht="15" hidden="false" customHeight="false" outlineLevel="0" collapsed="false">
      <c r="A17" s="5" t="s">
        <v>14</v>
      </c>
    </row>
    <row r="18" customFormat="false" ht="22.35" hidden="false" customHeight="false" outlineLevel="0" collapsed="false">
      <c r="A18" s="6" t="s">
        <v>15</v>
      </c>
    </row>
  </sheetData>
  <printOptions headings="false" gridLines="false" gridLinesSet="true" horizontalCentered="true" verticalCentered="false"/>
  <pageMargins left="0.4" right="0.4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16.15" hidden="false" customHeight="false" outlineLevel="0" collapsed="false">
      <c r="A1" s="7" t="s">
        <v>0</v>
      </c>
      <c r="B1" s="7"/>
      <c r="C1" s="7"/>
    </row>
    <row r="2" customFormat="false" ht="15" hidden="false" customHeight="false" outlineLevel="0" collapsed="false">
      <c r="A2" s="8" t="s">
        <v>16</v>
      </c>
      <c r="B2" s="8"/>
      <c r="C2" s="8"/>
    </row>
    <row r="3" customFormat="false" ht="15" hidden="false" customHeight="false" outlineLevel="0" collapsed="false">
      <c r="A3" s="9" t="s">
        <v>17</v>
      </c>
      <c r="B3" s="10"/>
    </row>
    <row r="4" customFormat="false" ht="15" hidden="false" customHeight="false" outlineLevel="0" collapsed="false">
      <c r="A4" s="9" t="s">
        <v>18</v>
      </c>
      <c r="B4" s="10"/>
    </row>
    <row r="6" customFormat="false" ht="15" hidden="false" customHeight="false" outlineLevel="0" collapsed="false">
      <c r="A6" s="11" t="s">
        <v>19</v>
      </c>
      <c r="B6" s="12" t="n">
        <v>46314</v>
      </c>
    </row>
    <row r="7" customFormat="false" ht="15" hidden="false" customHeight="false" outlineLevel="0" collapsed="false">
      <c r="A7" s="11" t="s">
        <v>20</v>
      </c>
      <c r="B7" s="13" t="n">
        <v>48</v>
      </c>
      <c r="C7" s="14" t="s">
        <v>21</v>
      </c>
    </row>
    <row r="8" customFormat="false" ht="15" hidden="false" customHeight="false" outlineLevel="0" collapsed="false">
      <c r="A8" s="11" t="s">
        <v>22</v>
      </c>
      <c r="B8" s="13" t="n">
        <v>9</v>
      </c>
      <c r="C8" s="14" t="s">
        <v>23</v>
      </c>
    </row>
    <row r="9" customFormat="false" ht="15" hidden="false" customHeight="false" outlineLevel="0" collapsed="false">
      <c r="A9" s="11" t="s">
        <v>24</v>
      </c>
      <c r="B9" s="13" t="n">
        <v>8</v>
      </c>
    </row>
    <row r="10" customFormat="false" ht="15" hidden="false" customHeight="false" outlineLevel="0" collapsed="false">
      <c r="A10" s="11" t="s">
        <v>25</v>
      </c>
      <c r="B10" s="15" t="n">
        <v>440.87</v>
      </c>
      <c r="C10" s="14" t="s">
        <v>26</v>
      </c>
    </row>
    <row r="11" customFormat="false" ht="15" hidden="false" customHeight="false" outlineLevel="0" collapsed="false">
      <c r="A11" s="11" t="s">
        <v>27</v>
      </c>
      <c r="B11" s="16" t="n">
        <v>1.62</v>
      </c>
      <c r="C11" s="14" t="s">
        <v>28</v>
      </c>
    </row>
  </sheetData>
  <mergeCells count="2">
    <mergeCell ref="A1:C1"/>
    <mergeCell ref="A2:C2"/>
  </mergeCells>
  <printOptions headings="false" gridLines="false" gridLinesSet="true" horizontalCentered="tru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3"/>
    <col collapsed="false" customWidth="true" hidden="false" outlineLevel="0" max="6" min="6" style="0" width="20"/>
    <col collapsed="false" customWidth="true" hidden="false" outlineLevel="0" max="9" min="7" style="0" width="11"/>
    <col collapsed="false" customWidth="true" hidden="false" outlineLevel="0" max="10" min="10" style="0" width="8"/>
    <col collapsed="false" customWidth="true" hidden="false" outlineLevel="0" max="11" min="11" style="0" width="11"/>
    <col collapsed="false" customWidth="true" hidden="false" outlineLevel="0" max="12" min="12" style="0" width="7"/>
    <col collapsed="false" customWidth="true" hidden="false" outlineLevel="0" max="13" min="13" style="0" width="22"/>
  </cols>
  <sheetData>
    <row r="1" customFormat="false" ht="16.15" hidden="false" customHeight="false" outlineLevel="0" collapsed="false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customFormat="false" ht="15" hidden="false" customHeight="false" outlineLevel="0" collapsed="false">
      <c r="A2" s="8" t="s">
        <v>29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customFormat="false" ht="15" hidden="false" customHeight="false" outlineLevel="0" collapsed="false">
      <c r="A3" s="9" t="s">
        <v>17</v>
      </c>
      <c r="B3" s="10"/>
    </row>
    <row r="4" customFormat="false" ht="15" hidden="false" customHeight="false" outlineLevel="0" collapsed="false">
      <c r="A4" s="9" t="s">
        <v>18</v>
      </c>
      <c r="B4" s="10"/>
    </row>
    <row r="6" customFormat="false" ht="30" hidden="false" customHeight="true" outlineLevel="0" collapsed="false">
      <c r="A6" s="17" t="s">
        <v>30</v>
      </c>
      <c r="B6" s="17" t="s">
        <v>31</v>
      </c>
      <c r="C6" s="17" t="s">
        <v>32</v>
      </c>
      <c r="D6" s="17" t="s">
        <v>33</v>
      </c>
      <c r="E6" s="17" t="s">
        <v>34</v>
      </c>
      <c r="F6" s="17" t="s">
        <v>35</v>
      </c>
      <c r="G6" s="17" t="s">
        <v>36</v>
      </c>
      <c r="H6" s="17" t="s">
        <v>37</v>
      </c>
      <c r="I6" s="17" t="s">
        <v>38</v>
      </c>
      <c r="J6" s="17" t="s">
        <v>39</v>
      </c>
      <c r="K6" s="17" t="s">
        <v>40</v>
      </c>
      <c r="L6" s="17" t="s">
        <v>41</v>
      </c>
      <c r="M6" s="17" t="s">
        <v>42</v>
      </c>
    </row>
    <row r="7" customFormat="false" ht="15" hidden="false" customHeight="false" outlineLevel="0" collapsed="false">
      <c r="A7" s="18" t="n">
        <v>1</v>
      </c>
      <c r="B7" s="19" t="s">
        <v>43</v>
      </c>
      <c r="C7" s="19" t="s">
        <v>44</v>
      </c>
      <c r="D7" s="19" t="s">
        <v>45</v>
      </c>
      <c r="E7" s="19"/>
      <c r="F7" s="19"/>
      <c r="G7" s="12" t="n">
        <v>46313</v>
      </c>
      <c r="H7" s="15" t="n">
        <v>1050</v>
      </c>
      <c r="I7" s="12" t="n">
        <v>46314</v>
      </c>
      <c r="J7" s="19" t="s">
        <v>46</v>
      </c>
      <c r="K7" s="12" t="n">
        <v>46314</v>
      </c>
      <c r="L7" s="19" t="s">
        <v>46</v>
      </c>
      <c r="M7" s="11" t="str">
        <f aca="false">IF(B7="","",IF(H7&lt;Datos!$B$10,"SD menor al mínimo ZLFN",IF(OR(G7="",G7&gt;I7),"Alta IMSS posterior al ingreso",IF(K7="","Sin EPP",""))))</f>
        <v/>
      </c>
    </row>
    <row r="8" customFormat="false" ht="15" hidden="false" customHeight="false" outlineLevel="0" collapsed="false">
      <c r="A8" s="18" t="n">
        <v>2</v>
      </c>
      <c r="B8" s="19" t="s">
        <v>47</v>
      </c>
      <c r="C8" s="19" t="s">
        <v>48</v>
      </c>
      <c r="D8" s="19" t="s">
        <v>45</v>
      </c>
      <c r="E8" s="19"/>
      <c r="F8" s="19"/>
      <c r="G8" s="12" t="n">
        <v>46313</v>
      </c>
      <c r="H8" s="15" t="n">
        <v>630</v>
      </c>
      <c r="I8" s="12" t="n">
        <v>46314</v>
      </c>
      <c r="J8" s="19" t="s">
        <v>46</v>
      </c>
      <c r="K8" s="12" t="n">
        <v>46314</v>
      </c>
      <c r="L8" s="19" t="s">
        <v>46</v>
      </c>
      <c r="M8" s="11" t="str">
        <f aca="false">IF(B8="","",IF(H8&lt;Datos!$B$10,"SD menor al mínimo ZLFN",IF(OR(G8="",G8&gt;I8),"Alta IMSS posterior al ingreso",IF(K8="","Sin EPP",""))))</f>
        <v/>
      </c>
    </row>
    <row r="9" customFormat="false" ht="15" hidden="false" customHeight="false" outlineLevel="0" collapsed="false">
      <c r="A9" s="18" t="n">
        <v>3</v>
      </c>
      <c r="B9" s="19" t="s">
        <v>49</v>
      </c>
      <c r="C9" s="19" t="s">
        <v>50</v>
      </c>
      <c r="D9" s="19" t="s">
        <v>45</v>
      </c>
      <c r="E9" s="19"/>
      <c r="F9" s="19"/>
      <c r="G9" s="12" t="n">
        <v>46313</v>
      </c>
      <c r="H9" s="15" t="n">
        <v>640</v>
      </c>
      <c r="I9" s="12" t="n">
        <v>46314</v>
      </c>
      <c r="J9" s="19" t="s">
        <v>46</v>
      </c>
      <c r="K9" s="12" t="n">
        <v>46314</v>
      </c>
      <c r="L9" s="19" t="s">
        <v>46</v>
      </c>
      <c r="M9" s="11" t="str">
        <f aca="false">IF(B9="","",IF(H9&lt;Datos!$B$10,"SD menor al mínimo ZLFN",IF(OR(G9="",G9&gt;I9),"Alta IMSS posterior al ingreso",IF(K9="","Sin EPP",""))))</f>
        <v/>
      </c>
    </row>
    <row r="10" customFormat="false" ht="15" hidden="false" customHeight="false" outlineLevel="0" collapsed="false">
      <c r="A10" s="18" t="n">
        <v>4</v>
      </c>
      <c r="B10" s="19" t="s">
        <v>51</v>
      </c>
      <c r="C10" s="19" t="s">
        <v>52</v>
      </c>
      <c r="D10" s="19" t="s">
        <v>45</v>
      </c>
      <c r="E10" s="19"/>
      <c r="F10" s="19"/>
      <c r="G10" s="12" t="n">
        <v>46313</v>
      </c>
      <c r="H10" s="15" t="n">
        <v>505</v>
      </c>
      <c r="I10" s="12" t="n">
        <v>46314</v>
      </c>
      <c r="J10" s="19" t="s">
        <v>46</v>
      </c>
      <c r="K10" s="12" t="n">
        <v>46314</v>
      </c>
      <c r="L10" s="19" t="s">
        <v>46</v>
      </c>
      <c r="M10" s="11" t="str">
        <f aca="false">IF(B10="","",IF(H10&lt;Datos!$B$10,"SD menor al mínimo ZLFN",IF(OR(G10="",G10&gt;I10),"Alta IMSS posterior al ingreso",IF(K10="","Sin EPP",""))))</f>
        <v/>
      </c>
    </row>
    <row r="11" customFormat="false" ht="15" hidden="false" customHeight="false" outlineLevel="0" collapsed="false">
      <c r="A11" s="18" t="n">
        <v>5</v>
      </c>
      <c r="B11" s="19" t="s">
        <v>53</v>
      </c>
      <c r="C11" s="19" t="s">
        <v>54</v>
      </c>
      <c r="D11" s="19" t="s">
        <v>45</v>
      </c>
      <c r="E11" s="19"/>
      <c r="F11" s="19"/>
      <c r="G11" s="12" t="n">
        <v>46313</v>
      </c>
      <c r="H11" s="15" t="n">
        <v>710</v>
      </c>
      <c r="I11" s="12" t="n">
        <v>46314</v>
      </c>
      <c r="J11" s="19" t="s">
        <v>46</v>
      </c>
      <c r="K11" s="12" t="n">
        <v>46314</v>
      </c>
      <c r="L11" s="19" t="s">
        <v>46</v>
      </c>
      <c r="M11" s="11" t="str">
        <f aca="false">IF(B11="","",IF(H11&lt;Datos!$B$10,"SD menor al mínimo ZLFN",IF(OR(G11="",G11&gt;I11),"Alta IMSS posterior al ingreso",IF(K11="","Sin EPP",""))))</f>
        <v/>
      </c>
    </row>
    <row r="12" customFormat="false" ht="15" hidden="false" customHeight="false" outlineLevel="0" collapsed="false">
      <c r="A12" s="18" t="n">
        <v>6</v>
      </c>
      <c r="B12" s="19" t="s">
        <v>55</v>
      </c>
      <c r="C12" s="19" t="s">
        <v>52</v>
      </c>
      <c r="D12" s="19" t="s">
        <v>45</v>
      </c>
      <c r="E12" s="19"/>
      <c r="F12" s="19"/>
      <c r="G12" s="12" t="n">
        <v>46313</v>
      </c>
      <c r="H12" s="15" t="n">
        <v>430</v>
      </c>
      <c r="I12" s="12" t="n">
        <v>46314</v>
      </c>
      <c r="J12" s="19" t="s">
        <v>56</v>
      </c>
      <c r="K12" s="12" t="n">
        <v>46314</v>
      </c>
      <c r="L12" s="19" t="s">
        <v>46</v>
      </c>
      <c r="M12" s="11" t="str">
        <f aca="false">IF(B12="","",IF(H12&lt;Datos!$B$10,"SD menor al mínimo ZLFN",IF(OR(G12="",G12&gt;I12),"Alta IMSS posterior al ingreso",IF(K12="","Sin EPP",""))))</f>
        <v>SD menor al mínimo ZLFN</v>
      </c>
    </row>
    <row r="13" customFormat="false" ht="15" hidden="false" customHeight="false" outlineLevel="0" collapsed="false">
      <c r="A13" s="18" t="n">
        <v>7</v>
      </c>
      <c r="B13" s="19"/>
      <c r="C13" s="19"/>
      <c r="D13" s="19"/>
      <c r="E13" s="19"/>
      <c r="F13" s="19"/>
      <c r="G13" s="12"/>
      <c r="H13" s="15"/>
      <c r="I13" s="12"/>
      <c r="J13" s="19"/>
      <c r="K13" s="12"/>
      <c r="L13" s="19"/>
      <c r="M13" s="11" t="str">
        <f aca="false">IF(B13="","",IF(H13&lt;Datos!$B$10,"SD menor al mínimo ZLFN",IF(OR(G13="",G13&gt;I13),"Alta IMSS posterior al ingreso",IF(K13="","Sin EPP",""))))</f>
        <v/>
      </c>
    </row>
    <row r="14" customFormat="false" ht="15" hidden="false" customHeight="false" outlineLevel="0" collapsed="false">
      <c r="A14" s="18" t="n">
        <v>8</v>
      </c>
      <c r="B14" s="19"/>
      <c r="C14" s="19"/>
      <c r="D14" s="19"/>
      <c r="E14" s="19"/>
      <c r="F14" s="19"/>
      <c r="G14" s="12"/>
      <c r="H14" s="15"/>
      <c r="I14" s="12"/>
      <c r="J14" s="19"/>
      <c r="K14" s="12"/>
      <c r="L14" s="19"/>
      <c r="M14" s="11" t="str">
        <f aca="false">IF(B14="","",IF(H14&lt;Datos!$B$10,"SD menor al mínimo ZLFN",IF(OR(G14="",G14&gt;I14),"Alta IMSS posterior al ingreso",IF(K14="","Sin EPP",""))))</f>
        <v/>
      </c>
    </row>
    <row r="15" customFormat="false" ht="15" hidden="false" customHeight="false" outlineLevel="0" collapsed="false">
      <c r="A15" s="18" t="n">
        <v>9</v>
      </c>
      <c r="B15" s="19"/>
      <c r="C15" s="19"/>
      <c r="D15" s="19"/>
      <c r="E15" s="19"/>
      <c r="F15" s="19"/>
      <c r="G15" s="12"/>
      <c r="H15" s="15"/>
      <c r="I15" s="12"/>
      <c r="J15" s="19"/>
      <c r="K15" s="12"/>
      <c r="L15" s="19"/>
      <c r="M15" s="11" t="str">
        <f aca="false">IF(B15="","",IF(H15&lt;Datos!$B$10,"SD menor al mínimo ZLFN",IF(OR(G15="",G15&gt;I15),"Alta IMSS posterior al ingreso",IF(K15="","Sin EPP",""))))</f>
        <v/>
      </c>
    </row>
    <row r="16" customFormat="false" ht="15" hidden="false" customHeight="false" outlineLevel="0" collapsed="false">
      <c r="A16" s="18" t="n">
        <v>10</v>
      </c>
      <c r="B16" s="19"/>
      <c r="C16" s="19"/>
      <c r="D16" s="19"/>
      <c r="E16" s="19"/>
      <c r="F16" s="19"/>
      <c r="G16" s="12"/>
      <c r="H16" s="15"/>
      <c r="I16" s="12"/>
      <c r="J16" s="19"/>
      <c r="K16" s="12"/>
      <c r="L16" s="19"/>
      <c r="M16" s="11" t="str">
        <f aca="false">IF(B16="","",IF(H16&lt;Datos!$B$10,"SD menor al mínimo ZLFN",IF(OR(G16="",G16&gt;I16),"Alta IMSS posterior al ingreso",IF(K16="","Sin EPP",""))))</f>
        <v/>
      </c>
    </row>
    <row r="17" customFormat="false" ht="15" hidden="false" customHeight="false" outlineLevel="0" collapsed="false">
      <c r="A17" s="18" t="n">
        <v>11</v>
      </c>
      <c r="B17" s="19"/>
      <c r="C17" s="19"/>
      <c r="D17" s="19"/>
      <c r="E17" s="19"/>
      <c r="F17" s="19"/>
      <c r="G17" s="12"/>
      <c r="H17" s="15"/>
      <c r="I17" s="12"/>
      <c r="J17" s="19"/>
      <c r="K17" s="12"/>
      <c r="L17" s="19"/>
      <c r="M17" s="11" t="str">
        <f aca="false">IF(B17="","",IF(H17&lt;Datos!$B$10,"SD menor al mínimo ZLFN",IF(OR(G17="",G17&gt;I17),"Alta IMSS posterior al ingreso",IF(K17="","Sin EPP",""))))</f>
        <v/>
      </c>
    </row>
    <row r="18" customFormat="false" ht="15" hidden="false" customHeight="false" outlineLevel="0" collapsed="false">
      <c r="A18" s="18" t="n">
        <v>12</v>
      </c>
      <c r="B18" s="19"/>
      <c r="C18" s="19"/>
      <c r="D18" s="19"/>
      <c r="E18" s="19"/>
      <c r="F18" s="19"/>
      <c r="G18" s="12"/>
      <c r="H18" s="15"/>
      <c r="I18" s="12"/>
      <c r="J18" s="19"/>
      <c r="K18" s="12"/>
      <c r="L18" s="19"/>
      <c r="M18" s="11" t="str">
        <f aca="false">IF(B18="","",IF(H18&lt;Datos!$B$10,"SD menor al mínimo ZLFN",IF(OR(G18="",G18&gt;I18),"Alta IMSS posterior al ingreso",IF(K18="","Sin EPP",""))))</f>
        <v/>
      </c>
    </row>
    <row r="19" customFormat="false" ht="15" hidden="false" customHeight="false" outlineLevel="0" collapsed="false">
      <c r="A19" s="18" t="n">
        <v>13</v>
      </c>
      <c r="B19" s="19"/>
      <c r="C19" s="19"/>
      <c r="D19" s="19"/>
      <c r="E19" s="19"/>
      <c r="F19" s="19"/>
      <c r="G19" s="12"/>
      <c r="H19" s="15"/>
      <c r="I19" s="12"/>
      <c r="J19" s="19"/>
      <c r="K19" s="12"/>
      <c r="L19" s="19"/>
      <c r="M19" s="11" t="str">
        <f aca="false">IF(B19="","",IF(H19&lt;Datos!$B$10,"SD menor al mínimo ZLFN",IF(OR(G19="",G19&gt;I19),"Alta IMSS posterior al ingreso",IF(K19="","Sin EPP",""))))</f>
        <v/>
      </c>
    </row>
    <row r="20" customFormat="false" ht="15" hidden="false" customHeight="false" outlineLevel="0" collapsed="false">
      <c r="A20" s="18" t="n">
        <v>14</v>
      </c>
      <c r="B20" s="19"/>
      <c r="C20" s="19"/>
      <c r="D20" s="19"/>
      <c r="E20" s="19"/>
      <c r="F20" s="19"/>
      <c r="G20" s="12"/>
      <c r="H20" s="15"/>
      <c r="I20" s="12"/>
      <c r="J20" s="19"/>
      <c r="K20" s="12"/>
      <c r="L20" s="19"/>
      <c r="M20" s="11" t="str">
        <f aca="false">IF(B20="","",IF(H20&lt;Datos!$B$10,"SD menor al mínimo ZLFN",IF(OR(G20="",G20&gt;I20),"Alta IMSS posterior al ingreso",IF(K20="","Sin EPP",""))))</f>
        <v/>
      </c>
    </row>
    <row r="21" customFormat="false" ht="15" hidden="false" customHeight="false" outlineLevel="0" collapsed="false">
      <c r="A21" s="18" t="n">
        <v>15</v>
      </c>
      <c r="B21" s="19"/>
      <c r="C21" s="19"/>
      <c r="D21" s="19"/>
      <c r="E21" s="19"/>
      <c r="F21" s="19"/>
      <c r="G21" s="12"/>
      <c r="H21" s="15"/>
      <c r="I21" s="12"/>
      <c r="J21" s="19"/>
      <c r="K21" s="12"/>
      <c r="L21" s="19"/>
      <c r="M21" s="11" t="str">
        <f aca="false">IF(B21="","",IF(H21&lt;Datos!$B$10,"SD menor al mínimo ZLFN",IF(OR(G21="",G21&gt;I21),"Alta IMSS posterior al ingreso",IF(K21="","Sin EPP",""))))</f>
        <v/>
      </c>
    </row>
    <row r="22" customFormat="false" ht="15" hidden="false" customHeight="false" outlineLevel="0" collapsed="false">
      <c r="A22" s="18" t="n">
        <v>16</v>
      </c>
      <c r="B22" s="19"/>
      <c r="C22" s="19"/>
      <c r="D22" s="19"/>
      <c r="E22" s="19"/>
      <c r="F22" s="19"/>
      <c r="G22" s="12"/>
      <c r="H22" s="15"/>
      <c r="I22" s="12"/>
      <c r="J22" s="19"/>
      <c r="K22" s="12"/>
      <c r="L22" s="19"/>
      <c r="M22" s="11" t="str">
        <f aca="false">IF(B22="","",IF(H22&lt;Datos!$B$10,"SD menor al mínimo ZLFN",IF(OR(G22="",G22&gt;I22),"Alta IMSS posterior al ingreso",IF(K22="","Sin EPP",""))))</f>
        <v/>
      </c>
    </row>
    <row r="23" customFormat="false" ht="15" hidden="false" customHeight="false" outlineLevel="0" collapsed="false">
      <c r="A23" s="18" t="n">
        <v>17</v>
      </c>
      <c r="B23" s="19"/>
      <c r="C23" s="19"/>
      <c r="D23" s="19"/>
      <c r="E23" s="19"/>
      <c r="F23" s="19"/>
      <c r="G23" s="12"/>
      <c r="H23" s="15"/>
      <c r="I23" s="12"/>
      <c r="J23" s="19"/>
      <c r="K23" s="12"/>
      <c r="L23" s="19"/>
      <c r="M23" s="11" t="str">
        <f aca="false">IF(B23="","",IF(H23&lt;Datos!$B$10,"SD menor al mínimo ZLFN",IF(OR(G23="",G23&gt;I23),"Alta IMSS posterior al ingreso",IF(K23="","Sin EPP",""))))</f>
        <v/>
      </c>
    </row>
    <row r="24" customFormat="false" ht="15" hidden="false" customHeight="false" outlineLevel="0" collapsed="false">
      <c r="A24" s="18" t="n">
        <v>18</v>
      </c>
      <c r="B24" s="19"/>
      <c r="C24" s="19"/>
      <c r="D24" s="19"/>
      <c r="E24" s="19"/>
      <c r="F24" s="19"/>
      <c r="G24" s="12"/>
      <c r="H24" s="15"/>
      <c r="I24" s="12"/>
      <c r="J24" s="19"/>
      <c r="K24" s="12"/>
      <c r="L24" s="19"/>
      <c r="M24" s="11" t="str">
        <f aca="false">IF(B24="","",IF(H24&lt;Datos!$B$10,"SD menor al mínimo ZLFN",IF(OR(G24="",G24&gt;I24),"Alta IMSS posterior al ingreso",IF(K24="","Sin EPP",""))))</f>
        <v/>
      </c>
    </row>
    <row r="25" customFormat="false" ht="15" hidden="false" customHeight="false" outlineLevel="0" collapsed="false">
      <c r="A25" s="18" t="n">
        <v>19</v>
      </c>
      <c r="B25" s="19"/>
      <c r="C25" s="19"/>
      <c r="D25" s="19"/>
      <c r="E25" s="19"/>
      <c r="F25" s="19"/>
      <c r="G25" s="12"/>
      <c r="H25" s="15"/>
      <c r="I25" s="12"/>
      <c r="J25" s="19"/>
      <c r="K25" s="12"/>
      <c r="L25" s="19"/>
      <c r="M25" s="11" t="str">
        <f aca="false">IF(B25="","",IF(H25&lt;Datos!$B$10,"SD menor al mínimo ZLFN",IF(OR(G25="",G25&gt;I25),"Alta IMSS posterior al ingreso",IF(K25="","Sin EPP",""))))</f>
        <v/>
      </c>
    </row>
    <row r="26" customFormat="false" ht="15" hidden="false" customHeight="false" outlineLevel="0" collapsed="false">
      <c r="A26" s="18" t="n">
        <v>20</v>
      </c>
      <c r="B26" s="19"/>
      <c r="C26" s="19"/>
      <c r="D26" s="19"/>
      <c r="E26" s="19"/>
      <c r="F26" s="19"/>
      <c r="G26" s="12"/>
      <c r="H26" s="15"/>
      <c r="I26" s="12"/>
      <c r="J26" s="19"/>
      <c r="K26" s="12"/>
      <c r="L26" s="19"/>
      <c r="M26" s="11" t="str">
        <f aca="false">IF(B26="","",IF(H26&lt;Datos!$B$10,"SD menor al mínimo ZLFN",IF(OR(G26="",G26&gt;I26),"Alta IMSS posterior al ingreso",IF(K26="","Sin EPP",""))))</f>
        <v/>
      </c>
    </row>
    <row r="27" customFormat="false" ht="15" hidden="false" customHeight="false" outlineLevel="0" collapsed="false">
      <c r="A27" s="18" t="n">
        <v>21</v>
      </c>
      <c r="B27" s="19"/>
      <c r="C27" s="19"/>
      <c r="D27" s="19"/>
      <c r="E27" s="19"/>
      <c r="F27" s="19"/>
      <c r="G27" s="12"/>
      <c r="H27" s="15"/>
      <c r="I27" s="12"/>
      <c r="J27" s="19"/>
      <c r="K27" s="12"/>
      <c r="L27" s="19"/>
      <c r="M27" s="11" t="str">
        <f aca="false">IF(B27="","",IF(H27&lt;Datos!$B$10,"SD menor al mínimo ZLFN",IF(OR(G27="",G27&gt;I27),"Alta IMSS posterior al ingreso",IF(K27="","Sin EPP",""))))</f>
        <v/>
      </c>
    </row>
    <row r="28" customFormat="false" ht="15" hidden="false" customHeight="false" outlineLevel="0" collapsed="false">
      <c r="A28" s="18" t="n">
        <v>22</v>
      </c>
      <c r="B28" s="19"/>
      <c r="C28" s="19"/>
      <c r="D28" s="19"/>
      <c r="E28" s="19"/>
      <c r="F28" s="19"/>
      <c r="G28" s="12"/>
      <c r="H28" s="15"/>
      <c r="I28" s="12"/>
      <c r="J28" s="19"/>
      <c r="K28" s="12"/>
      <c r="L28" s="19"/>
      <c r="M28" s="11" t="str">
        <f aca="false">IF(B28="","",IF(H28&lt;Datos!$B$10,"SD menor al mínimo ZLFN",IF(OR(G28="",G28&gt;I28),"Alta IMSS posterior al ingreso",IF(K28="","Sin EPP",""))))</f>
        <v/>
      </c>
    </row>
    <row r="29" customFormat="false" ht="15" hidden="false" customHeight="false" outlineLevel="0" collapsed="false">
      <c r="A29" s="18" t="n">
        <v>23</v>
      </c>
      <c r="B29" s="19"/>
      <c r="C29" s="19"/>
      <c r="D29" s="19"/>
      <c r="E29" s="19"/>
      <c r="F29" s="19"/>
      <c r="G29" s="12"/>
      <c r="H29" s="15"/>
      <c r="I29" s="12"/>
      <c r="J29" s="19"/>
      <c r="K29" s="12"/>
      <c r="L29" s="19"/>
      <c r="M29" s="11" t="str">
        <f aca="false">IF(B29="","",IF(H29&lt;Datos!$B$10,"SD menor al mínimo ZLFN",IF(OR(G29="",G29&gt;I29),"Alta IMSS posterior al ingreso",IF(K29="","Sin EPP",""))))</f>
        <v/>
      </c>
    </row>
    <row r="30" customFormat="false" ht="15" hidden="false" customHeight="false" outlineLevel="0" collapsed="false">
      <c r="A30" s="18" t="n">
        <v>24</v>
      </c>
      <c r="B30" s="19"/>
      <c r="C30" s="19"/>
      <c r="D30" s="19"/>
      <c r="E30" s="19"/>
      <c r="F30" s="19"/>
      <c r="G30" s="12"/>
      <c r="H30" s="15"/>
      <c r="I30" s="12"/>
      <c r="J30" s="19"/>
      <c r="K30" s="12"/>
      <c r="L30" s="19"/>
      <c r="M30" s="11" t="str">
        <f aca="false">IF(B30="","",IF(H30&lt;Datos!$B$10,"SD menor al mínimo ZLFN",IF(OR(G30="",G30&gt;I30),"Alta IMSS posterior al ingreso",IF(K30="","Sin EPP",""))))</f>
        <v/>
      </c>
    </row>
    <row r="31" customFormat="false" ht="15" hidden="false" customHeight="false" outlineLevel="0" collapsed="false">
      <c r="A31" s="18" t="n">
        <v>25</v>
      </c>
      <c r="B31" s="19"/>
      <c r="C31" s="19"/>
      <c r="D31" s="19"/>
      <c r="E31" s="19"/>
      <c r="F31" s="19"/>
      <c r="G31" s="12"/>
      <c r="H31" s="15"/>
      <c r="I31" s="12"/>
      <c r="J31" s="19"/>
      <c r="K31" s="12"/>
      <c r="L31" s="19"/>
      <c r="M31" s="11" t="str">
        <f aca="false">IF(B31="","",IF(H31&lt;Datos!$B$10,"SD menor al mínimo ZLFN",IF(OR(G31="",G31&gt;I31),"Alta IMSS posterior al ingreso",IF(K31="","Sin EPP",""))))</f>
        <v/>
      </c>
    </row>
    <row r="32" customFormat="false" ht="15" hidden="false" customHeight="false" outlineLevel="0" collapsed="false">
      <c r="A32" s="18" t="n">
        <v>26</v>
      </c>
      <c r="B32" s="19"/>
      <c r="C32" s="19"/>
      <c r="D32" s="19"/>
      <c r="E32" s="19"/>
      <c r="F32" s="19"/>
      <c r="G32" s="12"/>
      <c r="H32" s="15"/>
      <c r="I32" s="12"/>
      <c r="J32" s="19"/>
      <c r="K32" s="12"/>
      <c r="L32" s="19"/>
      <c r="M32" s="11" t="str">
        <f aca="false">IF(B32="","",IF(H32&lt;Datos!$B$10,"SD menor al mínimo ZLFN",IF(OR(G32="",G32&gt;I32),"Alta IMSS posterior al ingreso",IF(K32="","Sin EPP",""))))</f>
        <v/>
      </c>
    </row>
    <row r="33" customFormat="false" ht="15" hidden="false" customHeight="false" outlineLevel="0" collapsed="false">
      <c r="A33" s="18" t="n">
        <v>27</v>
      </c>
      <c r="B33" s="19"/>
      <c r="C33" s="19"/>
      <c r="D33" s="19"/>
      <c r="E33" s="19"/>
      <c r="F33" s="19"/>
      <c r="G33" s="12"/>
      <c r="H33" s="15"/>
      <c r="I33" s="12"/>
      <c r="J33" s="19"/>
      <c r="K33" s="12"/>
      <c r="L33" s="19"/>
      <c r="M33" s="11" t="str">
        <f aca="false">IF(B33="","",IF(H33&lt;Datos!$B$10,"SD menor al mínimo ZLFN",IF(OR(G33="",G33&gt;I33),"Alta IMSS posterior al ingreso",IF(K33="","Sin EPP",""))))</f>
        <v/>
      </c>
    </row>
    <row r="34" customFormat="false" ht="15" hidden="false" customHeight="false" outlineLevel="0" collapsed="false">
      <c r="A34" s="18" t="n">
        <v>28</v>
      </c>
      <c r="B34" s="19"/>
      <c r="C34" s="19"/>
      <c r="D34" s="19"/>
      <c r="E34" s="19"/>
      <c r="F34" s="19"/>
      <c r="G34" s="12"/>
      <c r="H34" s="15"/>
      <c r="I34" s="12"/>
      <c r="J34" s="19"/>
      <c r="K34" s="12"/>
      <c r="L34" s="19"/>
      <c r="M34" s="11" t="str">
        <f aca="false">IF(B34="","",IF(H34&lt;Datos!$B$10,"SD menor al mínimo ZLFN",IF(OR(G34="",G34&gt;I34),"Alta IMSS posterior al ingreso",IF(K34="","Sin EPP",""))))</f>
        <v/>
      </c>
    </row>
    <row r="35" customFormat="false" ht="15" hidden="false" customHeight="false" outlineLevel="0" collapsed="false">
      <c r="A35" s="18" t="n">
        <v>29</v>
      </c>
      <c r="B35" s="19"/>
      <c r="C35" s="19"/>
      <c r="D35" s="19"/>
      <c r="E35" s="19"/>
      <c r="F35" s="19"/>
      <c r="G35" s="12"/>
      <c r="H35" s="15"/>
      <c r="I35" s="12"/>
      <c r="J35" s="19"/>
      <c r="K35" s="12"/>
      <c r="L35" s="19"/>
      <c r="M35" s="11" t="str">
        <f aca="false">IF(B35="","",IF(H35&lt;Datos!$B$10,"SD menor al mínimo ZLFN",IF(OR(G35="",G35&gt;I35),"Alta IMSS posterior al ingreso",IF(K35="","Sin EPP",""))))</f>
        <v/>
      </c>
    </row>
    <row r="36" customFormat="false" ht="15" hidden="false" customHeight="false" outlineLevel="0" collapsed="false">
      <c r="A36" s="18" t="n">
        <v>30</v>
      </c>
      <c r="B36" s="19"/>
      <c r="C36" s="19"/>
      <c r="D36" s="19"/>
      <c r="E36" s="19"/>
      <c r="F36" s="19"/>
      <c r="G36" s="12"/>
      <c r="H36" s="15"/>
      <c r="I36" s="12"/>
      <c r="J36" s="19"/>
      <c r="K36" s="12"/>
      <c r="L36" s="19"/>
      <c r="M36" s="11" t="str">
        <f aca="false">IF(B36="","",IF(H36&lt;Datos!$B$10,"SD menor al mínimo ZLFN",IF(OR(G36="",G36&gt;I36),"Alta IMSS posterior al ingreso",IF(K36="","Sin EPP",""))))</f>
        <v/>
      </c>
    </row>
    <row r="37" customFormat="false" ht="15" hidden="false" customHeight="false" outlineLevel="0" collapsed="false">
      <c r="A37" s="18" t="n">
        <v>31</v>
      </c>
      <c r="B37" s="19"/>
      <c r="C37" s="19"/>
      <c r="D37" s="19"/>
      <c r="E37" s="19"/>
      <c r="F37" s="19"/>
      <c r="G37" s="12"/>
      <c r="H37" s="15"/>
      <c r="I37" s="12"/>
      <c r="J37" s="19"/>
      <c r="K37" s="12"/>
      <c r="L37" s="19"/>
      <c r="M37" s="11" t="str">
        <f aca="false">IF(B37="","",IF(H37&lt;Datos!$B$10,"SD menor al mínimo ZLFN",IF(OR(G37="",G37&gt;I37),"Alta IMSS posterior al ingreso",IF(K37="","Sin EPP",""))))</f>
        <v/>
      </c>
    </row>
    <row r="38" customFormat="false" ht="15" hidden="false" customHeight="false" outlineLevel="0" collapsed="false">
      <c r="A38" s="18" t="n">
        <v>32</v>
      </c>
      <c r="B38" s="19"/>
      <c r="C38" s="19"/>
      <c r="D38" s="19"/>
      <c r="E38" s="19"/>
      <c r="F38" s="19"/>
      <c r="G38" s="12"/>
      <c r="H38" s="15"/>
      <c r="I38" s="12"/>
      <c r="J38" s="19"/>
      <c r="K38" s="12"/>
      <c r="L38" s="19"/>
      <c r="M38" s="11" t="str">
        <f aca="false">IF(B38="","",IF(H38&lt;Datos!$B$10,"SD menor al mínimo ZLFN",IF(OR(G38="",G38&gt;I38),"Alta IMSS posterior al ingreso",IF(K38="","Sin EPP",""))))</f>
        <v/>
      </c>
    </row>
    <row r="39" customFormat="false" ht="15" hidden="false" customHeight="false" outlineLevel="0" collapsed="false">
      <c r="A39" s="18" t="n">
        <v>33</v>
      </c>
      <c r="B39" s="19"/>
      <c r="C39" s="19"/>
      <c r="D39" s="19"/>
      <c r="E39" s="19"/>
      <c r="F39" s="19"/>
      <c r="G39" s="12"/>
      <c r="H39" s="15"/>
      <c r="I39" s="12"/>
      <c r="J39" s="19"/>
      <c r="K39" s="12"/>
      <c r="L39" s="19"/>
      <c r="M39" s="11" t="str">
        <f aca="false">IF(B39="","",IF(H39&lt;Datos!$B$10,"SD menor al mínimo ZLFN",IF(OR(G39="",G39&gt;I39),"Alta IMSS posterior al ingreso",IF(K39="","Sin EPP",""))))</f>
        <v/>
      </c>
    </row>
    <row r="40" customFormat="false" ht="15" hidden="false" customHeight="false" outlineLevel="0" collapsed="false">
      <c r="A40" s="18" t="n">
        <v>34</v>
      </c>
      <c r="B40" s="19"/>
      <c r="C40" s="19"/>
      <c r="D40" s="19"/>
      <c r="E40" s="19"/>
      <c r="F40" s="19"/>
      <c r="G40" s="12"/>
      <c r="H40" s="15"/>
      <c r="I40" s="12"/>
      <c r="J40" s="19"/>
      <c r="K40" s="12"/>
      <c r="L40" s="19"/>
      <c r="M40" s="11" t="str">
        <f aca="false">IF(B40="","",IF(H40&lt;Datos!$B$10,"SD menor al mínimo ZLFN",IF(OR(G40="",G40&gt;I40),"Alta IMSS posterior al ingreso",IF(K40="","Sin EPP",""))))</f>
        <v/>
      </c>
    </row>
    <row r="41" customFormat="false" ht="15" hidden="false" customHeight="false" outlineLevel="0" collapsed="false">
      <c r="A41" s="18" t="n">
        <v>35</v>
      </c>
      <c r="B41" s="19"/>
      <c r="C41" s="19"/>
      <c r="D41" s="19"/>
      <c r="E41" s="19"/>
      <c r="F41" s="19"/>
      <c r="G41" s="12"/>
      <c r="H41" s="15"/>
      <c r="I41" s="12"/>
      <c r="J41" s="19"/>
      <c r="K41" s="12"/>
      <c r="L41" s="19"/>
      <c r="M41" s="11" t="str">
        <f aca="false">IF(B41="","",IF(H41&lt;Datos!$B$10,"SD menor al mínimo ZLFN",IF(OR(G41="",G41&gt;I41),"Alta IMSS posterior al ingreso",IF(K41="","Sin EPP",""))))</f>
        <v/>
      </c>
    </row>
    <row r="42" customFormat="false" ht="15" hidden="false" customHeight="false" outlineLevel="0" collapsed="false">
      <c r="A42" s="18" t="n">
        <v>36</v>
      </c>
      <c r="B42" s="19"/>
      <c r="C42" s="19"/>
      <c r="D42" s="19"/>
      <c r="E42" s="19"/>
      <c r="F42" s="19"/>
      <c r="G42" s="12"/>
      <c r="H42" s="15"/>
      <c r="I42" s="12"/>
      <c r="J42" s="19"/>
      <c r="K42" s="12"/>
      <c r="L42" s="19"/>
      <c r="M42" s="11" t="str">
        <f aca="false">IF(B42="","",IF(H42&lt;Datos!$B$10,"SD menor al mínimo ZLFN",IF(OR(G42="",G42&gt;I42),"Alta IMSS posterior al ingreso",IF(K42="","Sin EPP",""))))</f>
        <v/>
      </c>
    </row>
    <row r="43" customFormat="false" ht="15" hidden="false" customHeight="false" outlineLevel="0" collapsed="false">
      <c r="A43" s="18" t="n">
        <v>37</v>
      </c>
      <c r="B43" s="19"/>
      <c r="C43" s="19"/>
      <c r="D43" s="19"/>
      <c r="E43" s="19"/>
      <c r="F43" s="19"/>
      <c r="G43" s="12"/>
      <c r="H43" s="15"/>
      <c r="I43" s="12"/>
      <c r="J43" s="19"/>
      <c r="K43" s="12"/>
      <c r="L43" s="19"/>
      <c r="M43" s="11" t="str">
        <f aca="false">IF(B43="","",IF(H43&lt;Datos!$B$10,"SD menor al mínimo ZLFN",IF(OR(G43="",G43&gt;I43),"Alta IMSS posterior al ingreso",IF(K43="","Sin EPP",""))))</f>
        <v/>
      </c>
    </row>
    <row r="44" customFormat="false" ht="15" hidden="false" customHeight="false" outlineLevel="0" collapsed="false">
      <c r="A44" s="18" t="n">
        <v>38</v>
      </c>
      <c r="B44" s="19"/>
      <c r="C44" s="19"/>
      <c r="D44" s="19"/>
      <c r="E44" s="19"/>
      <c r="F44" s="19"/>
      <c r="G44" s="12"/>
      <c r="H44" s="15"/>
      <c r="I44" s="12"/>
      <c r="J44" s="19"/>
      <c r="K44" s="12"/>
      <c r="L44" s="19"/>
      <c r="M44" s="11" t="str">
        <f aca="false">IF(B44="","",IF(H44&lt;Datos!$B$10,"SD menor al mínimo ZLFN",IF(OR(G44="",G44&gt;I44),"Alta IMSS posterior al ingreso",IF(K44="","Sin EPP",""))))</f>
        <v/>
      </c>
    </row>
    <row r="45" customFormat="false" ht="15" hidden="false" customHeight="false" outlineLevel="0" collapsed="false">
      <c r="A45" s="18" t="n">
        <v>39</v>
      </c>
      <c r="B45" s="19"/>
      <c r="C45" s="19"/>
      <c r="D45" s="19"/>
      <c r="E45" s="19"/>
      <c r="F45" s="19"/>
      <c r="G45" s="12"/>
      <c r="H45" s="15"/>
      <c r="I45" s="12"/>
      <c r="J45" s="19"/>
      <c r="K45" s="12"/>
      <c r="L45" s="19"/>
      <c r="M45" s="11" t="str">
        <f aca="false">IF(B45="","",IF(H45&lt;Datos!$B$10,"SD menor al mínimo ZLFN",IF(OR(G45="",G45&gt;I45),"Alta IMSS posterior al ingreso",IF(K45="","Sin EPP",""))))</f>
        <v/>
      </c>
    </row>
    <row r="46" customFormat="false" ht="15" hidden="false" customHeight="false" outlineLevel="0" collapsed="false">
      <c r="A46" s="18" t="n">
        <v>40</v>
      </c>
      <c r="B46" s="19"/>
      <c r="C46" s="19"/>
      <c r="D46" s="19"/>
      <c r="E46" s="19"/>
      <c r="F46" s="19"/>
      <c r="G46" s="12"/>
      <c r="H46" s="15"/>
      <c r="I46" s="12"/>
      <c r="J46" s="19"/>
      <c r="K46" s="12"/>
      <c r="L46" s="19"/>
      <c r="M46" s="11" t="str">
        <f aca="false">IF(B46="","",IF(H46&lt;Datos!$B$10,"SD menor al mínimo ZLFN",IF(OR(G46="",G46&gt;I46),"Alta IMSS posterior al ingreso",IF(K46="","Sin EPP",""))))</f>
        <v/>
      </c>
    </row>
    <row r="47" customFormat="false" ht="15" hidden="false" customHeight="false" outlineLevel="0" collapsed="false">
      <c r="A47" s="18" t="n">
        <v>41</v>
      </c>
      <c r="B47" s="19"/>
      <c r="C47" s="19"/>
      <c r="D47" s="19"/>
      <c r="E47" s="19"/>
      <c r="F47" s="19"/>
      <c r="G47" s="12"/>
      <c r="H47" s="15"/>
      <c r="I47" s="12"/>
      <c r="J47" s="19"/>
      <c r="K47" s="12"/>
      <c r="L47" s="19"/>
      <c r="M47" s="11" t="str">
        <f aca="false">IF(B47="","",IF(H47&lt;Datos!$B$10,"SD menor al mínimo ZLFN",IF(OR(G47="",G47&gt;I47),"Alta IMSS posterior al ingreso",IF(K47="","Sin EPP",""))))</f>
        <v/>
      </c>
    </row>
    <row r="48" customFormat="false" ht="15" hidden="false" customHeight="false" outlineLevel="0" collapsed="false">
      <c r="A48" s="18" t="n">
        <v>42</v>
      </c>
      <c r="B48" s="19"/>
      <c r="C48" s="19"/>
      <c r="D48" s="19"/>
      <c r="E48" s="19"/>
      <c r="F48" s="19"/>
      <c r="G48" s="12"/>
      <c r="H48" s="15"/>
      <c r="I48" s="12"/>
      <c r="J48" s="19"/>
      <c r="K48" s="12"/>
      <c r="L48" s="19"/>
      <c r="M48" s="11" t="str">
        <f aca="false">IF(B48="","",IF(H48&lt;Datos!$B$10,"SD menor al mínimo ZLFN",IF(OR(G48="",G48&gt;I48),"Alta IMSS posterior al ingreso",IF(K48="","Sin EPP",""))))</f>
        <v/>
      </c>
    </row>
    <row r="49" customFormat="false" ht="15" hidden="false" customHeight="false" outlineLevel="0" collapsed="false">
      <c r="A49" s="18" t="n">
        <v>43</v>
      </c>
      <c r="B49" s="19"/>
      <c r="C49" s="19"/>
      <c r="D49" s="19"/>
      <c r="E49" s="19"/>
      <c r="F49" s="19"/>
      <c r="G49" s="12"/>
      <c r="H49" s="15"/>
      <c r="I49" s="12"/>
      <c r="J49" s="19"/>
      <c r="K49" s="12"/>
      <c r="L49" s="19"/>
      <c r="M49" s="11" t="str">
        <f aca="false">IF(B49="","",IF(H49&lt;Datos!$B$10,"SD menor al mínimo ZLFN",IF(OR(G49="",G49&gt;I49),"Alta IMSS posterior al ingreso",IF(K49="","Sin EPP",""))))</f>
        <v/>
      </c>
    </row>
    <row r="50" customFormat="false" ht="15" hidden="false" customHeight="false" outlineLevel="0" collapsed="false">
      <c r="A50" s="18" t="n">
        <v>44</v>
      </c>
      <c r="B50" s="19"/>
      <c r="C50" s="19"/>
      <c r="D50" s="19"/>
      <c r="E50" s="19"/>
      <c r="F50" s="19"/>
      <c r="G50" s="12"/>
      <c r="H50" s="15"/>
      <c r="I50" s="12"/>
      <c r="J50" s="19"/>
      <c r="K50" s="12"/>
      <c r="L50" s="19"/>
      <c r="M50" s="11" t="str">
        <f aca="false">IF(B50="","",IF(H50&lt;Datos!$B$10,"SD menor al mínimo ZLFN",IF(OR(G50="",G50&gt;I50),"Alta IMSS posterior al ingreso",IF(K50="","Sin EPP",""))))</f>
        <v/>
      </c>
    </row>
    <row r="51" customFormat="false" ht="15" hidden="false" customHeight="false" outlineLevel="0" collapsed="false">
      <c r="A51" s="18" t="n">
        <v>45</v>
      </c>
      <c r="B51" s="19"/>
      <c r="C51" s="19"/>
      <c r="D51" s="19"/>
      <c r="E51" s="19"/>
      <c r="F51" s="19"/>
      <c r="G51" s="12"/>
      <c r="H51" s="15"/>
      <c r="I51" s="12"/>
      <c r="J51" s="19"/>
      <c r="K51" s="12"/>
      <c r="L51" s="19"/>
      <c r="M51" s="11" t="str">
        <f aca="false">IF(B51="","",IF(H51&lt;Datos!$B$10,"SD menor al mínimo ZLFN",IF(OR(G51="",G51&gt;I51),"Alta IMSS posterior al ingreso",IF(K51="","Sin EPP",""))))</f>
        <v/>
      </c>
    </row>
    <row r="52" customFormat="false" ht="15" hidden="false" customHeight="false" outlineLevel="0" collapsed="false">
      <c r="A52" s="18" t="n">
        <v>46</v>
      </c>
      <c r="B52" s="19"/>
      <c r="C52" s="19"/>
      <c r="D52" s="19"/>
      <c r="E52" s="19"/>
      <c r="F52" s="19"/>
      <c r="G52" s="12"/>
      <c r="H52" s="15"/>
      <c r="I52" s="12"/>
      <c r="J52" s="19"/>
      <c r="K52" s="12"/>
      <c r="L52" s="19"/>
      <c r="M52" s="11" t="str">
        <f aca="false">IF(B52="","",IF(H52&lt;Datos!$B$10,"SD menor al mínimo ZLFN",IF(OR(G52="",G52&gt;I52),"Alta IMSS posterior al ingreso",IF(K52="","Sin EPP",""))))</f>
        <v/>
      </c>
    </row>
    <row r="53" customFormat="false" ht="15" hidden="false" customHeight="false" outlineLevel="0" collapsed="false">
      <c r="A53" s="18" t="n">
        <v>47</v>
      </c>
      <c r="B53" s="19"/>
      <c r="C53" s="19"/>
      <c r="D53" s="19"/>
      <c r="E53" s="19"/>
      <c r="F53" s="19"/>
      <c r="G53" s="12"/>
      <c r="H53" s="15"/>
      <c r="I53" s="12"/>
      <c r="J53" s="19"/>
      <c r="K53" s="12"/>
      <c r="L53" s="19"/>
      <c r="M53" s="11" t="str">
        <f aca="false">IF(B53="","",IF(H53&lt;Datos!$B$10,"SD menor al mínimo ZLFN",IF(OR(G53="",G53&gt;I53),"Alta IMSS posterior al ingreso",IF(K53="","Sin EPP",""))))</f>
        <v/>
      </c>
    </row>
    <row r="54" customFormat="false" ht="15" hidden="false" customHeight="false" outlineLevel="0" collapsed="false">
      <c r="A54" s="18" t="n">
        <v>48</v>
      </c>
      <c r="B54" s="19"/>
      <c r="C54" s="19"/>
      <c r="D54" s="19"/>
      <c r="E54" s="19"/>
      <c r="F54" s="19"/>
      <c r="G54" s="12"/>
      <c r="H54" s="15"/>
      <c r="I54" s="12"/>
      <c r="J54" s="19"/>
      <c r="K54" s="12"/>
      <c r="L54" s="19"/>
      <c r="M54" s="11" t="str">
        <f aca="false">IF(B54="","",IF(H54&lt;Datos!$B$10,"SD menor al mínimo ZLFN",IF(OR(G54="",G54&gt;I54),"Alta IMSS posterior al ingreso",IF(K54="","Sin EPP",""))))</f>
        <v/>
      </c>
    </row>
    <row r="55" customFormat="false" ht="15" hidden="false" customHeight="false" outlineLevel="0" collapsed="false">
      <c r="A55" s="18" t="n">
        <v>49</v>
      </c>
      <c r="B55" s="19"/>
      <c r="C55" s="19"/>
      <c r="D55" s="19"/>
      <c r="E55" s="19"/>
      <c r="F55" s="19"/>
      <c r="G55" s="12"/>
      <c r="H55" s="15"/>
      <c r="I55" s="12"/>
      <c r="J55" s="19"/>
      <c r="K55" s="12"/>
      <c r="L55" s="19"/>
      <c r="M55" s="11" t="str">
        <f aca="false">IF(B55="","",IF(H55&lt;Datos!$B$10,"SD menor al mínimo ZLFN",IF(OR(G55="",G55&gt;I55),"Alta IMSS posterior al ingreso",IF(K55="","Sin EPP",""))))</f>
        <v/>
      </c>
    </row>
    <row r="56" customFormat="false" ht="15" hidden="false" customHeight="false" outlineLevel="0" collapsed="false">
      <c r="A56" s="18" t="n">
        <v>50</v>
      </c>
      <c r="B56" s="19"/>
      <c r="C56" s="19"/>
      <c r="D56" s="19"/>
      <c r="E56" s="19"/>
      <c r="F56" s="19"/>
      <c r="G56" s="12"/>
      <c r="H56" s="15"/>
      <c r="I56" s="12"/>
      <c r="J56" s="19"/>
      <c r="K56" s="12"/>
      <c r="L56" s="19"/>
      <c r="M56" s="11" t="str">
        <f aca="false">IF(B56="","",IF(H56&lt;Datos!$B$10,"SD menor al mínimo ZLFN",IF(OR(G56="",G56&gt;I56),"Alta IMSS posterior al ingreso",IF(K56="","Sin EPP",""))))</f>
        <v/>
      </c>
    </row>
    <row r="57" customFormat="false" ht="15" hidden="false" customHeight="false" outlineLevel="0" collapsed="false">
      <c r="A57" s="18" t="n">
        <v>51</v>
      </c>
      <c r="B57" s="19"/>
      <c r="C57" s="19"/>
      <c r="D57" s="19"/>
      <c r="E57" s="19"/>
      <c r="F57" s="19"/>
      <c r="G57" s="12"/>
      <c r="H57" s="15"/>
      <c r="I57" s="12"/>
      <c r="J57" s="19"/>
      <c r="K57" s="12"/>
      <c r="L57" s="19"/>
      <c r="M57" s="11" t="str">
        <f aca="false">IF(B57="","",IF(H57&lt;Datos!$B$10,"SD menor al mínimo ZLFN",IF(OR(G57="",G57&gt;I57),"Alta IMSS posterior al ingreso",IF(K57="","Sin EPP",""))))</f>
        <v/>
      </c>
    </row>
    <row r="58" customFormat="false" ht="15" hidden="false" customHeight="false" outlineLevel="0" collapsed="false">
      <c r="A58" s="18" t="n">
        <v>52</v>
      </c>
      <c r="B58" s="19"/>
      <c r="C58" s="19"/>
      <c r="D58" s="19"/>
      <c r="E58" s="19"/>
      <c r="F58" s="19"/>
      <c r="G58" s="12"/>
      <c r="H58" s="15"/>
      <c r="I58" s="12"/>
      <c r="J58" s="19"/>
      <c r="K58" s="12"/>
      <c r="L58" s="19"/>
      <c r="M58" s="11" t="str">
        <f aca="false">IF(B58="","",IF(H58&lt;Datos!$B$10,"SD menor al mínimo ZLFN",IF(OR(G58="",G58&gt;I58),"Alta IMSS posterior al ingreso",IF(K58="","Sin EPP",""))))</f>
        <v/>
      </c>
    </row>
    <row r="59" customFormat="false" ht="15" hidden="false" customHeight="false" outlineLevel="0" collapsed="false">
      <c r="A59" s="18" t="n">
        <v>53</v>
      </c>
      <c r="B59" s="19"/>
      <c r="C59" s="19"/>
      <c r="D59" s="19"/>
      <c r="E59" s="19"/>
      <c r="F59" s="19"/>
      <c r="G59" s="12"/>
      <c r="H59" s="15"/>
      <c r="I59" s="12"/>
      <c r="J59" s="19"/>
      <c r="K59" s="12"/>
      <c r="L59" s="19"/>
      <c r="M59" s="11" t="str">
        <f aca="false">IF(B59="","",IF(H59&lt;Datos!$B$10,"SD menor al mínimo ZLFN",IF(OR(G59="",G59&gt;I59),"Alta IMSS posterior al ingreso",IF(K59="","Sin EPP",""))))</f>
        <v/>
      </c>
    </row>
    <row r="60" customFormat="false" ht="15" hidden="false" customHeight="false" outlineLevel="0" collapsed="false">
      <c r="A60" s="18" t="n">
        <v>54</v>
      </c>
      <c r="B60" s="19"/>
      <c r="C60" s="19"/>
      <c r="D60" s="19"/>
      <c r="E60" s="19"/>
      <c r="F60" s="19"/>
      <c r="G60" s="12"/>
      <c r="H60" s="15"/>
      <c r="I60" s="12"/>
      <c r="J60" s="19"/>
      <c r="K60" s="12"/>
      <c r="L60" s="19"/>
      <c r="M60" s="11" t="str">
        <f aca="false">IF(B60="","",IF(H60&lt;Datos!$B$10,"SD menor al mínimo ZLFN",IF(OR(G60="",G60&gt;I60),"Alta IMSS posterior al ingreso",IF(K60="","Sin EPP",""))))</f>
        <v/>
      </c>
    </row>
    <row r="61" customFormat="false" ht="15" hidden="false" customHeight="false" outlineLevel="0" collapsed="false">
      <c r="A61" s="18" t="n">
        <v>55</v>
      </c>
      <c r="B61" s="19"/>
      <c r="C61" s="19"/>
      <c r="D61" s="19"/>
      <c r="E61" s="19"/>
      <c r="F61" s="19"/>
      <c r="G61" s="12"/>
      <c r="H61" s="15"/>
      <c r="I61" s="12"/>
      <c r="J61" s="19"/>
      <c r="K61" s="12"/>
      <c r="L61" s="19"/>
      <c r="M61" s="11" t="str">
        <f aca="false">IF(B61="","",IF(H61&lt;Datos!$B$10,"SD menor al mínimo ZLFN",IF(OR(G61="",G61&gt;I61),"Alta IMSS posterior al ingreso",IF(K61="","Sin EPP",""))))</f>
        <v/>
      </c>
    </row>
    <row r="62" customFormat="false" ht="15" hidden="false" customHeight="false" outlineLevel="0" collapsed="false">
      <c r="A62" s="18" t="n">
        <v>56</v>
      </c>
      <c r="B62" s="19"/>
      <c r="C62" s="19"/>
      <c r="D62" s="19"/>
      <c r="E62" s="19"/>
      <c r="F62" s="19"/>
      <c r="G62" s="12"/>
      <c r="H62" s="15"/>
      <c r="I62" s="12"/>
      <c r="J62" s="19"/>
      <c r="K62" s="12"/>
      <c r="L62" s="19"/>
      <c r="M62" s="11" t="str">
        <f aca="false">IF(B62="","",IF(H62&lt;Datos!$B$10,"SD menor al mínimo ZLFN",IF(OR(G62="",G62&gt;I62),"Alta IMSS posterior al ingreso",IF(K62="","Sin EPP",""))))</f>
        <v/>
      </c>
    </row>
    <row r="63" customFormat="false" ht="15" hidden="false" customHeight="false" outlineLevel="0" collapsed="false">
      <c r="A63" s="18" t="n">
        <v>57</v>
      </c>
      <c r="B63" s="19"/>
      <c r="C63" s="19"/>
      <c r="D63" s="19"/>
      <c r="E63" s="19"/>
      <c r="F63" s="19"/>
      <c r="G63" s="12"/>
      <c r="H63" s="15"/>
      <c r="I63" s="12"/>
      <c r="J63" s="19"/>
      <c r="K63" s="12"/>
      <c r="L63" s="19"/>
      <c r="M63" s="11" t="str">
        <f aca="false">IF(B63="","",IF(H63&lt;Datos!$B$10,"SD menor al mínimo ZLFN",IF(OR(G63="",G63&gt;I63),"Alta IMSS posterior al ingreso",IF(K63="","Sin EPP",""))))</f>
        <v/>
      </c>
    </row>
    <row r="64" customFormat="false" ht="15" hidden="false" customHeight="false" outlineLevel="0" collapsed="false">
      <c r="A64" s="18" t="n">
        <v>58</v>
      </c>
      <c r="B64" s="19"/>
      <c r="C64" s="19"/>
      <c r="D64" s="19"/>
      <c r="E64" s="19"/>
      <c r="F64" s="19"/>
      <c r="G64" s="12"/>
      <c r="H64" s="15"/>
      <c r="I64" s="12"/>
      <c r="J64" s="19"/>
      <c r="K64" s="12"/>
      <c r="L64" s="19"/>
      <c r="M64" s="11" t="str">
        <f aca="false">IF(B64="","",IF(H64&lt;Datos!$B$10,"SD menor al mínimo ZLFN",IF(OR(G64="",G64&gt;I64),"Alta IMSS posterior al ingreso",IF(K64="","Sin EPP",""))))</f>
        <v/>
      </c>
    </row>
    <row r="65" customFormat="false" ht="15" hidden="false" customHeight="false" outlineLevel="0" collapsed="false">
      <c r="A65" s="18" t="n">
        <v>59</v>
      </c>
      <c r="B65" s="19"/>
      <c r="C65" s="19"/>
      <c r="D65" s="19"/>
      <c r="E65" s="19"/>
      <c r="F65" s="19"/>
      <c r="G65" s="12"/>
      <c r="H65" s="15"/>
      <c r="I65" s="12"/>
      <c r="J65" s="19"/>
      <c r="K65" s="12"/>
      <c r="L65" s="19"/>
      <c r="M65" s="11" t="str">
        <f aca="false">IF(B65="","",IF(H65&lt;Datos!$B$10,"SD menor al mínimo ZLFN",IF(OR(G65="",G65&gt;I65),"Alta IMSS posterior al ingreso",IF(K65="","Sin EPP",""))))</f>
        <v/>
      </c>
    </row>
    <row r="66" customFormat="false" ht="15" hidden="false" customHeight="false" outlineLevel="0" collapsed="false">
      <c r="A66" s="18" t="n">
        <v>60</v>
      </c>
      <c r="B66" s="19"/>
      <c r="C66" s="19"/>
      <c r="D66" s="19"/>
      <c r="E66" s="19"/>
      <c r="F66" s="19"/>
      <c r="G66" s="12"/>
      <c r="H66" s="15"/>
      <c r="I66" s="12"/>
      <c r="J66" s="19"/>
      <c r="K66" s="12"/>
      <c r="L66" s="19"/>
      <c r="M66" s="11" t="str">
        <f aca="false">IF(B66="","",IF(H66&lt;Datos!$B$10,"SD menor al mínimo ZLFN",IF(OR(G66="",G66&gt;I66),"Alta IMSS posterior al ingreso",IF(K66="","Sin EPP",""))))</f>
        <v/>
      </c>
    </row>
    <row r="67" customFormat="false" ht="15" hidden="false" customHeight="false" outlineLevel="0" collapsed="false">
      <c r="A67" s="18" t="n">
        <v>61</v>
      </c>
      <c r="B67" s="19"/>
      <c r="C67" s="19"/>
      <c r="D67" s="19"/>
      <c r="E67" s="19"/>
      <c r="F67" s="19"/>
      <c r="G67" s="12"/>
      <c r="H67" s="15"/>
      <c r="I67" s="12"/>
      <c r="J67" s="19"/>
      <c r="K67" s="12"/>
      <c r="L67" s="19"/>
      <c r="M67" s="11" t="str">
        <f aca="false">IF(B67="","",IF(H67&lt;Datos!$B$10,"SD menor al mínimo ZLFN",IF(OR(G67="",G67&gt;I67),"Alta IMSS posterior al ingreso",IF(K67="","Sin EPP",""))))</f>
        <v/>
      </c>
    </row>
    <row r="68" customFormat="false" ht="15" hidden="false" customHeight="false" outlineLevel="0" collapsed="false">
      <c r="A68" s="18" t="n">
        <v>62</v>
      </c>
      <c r="B68" s="19"/>
      <c r="C68" s="19"/>
      <c r="D68" s="19"/>
      <c r="E68" s="19"/>
      <c r="F68" s="19"/>
      <c r="G68" s="12"/>
      <c r="H68" s="15"/>
      <c r="I68" s="12"/>
      <c r="J68" s="19"/>
      <c r="K68" s="12"/>
      <c r="L68" s="19"/>
      <c r="M68" s="11" t="str">
        <f aca="false">IF(B68="","",IF(H68&lt;Datos!$B$10,"SD menor al mínimo ZLFN",IF(OR(G68="",G68&gt;I68),"Alta IMSS posterior al ingreso",IF(K68="","Sin EPP",""))))</f>
        <v/>
      </c>
    </row>
    <row r="69" customFormat="false" ht="15" hidden="false" customHeight="false" outlineLevel="0" collapsed="false">
      <c r="A69" s="18" t="n">
        <v>63</v>
      </c>
      <c r="B69" s="19"/>
      <c r="C69" s="19"/>
      <c r="D69" s="19"/>
      <c r="E69" s="19"/>
      <c r="F69" s="19"/>
      <c r="G69" s="12"/>
      <c r="H69" s="15"/>
      <c r="I69" s="12"/>
      <c r="J69" s="19"/>
      <c r="K69" s="12"/>
      <c r="L69" s="19"/>
      <c r="M69" s="11" t="str">
        <f aca="false">IF(B69="","",IF(H69&lt;Datos!$B$10,"SD menor al mínimo ZLFN",IF(OR(G69="",G69&gt;I69),"Alta IMSS posterior al ingreso",IF(K69="","Sin EPP",""))))</f>
        <v/>
      </c>
    </row>
    <row r="70" customFormat="false" ht="15" hidden="false" customHeight="false" outlineLevel="0" collapsed="false">
      <c r="A70" s="18" t="n">
        <v>64</v>
      </c>
      <c r="B70" s="19"/>
      <c r="C70" s="19"/>
      <c r="D70" s="19"/>
      <c r="E70" s="19"/>
      <c r="F70" s="19"/>
      <c r="G70" s="12"/>
      <c r="H70" s="15"/>
      <c r="I70" s="12"/>
      <c r="J70" s="19"/>
      <c r="K70" s="12"/>
      <c r="L70" s="19"/>
      <c r="M70" s="11" t="str">
        <f aca="false">IF(B70="","",IF(H70&lt;Datos!$B$10,"SD menor al mínimo ZLFN",IF(OR(G70="",G70&gt;I70),"Alta IMSS posterior al ingreso",IF(K70="","Sin EPP",""))))</f>
        <v/>
      </c>
    </row>
    <row r="71" customFormat="false" ht="15" hidden="false" customHeight="false" outlineLevel="0" collapsed="false">
      <c r="A71" s="18" t="n">
        <v>65</v>
      </c>
      <c r="B71" s="19"/>
      <c r="C71" s="19"/>
      <c r="D71" s="19"/>
      <c r="E71" s="19"/>
      <c r="F71" s="19"/>
      <c r="G71" s="12"/>
      <c r="H71" s="15"/>
      <c r="I71" s="12"/>
      <c r="J71" s="19"/>
      <c r="K71" s="12"/>
      <c r="L71" s="19"/>
      <c r="M71" s="11" t="str">
        <f aca="false">IF(B71="","",IF(H71&lt;Datos!$B$10,"SD menor al mínimo ZLFN",IF(OR(G71="",G71&gt;I71),"Alta IMSS posterior al ingreso",IF(K71="","Sin EPP",""))))</f>
        <v/>
      </c>
    </row>
    <row r="72" customFormat="false" ht="15" hidden="false" customHeight="false" outlineLevel="0" collapsed="false">
      <c r="A72" s="18" t="n">
        <v>66</v>
      </c>
      <c r="B72" s="19"/>
      <c r="C72" s="19"/>
      <c r="D72" s="19"/>
      <c r="E72" s="19"/>
      <c r="F72" s="19"/>
      <c r="G72" s="12"/>
      <c r="H72" s="15"/>
      <c r="I72" s="12"/>
      <c r="J72" s="19"/>
      <c r="K72" s="12"/>
      <c r="L72" s="19"/>
      <c r="M72" s="11" t="str">
        <f aca="false">IF(B72="","",IF(H72&lt;Datos!$B$10,"SD menor al mínimo ZLFN",IF(OR(G72="",G72&gt;I72),"Alta IMSS posterior al ingreso",IF(K72="","Sin EPP",""))))</f>
        <v/>
      </c>
    </row>
    <row r="73" customFormat="false" ht="15" hidden="false" customHeight="false" outlineLevel="0" collapsed="false">
      <c r="A73" s="18" t="n">
        <v>67</v>
      </c>
      <c r="B73" s="19"/>
      <c r="C73" s="19"/>
      <c r="D73" s="19"/>
      <c r="E73" s="19"/>
      <c r="F73" s="19"/>
      <c r="G73" s="12"/>
      <c r="H73" s="15"/>
      <c r="I73" s="12"/>
      <c r="J73" s="19"/>
      <c r="K73" s="12"/>
      <c r="L73" s="19"/>
      <c r="M73" s="11" t="str">
        <f aca="false">IF(B73="","",IF(H73&lt;Datos!$B$10,"SD menor al mínimo ZLFN",IF(OR(G73="",G73&gt;I73),"Alta IMSS posterior al ingreso",IF(K73="","Sin EPP",""))))</f>
        <v/>
      </c>
    </row>
    <row r="74" customFormat="false" ht="15" hidden="false" customHeight="false" outlineLevel="0" collapsed="false">
      <c r="A74" s="18" t="n">
        <v>68</v>
      </c>
      <c r="B74" s="19"/>
      <c r="C74" s="19"/>
      <c r="D74" s="19"/>
      <c r="E74" s="19"/>
      <c r="F74" s="19"/>
      <c r="G74" s="12"/>
      <c r="H74" s="15"/>
      <c r="I74" s="12"/>
      <c r="J74" s="19"/>
      <c r="K74" s="12"/>
      <c r="L74" s="19"/>
      <c r="M74" s="11" t="str">
        <f aca="false">IF(B74="","",IF(H74&lt;Datos!$B$10,"SD menor al mínimo ZLFN",IF(OR(G74="",G74&gt;I74),"Alta IMSS posterior al ingreso",IF(K74="","Sin EPP",""))))</f>
        <v/>
      </c>
    </row>
    <row r="75" customFormat="false" ht="15" hidden="false" customHeight="false" outlineLevel="0" collapsed="false">
      <c r="A75" s="18" t="n">
        <v>69</v>
      </c>
      <c r="B75" s="19"/>
      <c r="C75" s="19"/>
      <c r="D75" s="19"/>
      <c r="E75" s="19"/>
      <c r="F75" s="19"/>
      <c r="G75" s="12"/>
      <c r="H75" s="15"/>
      <c r="I75" s="12"/>
      <c r="J75" s="19"/>
      <c r="K75" s="12"/>
      <c r="L75" s="19"/>
      <c r="M75" s="11" t="str">
        <f aca="false">IF(B75="","",IF(H75&lt;Datos!$B$10,"SD menor al mínimo ZLFN",IF(OR(G75="",G75&gt;I75),"Alta IMSS posterior al ingreso",IF(K75="","Sin EPP",""))))</f>
        <v/>
      </c>
    </row>
    <row r="76" customFormat="false" ht="15" hidden="false" customHeight="false" outlineLevel="0" collapsed="false">
      <c r="A76" s="18" t="n">
        <v>70</v>
      </c>
      <c r="B76" s="19"/>
      <c r="C76" s="19"/>
      <c r="D76" s="19"/>
      <c r="E76" s="19"/>
      <c r="F76" s="19"/>
      <c r="G76" s="12"/>
      <c r="H76" s="15"/>
      <c r="I76" s="12"/>
      <c r="J76" s="19"/>
      <c r="K76" s="12"/>
      <c r="L76" s="19"/>
      <c r="M76" s="11" t="str">
        <f aca="false">IF(B76="","",IF(H76&lt;Datos!$B$10,"SD menor al mínimo ZLFN",IF(OR(G76="",G76&gt;I76),"Alta IMSS posterior al ingreso",IF(K76="","Sin EPP",""))))</f>
        <v/>
      </c>
    </row>
    <row r="77" customFormat="false" ht="15" hidden="false" customHeight="false" outlineLevel="0" collapsed="false">
      <c r="A77" s="18" t="n">
        <v>71</v>
      </c>
      <c r="B77" s="19"/>
      <c r="C77" s="19"/>
      <c r="D77" s="19"/>
      <c r="E77" s="19"/>
      <c r="F77" s="19"/>
      <c r="G77" s="12"/>
      <c r="H77" s="15"/>
      <c r="I77" s="12"/>
      <c r="J77" s="19"/>
      <c r="K77" s="12"/>
      <c r="L77" s="19"/>
      <c r="M77" s="11" t="str">
        <f aca="false">IF(B77="","",IF(H77&lt;Datos!$B$10,"SD menor al mínimo ZLFN",IF(OR(G77="",G77&gt;I77),"Alta IMSS posterior al ingreso",IF(K77="","Sin EPP",""))))</f>
        <v/>
      </c>
    </row>
    <row r="78" customFormat="false" ht="15" hidden="false" customHeight="false" outlineLevel="0" collapsed="false">
      <c r="A78" s="18" t="n">
        <v>72</v>
      </c>
      <c r="B78" s="19"/>
      <c r="C78" s="19"/>
      <c r="D78" s="19"/>
      <c r="E78" s="19"/>
      <c r="F78" s="19"/>
      <c r="G78" s="12"/>
      <c r="H78" s="15"/>
      <c r="I78" s="12"/>
      <c r="J78" s="19"/>
      <c r="K78" s="12"/>
      <c r="L78" s="19"/>
      <c r="M78" s="11" t="str">
        <f aca="false">IF(B78="","",IF(H78&lt;Datos!$B$10,"SD menor al mínimo ZLFN",IF(OR(G78="",G78&gt;I78),"Alta IMSS posterior al ingreso",IF(K78="","Sin EPP",""))))</f>
        <v/>
      </c>
    </row>
    <row r="79" customFormat="false" ht="15" hidden="false" customHeight="false" outlineLevel="0" collapsed="false">
      <c r="A79" s="18" t="n">
        <v>73</v>
      </c>
      <c r="B79" s="19"/>
      <c r="C79" s="19"/>
      <c r="D79" s="19"/>
      <c r="E79" s="19"/>
      <c r="F79" s="19"/>
      <c r="G79" s="12"/>
      <c r="H79" s="15"/>
      <c r="I79" s="12"/>
      <c r="J79" s="19"/>
      <c r="K79" s="12"/>
      <c r="L79" s="19"/>
      <c r="M79" s="11" t="str">
        <f aca="false">IF(B79="","",IF(H79&lt;Datos!$B$10,"SD menor al mínimo ZLFN",IF(OR(G79="",G79&gt;I79),"Alta IMSS posterior al ingreso",IF(K79="","Sin EPP",""))))</f>
        <v/>
      </c>
    </row>
    <row r="80" customFormat="false" ht="15" hidden="false" customHeight="false" outlineLevel="0" collapsed="false">
      <c r="A80" s="18" t="n">
        <v>74</v>
      </c>
      <c r="B80" s="19"/>
      <c r="C80" s="19"/>
      <c r="D80" s="19"/>
      <c r="E80" s="19"/>
      <c r="F80" s="19"/>
      <c r="G80" s="12"/>
      <c r="H80" s="15"/>
      <c r="I80" s="12"/>
      <c r="J80" s="19"/>
      <c r="K80" s="12"/>
      <c r="L80" s="19"/>
      <c r="M80" s="11" t="str">
        <f aca="false">IF(B80="","",IF(H80&lt;Datos!$B$10,"SD menor al mínimo ZLFN",IF(OR(G80="",G80&gt;I80),"Alta IMSS posterior al ingreso",IF(K80="","Sin EPP",""))))</f>
        <v/>
      </c>
    </row>
    <row r="81" customFormat="false" ht="15" hidden="false" customHeight="false" outlineLevel="0" collapsed="false">
      <c r="A81" s="18" t="n">
        <v>75</v>
      </c>
      <c r="B81" s="19"/>
      <c r="C81" s="19"/>
      <c r="D81" s="19"/>
      <c r="E81" s="19"/>
      <c r="F81" s="19"/>
      <c r="G81" s="12"/>
      <c r="H81" s="15"/>
      <c r="I81" s="12"/>
      <c r="J81" s="19"/>
      <c r="K81" s="12"/>
      <c r="L81" s="19"/>
      <c r="M81" s="11" t="str">
        <f aca="false">IF(B81="","",IF(H81&lt;Datos!$B$10,"SD menor al mínimo ZLFN",IF(OR(G81="",G81&gt;I81),"Alta IMSS posterior al ingreso",IF(K81="","Sin EPP",""))))</f>
        <v/>
      </c>
    </row>
    <row r="82" customFormat="false" ht="15" hidden="false" customHeight="false" outlineLevel="0" collapsed="false">
      <c r="A82" s="18" t="n">
        <v>76</v>
      </c>
      <c r="B82" s="19"/>
      <c r="C82" s="19"/>
      <c r="D82" s="19"/>
      <c r="E82" s="19"/>
      <c r="F82" s="19"/>
      <c r="G82" s="12"/>
      <c r="H82" s="15"/>
      <c r="I82" s="12"/>
      <c r="J82" s="19"/>
      <c r="K82" s="12"/>
      <c r="L82" s="19"/>
      <c r="M82" s="11" t="str">
        <f aca="false">IF(B82="","",IF(H82&lt;Datos!$B$10,"SD menor al mínimo ZLFN",IF(OR(G82="",G82&gt;I82),"Alta IMSS posterior al ingreso",IF(K82="","Sin EPP",""))))</f>
        <v/>
      </c>
    </row>
    <row r="83" customFormat="false" ht="15" hidden="false" customHeight="false" outlineLevel="0" collapsed="false">
      <c r="A83" s="18" t="n">
        <v>77</v>
      </c>
      <c r="B83" s="19"/>
      <c r="C83" s="19"/>
      <c r="D83" s="19"/>
      <c r="E83" s="19"/>
      <c r="F83" s="19"/>
      <c r="G83" s="12"/>
      <c r="H83" s="15"/>
      <c r="I83" s="12"/>
      <c r="J83" s="19"/>
      <c r="K83" s="12"/>
      <c r="L83" s="19"/>
      <c r="M83" s="11" t="str">
        <f aca="false">IF(B83="","",IF(H83&lt;Datos!$B$10,"SD menor al mínimo ZLFN",IF(OR(G83="",G83&gt;I83),"Alta IMSS posterior al ingreso",IF(K83="","Sin EPP",""))))</f>
        <v/>
      </c>
    </row>
    <row r="84" customFormat="false" ht="15" hidden="false" customHeight="false" outlineLevel="0" collapsed="false">
      <c r="A84" s="18" t="n">
        <v>78</v>
      </c>
      <c r="B84" s="19"/>
      <c r="C84" s="19"/>
      <c r="D84" s="19"/>
      <c r="E84" s="19"/>
      <c r="F84" s="19"/>
      <c r="G84" s="12"/>
      <c r="H84" s="15"/>
      <c r="I84" s="12"/>
      <c r="J84" s="19"/>
      <c r="K84" s="12"/>
      <c r="L84" s="19"/>
      <c r="M84" s="11" t="str">
        <f aca="false">IF(B84="","",IF(H84&lt;Datos!$B$10,"SD menor al mínimo ZLFN",IF(OR(G84="",G84&gt;I84),"Alta IMSS posterior al ingreso",IF(K84="","Sin EPP",""))))</f>
        <v/>
      </c>
    </row>
    <row r="85" customFormat="false" ht="15" hidden="false" customHeight="false" outlineLevel="0" collapsed="false">
      <c r="A85" s="18" t="n">
        <v>79</v>
      </c>
      <c r="B85" s="19"/>
      <c r="C85" s="19"/>
      <c r="D85" s="19"/>
      <c r="E85" s="19"/>
      <c r="F85" s="19"/>
      <c r="G85" s="12"/>
      <c r="H85" s="15"/>
      <c r="I85" s="12"/>
      <c r="J85" s="19"/>
      <c r="K85" s="12"/>
      <c r="L85" s="19"/>
      <c r="M85" s="11" t="str">
        <f aca="false">IF(B85="","",IF(H85&lt;Datos!$B$10,"SD menor al mínimo ZLFN",IF(OR(G85="",G85&gt;I85),"Alta IMSS posterior al ingreso",IF(K85="","Sin EPP",""))))</f>
        <v/>
      </c>
    </row>
    <row r="86" customFormat="false" ht="15" hidden="false" customHeight="false" outlineLevel="0" collapsed="false">
      <c r="A86" s="18" t="n">
        <v>80</v>
      </c>
      <c r="B86" s="19"/>
      <c r="C86" s="19"/>
      <c r="D86" s="19"/>
      <c r="E86" s="19"/>
      <c r="F86" s="19"/>
      <c r="G86" s="12"/>
      <c r="H86" s="15"/>
      <c r="I86" s="12"/>
      <c r="J86" s="19"/>
      <c r="K86" s="12"/>
      <c r="L86" s="19"/>
      <c r="M86" s="11" t="str">
        <f aca="false">IF(B86="","",IF(H86&lt;Datos!$B$10,"SD menor al mínimo ZLFN",IF(OR(G86="",G86&gt;I86),"Alta IMSS posterior al ingreso",IF(K86="","Sin EPP",""))))</f>
        <v/>
      </c>
    </row>
  </sheetData>
  <mergeCells count="2">
    <mergeCell ref="A1:M1"/>
    <mergeCell ref="A2:M2"/>
  </mergeCells>
  <conditionalFormatting sqref="M7:M86">
    <cfRule type="expression" priority="2" aboveAverage="0" equalAverage="0" bottom="0" percent="0" rank="0" text="" dxfId="0">
      <formula>LEN(M7)&gt;0</formula>
    </cfRule>
  </conditionalFormatting>
  <dataValidations count="2">
    <dataValidation allowBlank="true" errorStyle="stop" operator="between" showDropDown="false" showErrorMessage="false" showInputMessage="false" sqref="J7:J86" type="list">
      <formula1>"Sí,No,N/A"</formula1>
      <formula2>0</formula2>
    </dataValidation>
    <dataValidation allowBlank="true" errorStyle="stop" operator="between" showDropDown="false" showErrorMessage="false" showInputMessage="false" sqref="L7:L86" type="list">
      <formula1>"Sí,No"</formula1>
      <formula2>0</formula2>
    </dataValidation>
  </dataValidations>
  <printOptions headings="false" gridLines="false" gridLinesSet="true" horizontalCentered="tru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10" min="4" style="0" width="6"/>
    <col collapsed="false" customWidth="true" hidden="false" outlineLevel="0" max="15" min="11" style="0" width="8"/>
  </cols>
  <sheetData>
    <row r="1" customFormat="false" ht="16.15" hidden="false" customHeight="false" outlineLevel="0" collapsed="false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customFormat="false" ht="15" hidden="false" customHeight="false" outlineLevel="0" collapsed="false">
      <c r="A2" s="8" t="s">
        <v>57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customFormat="false" ht="15" hidden="false" customHeight="false" outlineLevel="0" collapsed="false">
      <c r="A3" s="9" t="s">
        <v>17</v>
      </c>
      <c r="B3" s="10"/>
    </row>
    <row r="4" customFormat="false" ht="15" hidden="false" customHeight="false" outlineLevel="0" collapsed="false">
      <c r="A4" s="9" t="s">
        <v>18</v>
      </c>
      <c r="B4" s="10"/>
    </row>
    <row r="5" customFormat="false" ht="15" hidden="false" customHeight="false" outlineLevel="0" collapsed="false">
      <c r="D5" s="20" t="n">
        <f aca="false">Datos!$B$6+0</f>
        <v>46314</v>
      </c>
      <c r="E5" s="20" t="n">
        <f aca="false">Datos!$B$6+1</f>
        <v>46315</v>
      </c>
      <c r="F5" s="20" t="n">
        <f aca="false">Datos!$B$6+2</f>
        <v>46316</v>
      </c>
      <c r="G5" s="20" t="n">
        <f aca="false">Datos!$B$6+3</f>
        <v>46317</v>
      </c>
      <c r="H5" s="20" t="n">
        <f aca="false">Datos!$B$6+4</f>
        <v>46318</v>
      </c>
      <c r="I5" s="20" t="n">
        <f aca="false">Datos!$B$6+5</f>
        <v>46319</v>
      </c>
      <c r="J5" s="20" t="n">
        <f aca="false">Datos!$B$6+6</f>
        <v>46320</v>
      </c>
    </row>
    <row r="6" customFormat="false" ht="30" hidden="false" customHeight="true" outlineLevel="0" collapsed="false">
      <c r="A6" s="17" t="s">
        <v>30</v>
      </c>
      <c r="B6" s="17" t="s">
        <v>58</v>
      </c>
      <c r="C6" s="17" t="s">
        <v>32</v>
      </c>
      <c r="D6" s="17" t="s">
        <v>59</v>
      </c>
      <c r="E6" s="17" t="s">
        <v>60</v>
      </c>
      <c r="F6" s="17" t="s">
        <v>61</v>
      </c>
      <c r="G6" s="17" t="s">
        <v>62</v>
      </c>
      <c r="H6" s="17" t="s">
        <v>63</v>
      </c>
      <c r="I6" s="17" t="s">
        <v>64</v>
      </c>
      <c r="J6" s="17" t="s">
        <v>65</v>
      </c>
      <c r="K6" s="17" t="s">
        <v>66</v>
      </c>
      <c r="L6" s="17" t="s">
        <v>67</v>
      </c>
      <c r="M6" s="17" t="s">
        <v>68</v>
      </c>
      <c r="N6" s="17" t="s">
        <v>69</v>
      </c>
      <c r="O6" s="17" t="s">
        <v>70</v>
      </c>
    </row>
    <row r="7" customFormat="false" ht="15" hidden="false" customHeight="false" outlineLevel="0" collapsed="false">
      <c r="A7" s="18" t="n">
        <f aca="false">Plantilla!A7</f>
        <v>1</v>
      </c>
      <c r="B7" s="11" t="str">
        <f aca="false">IF(Plantilla!B7="","",Plantilla!B7)</f>
        <v>Maestro de obra (ejemplo)</v>
      </c>
      <c r="C7" s="11" t="str">
        <f aca="false">IF(Plantilla!C7="","",Plantilla!C7)</f>
        <v>Maestro</v>
      </c>
      <c r="D7" s="21" t="n">
        <v>9</v>
      </c>
      <c r="E7" s="21" t="n">
        <v>9</v>
      </c>
      <c r="F7" s="21" t="n">
        <v>9</v>
      </c>
      <c r="G7" s="21" t="n">
        <v>9</v>
      </c>
      <c r="H7" s="21" t="n">
        <v>9</v>
      </c>
      <c r="I7" s="21" t="n">
        <v>6</v>
      </c>
      <c r="J7" s="21" t="n">
        <v>0</v>
      </c>
      <c r="K7" s="22" t="n">
        <f aca="false">SUM(D7:J7)</f>
        <v>51</v>
      </c>
      <c r="L7" s="18" t="n">
        <f aca="false">COUNTIF(D7:J7,"&gt;0")</f>
        <v>6</v>
      </c>
      <c r="M7" s="22" t="n">
        <f aca="false">MIN(K7,Datos!$B$7)</f>
        <v>48</v>
      </c>
      <c r="N7" s="22" t="n">
        <f aca="false">MIN(MAX(0,K7-Datos!$B$7),Datos!$B$8)</f>
        <v>3</v>
      </c>
      <c r="O7" s="22" t="n">
        <f aca="false">MAX(0,K7-Datos!$B$7-Datos!$B$8)</f>
        <v>0</v>
      </c>
    </row>
    <row r="8" customFormat="false" ht="15" hidden="false" customHeight="false" outlineLevel="0" collapsed="false">
      <c r="A8" s="18" t="n">
        <f aca="false">Plantilla!A8</f>
        <v>2</v>
      </c>
      <c r="B8" s="11" t="str">
        <f aca="false">IF(Plantilla!B8="","",Plantilla!B8)</f>
        <v>Oficial albañil (ejemplo)</v>
      </c>
      <c r="C8" s="11" t="str">
        <f aca="false">IF(Plantilla!C8="","",Plantilla!C8)</f>
        <v>Oficial albañil</v>
      </c>
      <c r="D8" s="21" t="n">
        <v>9</v>
      </c>
      <c r="E8" s="21" t="n">
        <v>9</v>
      </c>
      <c r="F8" s="21" t="n">
        <v>9</v>
      </c>
      <c r="G8" s="21" t="n">
        <v>9</v>
      </c>
      <c r="H8" s="21" t="n">
        <v>9</v>
      </c>
      <c r="I8" s="21" t="n">
        <v>6</v>
      </c>
      <c r="J8" s="21" t="n">
        <v>0</v>
      </c>
      <c r="K8" s="22" t="n">
        <f aca="false">SUM(D8:J8)</f>
        <v>51</v>
      </c>
      <c r="L8" s="18" t="n">
        <f aca="false">COUNTIF(D8:J8,"&gt;0")</f>
        <v>6</v>
      </c>
      <c r="M8" s="22" t="n">
        <f aca="false">MIN(K8,Datos!$B$7)</f>
        <v>48</v>
      </c>
      <c r="N8" s="22" t="n">
        <f aca="false">MIN(MAX(0,K8-Datos!$B$7),Datos!$B$8)</f>
        <v>3</v>
      </c>
      <c r="O8" s="22" t="n">
        <f aca="false">MAX(0,K8-Datos!$B$7-Datos!$B$8)</f>
        <v>0</v>
      </c>
    </row>
    <row r="9" customFormat="false" ht="15" hidden="false" customHeight="false" outlineLevel="0" collapsed="false">
      <c r="A9" s="18" t="n">
        <f aca="false">Plantilla!A9</f>
        <v>3</v>
      </c>
      <c r="B9" s="11" t="str">
        <f aca="false">IF(Plantilla!B9="","",Plantilla!B9)</f>
        <v>Oficial tablaroquero (ejemplo)</v>
      </c>
      <c r="C9" s="11" t="str">
        <f aca="false">IF(Plantilla!C9="","",Plantilla!C9)</f>
        <v>Oficial yesero</v>
      </c>
      <c r="D9" s="21" t="n">
        <v>9</v>
      </c>
      <c r="E9" s="21" t="n">
        <v>9</v>
      </c>
      <c r="F9" s="21" t="n">
        <v>9</v>
      </c>
      <c r="G9" s="21" t="n">
        <v>9</v>
      </c>
      <c r="H9" s="21" t="n">
        <v>9</v>
      </c>
      <c r="I9" s="21" t="n">
        <v>6</v>
      </c>
      <c r="J9" s="21" t="n">
        <v>0</v>
      </c>
      <c r="K9" s="22" t="n">
        <f aca="false">SUM(D9:J9)</f>
        <v>51</v>
      </c>
      <c r="L9" s="18" t="n">
        <f aca="false">COUNTIF(D9:J9,"&gt;0")</f>
        <v>6</v>
      </c>
      <c r="M9" s="22" t="n">
        <f aca="false">MIN(K9,Datos!$B$7)</f>
        <v>48</v>
      </c>
      <c r="N9" s="22" t="n">
        <f aca="false">MIN(MAX(0,K9-Datos!$B$7),Datos!$B$8)</f>
        <v>3</v>
      </c>
      <c r="O9" s="22" t="n">
        <f aca="false">MAX(0,K9-Datos!$B$7-Datos!$B$8)</f>
        <v>0</v>
      </c>
    </row>
    <row r="10" customFormat="false" ht="15" hidden="false" customHeight="false" outlineLevel="0" collapsed="false">
      <c r="A10" s="18" t="n">
        <f aca="false">Plantilla!A10</f>
        <v>4</v>
      </c>
      <c r="B10" s="11" t="str">
        <f aca="false">IF(Plantilla!B10="","",Plantilla!B10)</f>
        <v>Ayudante general (ejemplo)</v>
      </c>
      <c r="C10" s="11" t="str">
        <f aca="false">IF(Plantilla!C10="","",Plantilla!C10)</f>
        <v>Peón</v>
      </c>
      <c r="D10" s="21" t="n">
        <v>9</v>
      </c>
      <c r="E10" s="21" t="n">
        <v>9</v>
      </c>
      <c r="F10" s="21" t="n">
        <v>9</v>
      </c>
      <c r="G10" s="21" t="n">
        <v>9</v>
      </c>
      <c r="H10" s="21" t="n">
        <v>9</v>
      </c>
      <c r="I10" s="21" t="n">
        <v>6</v>
      </c>
      <c r="J10" s="21" t="n">
        <v>0</v>
      </c>
      <c r="K10" s="22" t="n">
        <f aca="false">SUM(D10:J10)</f>
        <v>51</v>
      </c>
      <c r="L10" s="18" t="n">
        <f aca="false">COUNTIF(D10:J10,"&gt;0")</f>
        <v>6</v>
      </c>
      <c r="M10" s="22" t="n">
        <f aca="false">MIN(K10,Datos!$B$7)</f>
        <v>48</v>
      </c>
      <c r="N10" s="22" t="n">
        <f aca="false">MIN(MAX(0,K10-Datos!$B$7),Datos!$B$8)</f>
        <v>3</v>
      </c>
      <c r="O10" s="22" t="n">
        <f aca="false">MAX(0,K10-Datos!$B$7-Datos!$B$8)</f>
        <v>0</v>
      </c>
    </row>
    <row r="11" customFormat="false" ht="15" hidden="false" customHeight="false" outlineLevel="0" collapsed="false">
      <c r="A11" s="18" t="n">
        <f aca="false">Plantilla!A11</f>
        <v>5</v>
      </c>
      <c r="B11" s="11" t="str">
        <f aca="false">IF(Plantilla!B11="","",Plantilla!B11)</f>
        <v>Oficial electricista (ejemplo)</v>
      </c>
      <c r="C11" s="11" t="str">
        <f aca="false">IF(Plantilla!C11="","",Plantilla!C11)</f>
        <v>Oficial electricista</v>
      </c>
      <c r="D11" s="21" t="n">
        <v>9</v>
      </c>
      <c r="E11" s="21" t="n">
        <v>9</v>
      </c>
      <c r="F11" s="21" t="n">
        <v>9</v>
      </c>
      <c r="G11" s="21" t="n">
        <v>9</v>
      </c>
      <c r="H11" s="21" t="n">
        <v>9</v>
      </c>
      <c r="I11" s="21" t="n">
        <v>6</v>
      </c>
      <c r="J11" s="21" t="n">
        <v>0</v>
      </c>
      <c r="K11" s="22" t="n">
        <f aca="false">SUM(D11:J11)</f>
        <v>51</v>
      </c>
      <c r="L11" s="18" t="n">
        <f aca="false">COUNTIF(D11:J11,"&gt;0")</f>
        <v>6</v>
      </c>
      <c r="M11" s="22" t="n">
        <f aca="false">MIN(K11,Datos!$B$7)</f>
        <v>48</v>
      </c>
      <c r="N11" s="22" t="n">
        <f aca="false">MIN(MAX(0,K11-Datos!$B$7),Datos!$B$8)</f>
        <v>3</v>
      </c>
      <c r="O11" s="22" t="n">
        <f aca="false">MAX(0,K11-Datos!$B$7-Datos!$B$8)</f>
        <v>0</v>
      </c>
    </row>
    <row r="12" customFormat="false" ht="15" hidden="false" customHeight="false" outlineLevel="0" collapsed="false">
      <c r="A12" s="18" t="n">
        <f aca="false">Plantilla!A12</f>
        <v>6</v>
      </c>
      <c r="B12" s="11" t="str">
        <f aca="false">IF(Plantilla!B12="","",Plantilla!B12)</f>
        <v>Ayudante general 2 (ejemplo)</v>
      </c>
      <c r="C12" s="11" t="str">
        <f aca="false">IF(Plantilla!C12="","",Plantilla!C12)</f>
        <v>Peón</v>
      </c>
      <c r="D12" s="21" t="n">
        <v>9</v>
      </c>
      <c r="E12" s="21" t="n">
        <v>9</v>
      </c>
      <c r="F12" s="21" t="n">
        <v>9</v>
      </c>
      <c r="G12" s="21" t="n">
        <v>9</v>
      </c>
      <c r="H12" s="21" t="n">
        <v>9</v>
      </c>
      <c r="I12" s="21" t="n">
        <v>6</v>
      </c>
      <c r="J12" s="21" t="n">
        <v>0</v>
      </c>
      <c r="K12" s="22" t="n">
        <f aca="false">SUM(D12:J12)</f>
        <v>51</v>
      </c>
      <c r="L12" s="18" t="n">
        <f aca="false">COUNTIF(D12:J12,"&gt;0")</f>
        <v>6</v>
      </c>
      <c r="M12" s="22" t="n">
        <f aca="false">MIN(K12,Datos!$B$7)</f>
        <v>48</v>
      </c>
      <c r="N12" s="22" t="n">
        <f aca="false">MIN(MAX(0,K12-Datos!$B$7),Datos!$B$8)</f>
        <v>3</v>
      </c>
      <c r="O12" s="22" t="n">
        <f aca="false">MAX(0,K12-Datos!$B$7-Datos!$B$8)</f>
        <v>0</v>
      </c>
    </row>
    <row r="13" customFormat="false" ht="15" hidden="false" customHeight="false" outlineLevel="0" collapsed="false">
      <c r="A13" s="18" t="n">
        <f aca="false">Plantilla!A13</f>
        <v>7</v>
      </c>
      <c r="B13" s="11" t="str">
        <f aca="false">IF(Plantilla!B13="","",Plantilla!B13)</f>
        <v/>
      </c>
      <c r="C13" s="11" t="str">
        <f aca="false">IF(Plantilla!C13="","",Plantilla!C13)</f>
        <v/>
      </c>
      <c r="D13" s="21"/>
      <c r="E13" s="21"/>
      <c r="F13" s="21"/>
      <c r="G13" s="21"/>
      <c r="H13" s="21"/>
      <c r="I13" s="21"/>
      <c r="J13" s="21"/>
      <c r="K13" s="22" t="n">
        <f aca="false">SUM(D13:J13)</f>
        <v>0</v>
      </c>
      <c r="L13" s="18" t="n">
        <f aca="false">COUNTIF(D13:J13,"&gt;0")</f>
        <v>0</v>
      </c>
      <c r="M13" s="22" t="n">
        <f aca="false">MIN(K13,Datos!$B$7)</f>
        <v>0</v>
      </c>
      <c r="N13" s="22" t="n">
        <f aca="false">MIN(MAX(0,K13-Datos!$B$7),Datos!$B$8)</f>
        <v>0</v>
      </c>
      <c r="O13" s="22" t="n">
        <f aca="false">MAX(0,K13-Datos!$B$7-Datos!$B$8)</f>
        <v>0</v>
      </c>
    </row>
    <row r="14" customFormat="false" ht="15" hidden="false" customHeight="false" outlineLevel="0" collapsed="false">
      <c r="A14" s="18" t="n">
        <f aca="false">Plantilla!A14</f>
        <v>8</v>
      </c>
      <c r="B14" s="11" t="str">
        <f aca="false">IF(Plantilla!B14="","",Plantilla!B14)</f>
        <v/>
      </c>
      <c r="C14" s="11" t="str">
        <f aca="false">IF(Plantilla!C14="","",Plantilla!C14)</f>
        <v/>
      </c>
      <c r="D14" s="21"/>
      <c r="E14" s="21"/>
      <c r="F14" s="21"/>
      <c r="G14" s="21"/>
      <c r="H14" s="21"/>
      <c r="I14" s="21"/>
      <c r="J14" s="21"/>
      <c r="K14" s="22" t="n">
        <f aca="false">SUM(D14:J14)</f>
        <v>0</v>
      </c>
      <c r="L14" s="18" t="n">
        <f aca="false">COUNTIF(D14:J14,"&gt;0")</f>
        <v>0</v>
      </c>
      <c r="M14" s="22" t="n">
        <f aca="false">MIN(K14,Datos!$B$7)</f>
        <v>0</v>
      </c>
      <c r="N14" s="22" t="n">
        <f aca="false">MIN(MAX(0,K14-Datos!$B$7),Datos!$B$8)</f>
        <v>0</v>
      </c>
      <c r="O14" s="22" t="n">
        <f aca="false">MAX(0,K14-Datos!$B$7-Datos!$B$8)</f>
        <v>0</v>
      </c>
    </row>
    <row r="15" customFormat="false" ht="15" hidden="false" customHeight="false" outlineLevel="0" collapsed="false">
      <c r="A15" s="18" t="n">
        <f aca="false">Plantilla!A15</f>
        <v>9</v>
      </c>
      <c r="B15" s="11" t="str">
        <f aca="false">IF(Plantilla!B15="","",Plantilla!B15)</f>
        <v/>
      </c>
      <c r="C15" s="11" t="str">
        <f aca="false">IF(Plantilla!C15="","",Plantilla!C15)</f>
        <v/>
      </c>
      <c r="D15" s="21"/>
      <c r="E15" s="21"/>
      <c r="F15" s="21"/>
      <c r="G15" s="21"/>
      <c r="H15" s="21"/>
      <c r="I15" s="21"/>
      <c r="J15" s="21"/>
      <c r="K15" s="22" t="n">
        <f aca="false">SUM(D15:J15)</f>
        <v>0</v>
      </c>
      <c r="L15" s="18" t="n">
        <f aca="false">COUNTIF(D15:J15,"&gt;0")</f>
        <v>0</v>
      </c>
      <c r="M15" s="22" t="n">
        <f aca="false">MIN(K15,Datos!$B$7)</f>
        <v>0</v>
      </c>
      <c r="N15" s="22" t="n">
        <f aca="false">MIN(MAX(0,K15-Datos!$B$7),Datos!$B$8)</f>
        <v>0</v>
      </c>
      <c r="O15" s="22" t="n">
        <f aca="false">MAX(0,K15-Datos!$B$7-Datos!$B$8)</f>
        <v>0</v>
      </c>
    </row>
    <row r="16" customFormat="false" ht="15" hidden="false" customHeight="false" outlineLevel="0" collapsed="false">
      <c r="A16" s="18" t="n">
        <f aca="false">Plantilla!A16</f>
        <v>10</v>
      </c>
      <c r="B16" s="11" t="str">
        <f aca="false">IF(Plantilla!B16="","",Plantilla!B16)</f>
        <v/>
      </c>
      <c r="C16" s="11" t="str">
        <f aca="false">IF(Plantilla!C16="","",Plantilla!C16)</f>
        <v/>
      </c>
      <c r="D16" s="21"/>
      <c r="E16" s="21"/>
      <c r="F16" s="21"/>
      <c r="G16" s="21"/>
      <c r="H16" s="21"/>
      <c r="I16" s="21"/>
      <c r="J16" s="21"/>
      <c r="K16" s="22" t="n">
        <f aca="false">SUM(D16:J16)</f>
        <v>0</v>
      </c>
      <c r="L16" s="18" t="n">
        <f aca="false">COUNTIF(D16:J16,"&gt;0")</f>
        <v>0</v>
      </c>
      <c r="M16" s="22" t="n">
        <f aca="false">MIN(K16,Datos!$B$7)</f>
        <v>0</v>
      </c>
      <c r="N16" s="22" t="n">
        <f aca="false">MIN(MAX(0,K16-Datos!$B$7),Datos!$B$8)</f>
        <v>0</v>
      </c>
      <c r="O16" s="22" t="n">
        <f aca="false">MAX(0,K16-Datos!$B$7-Datos!$B$8)</f>
        <v>0</v>
      </c>
    </row>
    <row r="17" customFormat="false" ht="15" hidden="false" customHeight="false" outlineLevel="0" collapsed="false">
      <c r="A17" s="18" t="n">
        <f aca="false">Plantilla!A17</f>
        <v>11</v>
      </c>
      <c r="B17" s="11" t="str">
        <f aca="false">IF(Plantilla!B17="","",Plantilla!B17)</f>
        <v/>
      </c>
      <c r="C17" s="11" t="str">
        <f aca="false">IF(Plantilla!C17="","",Plantilla!C17)</f>
        <v/>
      </c>
      <c r="D17" s="21"/>
      <c r="E17" s="21"/>
      <c r="F17" s="21"/>
      <c r="G17" s="21"/>
      <c r="H17" s="21"/>
      <c r="I17" s="21"/>
      <c r="J17" s="21"/>
      <c r="K17" s="22" t="n">
        <f aca="false">SUM(D17:J17)</f>
        <v>0</v>
      </c>
      <c r="L17" s="18" t="n">
        <f aca="false">COUNTIF(D17:J17,"&gt;0")</f>
        <v>0</v>
      </c>
      <c r="M17" s="22" t="n">
        <f aca="false">MIN(K17,Datos!$B$7)</f>
        <v>0</v>
      </c>
      <c r="N17" s="22" t="n">
        <f aca="false">MIN(MAX(0,K17-Datos!$B$7),Datos!$B$8)</f>
        <v>0</v>
      </c>
      <c r="O17" s="22" t="n">
        <f aca="false">MAX(0,K17-Datos!$B$7-Datos!$B$8)</f>
        <v>0</v>
      </c>
    </row>
    <row r="18" customFormat="false" ht="15" hidden="false" customHeight="false" outlineLevel="0" collapsed="false">
      <c r="A18" s="18" t="n">
        <f aca="false">Plantilla!A18</f>
        <v>12</v>
      </c>
      <c r="B18" s="11" t="str">
        <f aca="false">IF(Plantilla!B18="","",Plantilla!B18)</f>
        <v/>
      </c>
      <c r="C18" s="11" t="str">
        <f aca="false">IF(Plantilla!C18="","",Plantilla!C18)</f>
        <v/>
      </c>
      <c r="D18" s="21"/>
      <c r="E18" s="21"/>
      <c r="F18" s="21"/>
      <c r="G18" s="21"/>
      <c r="H18" s="21"/>
      <c r="I18" s="21"/>
      <c r="J18" s="21"/>
      <c r="K18" s="22" t="n">
        <f aca="false">SUM(D18:J18)</f>
        <v>0</v>
      </c>
      <c r="L18" s="18" t="n">
        <f aca="false">COUNTIF(D18:J18,"&gt;0")</f>
        <v>0</v>
      </c>
      <c r="M18" s="22" t="n">
        <f aca="false">MIN(K18,Datos!$B$7)</f>
        <v>0</v>
      </c>
      <c r="N18" s="22" t="n">
        <f aca="false">MIN(MAX(0,K18-Datos!$B$7),Datos!$B$8)</f>
        <v>0</v>
      </c>
      <c r="O18" s="22" t="n">
        <f aca="false">MAX(0,K18-Datos!$B$7-Datos!$B$8)</f>
        <v>0</v>
      </c>
    </row>
    <row r="19" customFormat="false" ht="15" hidden="false" customHeight="false" outlineLevel="0" collapsed="false">
      <c r="A19" s="18" t="n">
        <f aca="false">Plantilla!A19</f>
        <v>13</v>
      </c>
      <c r="B19" s="11" t="str">
        <f aca="false">IF(Plantilla!B19="","",Plantilla!B19)</f>
        <v/>
      </c>
      <c r="C19" s="11" t="str">
        <f aca="false">IF(Plantilla!C19="","",Plantilla!C19)</f>
        <v/>
      </c>
      <c r="D19" s="21"/>
      <c r="E19" s="21"/>
      <c r="F19" s="21"/>
      <c r="G19" s="21"/>
      <c r="H19" s="21"/>
      <c r="I19" s="21"/>
      <c r="J19" s="21"/>
      <c r="K19" s="22" t="n">
        <f aca="false">SUM(D19:J19)</f>
        <v>0</v>
      </c>
      <c r="L19" s="18" t="n">
        <f aca="false">COUNTIF(D19:J19,"&gt;0")</f>
        <v>0</v>
      </c>
      <c r="M19" s="22" t="n">
        <f aca="false">MIN(K19,Datos!$B$7)</f>
        <v>0</v>
      </c>
      <c r="N19" s="22" t="n">
        <f aca="false">MIN(MAX(0,K19-Datos!$B$7),Datos!$B$8)</f>
        <v>0</v>
      </c>
      <c r="O19" s="22" t="n">
        <f aca="false">MAX(0,K19-Datos!$B$7-Datos!$B$8)</f>
        <v>0</v>
      </c>
    </row>
    <row r="20" customFormat="false" ht="15" hidden="false" customHeight="false" outlineLevel="0" collapsed="false">
      <c r="A20" s="18" t="n">
        <f aca="false">Plantilla!A20</f>
        <v>14</v>
      </c>
      <c r="B20" s="11" t="str">
        <f aca="false">IF(Plantilla!B20="","",Plantilla!B20)</f>
        <v/>
      </c>
      <c r="C20" s="11" t="str">
        <f aca="false">IF(Plantilla!C20="","",Plantilla!C20)</f>
        <v/>
      </c>
      <c r="D20" s="21"/>
      <c r="E20" s="21"/>
      <c r="F20" s="21"/>
      <c r="G20" s="21"/>
      <c r="H20" s="21"/>
      <c r="I20" s="21"/>
      <c r="J20" s="21"/>
      <c r="K20" s="22" t="n">
        <f aca="false">SUM(D20:J20)</f>
        <v>0</v>
      </c>
      <c r="L20" s="18" t="n">
        <f aca="false">COUNTIF(D20:J20,"&gt;0")</f>
        <v>0</v>
      </c>
      <c r="M20" s="22" t="n">
        <f aca="false">MIN(K20,Datos!$B$7)</f>
        <v>0</v>
      </c>
      <c r="N20" s="22" t="n">
        <f aca="false">MIN(MAX(0,K20-Datos!$B$7),Datos!$B$8)</f>
        <v>0</v>
      </c>
      <c r="O20" s="22" t="n">
        <f aca="false">MAX(0,K20-Datos!$B$7-Datos!$B$8)</f>
        <v>0</v>
      </c>
    </row>
    <row r="21" customFormat="false" ht="15" hidden="false" customHeight="false" outlineLevel="0" collapsed="false">
      <c r="A21" s="18" t="n">
        <f aca="false">Plantilla!A21</f>
        <v>15</v>
      </c>
      <c r="B21" s="11" t="str">
        <f aca="false">IF(Plantilla!B21="","",Plantilla!B21)</f>
        <v/>
      </c>
      <c r="C21" s="11" t="str">
        <f aca="false">IF(Plantilla!C21="","",Plantilla!C21)</f>
        <v/>
      </c>
      <c r="D21" s="21"/>
      <c r="E21" s="21"/>
      <c r="F21" s="21"/>
      <c r="G21" s="21"/>
      <c r="H21" s="21"/>
      <c r="I21" s="21"/>
      <c r="J21" s="21"/>
      <c r="K21" s="22" t="n">
        <f aca="false">SUM(D21:J21)</f>
        <v>0</v>
      </c>
      <c r="L21" s="18" t="n">
        <f aca="false">COUNTIF(D21:J21,"&gt;0")</f>
        <v>0</v>
      </c>
      <c r="M21" s="22" t="n">
        <f aca="false">MIN(K21,Datos!$B$7)</f>
        <v>0</v>
      </c>
      <c r="N21" s="22" t="n">
        <f aca="false">MIN(MAX(0,K21-Datos!$B$7),Datos!$B$8)</f>
        <v>0</v>
      </c>
      <c r="O21" s="22" t="n">
        <f aca="false">MAX(0,K21-Datos!$B$7-Datos!$B$8)</f>
        <v>0</v>
      </c>
    </row>
    <row r="22" customFormat="false" ht="15" hidden="false" customHeight="false" outlineLevel="0" collapsed="false">
      <c r="A22" s="18" t="n">
        <f aca="false">Plantilla!A22</f>
        <v>16</v>
      </c>
      <c r="B22" s="11" t="str">
        <f aca="false">IF(Plantilla!B22="","",Plantilla!B22)</f>
        <v/>
      </c>
      <c r="C22" s="11" t="str">
        <f aca="false">IF(Plantilla!C22="","",Plantilla!C22)</f>
        <v/>
      </c>
      <c r="D22" s="21"/>
      <c r="E22" s="21"/>
      <c r="F22" s="21"/>
      <c r="G22" s="21"/>
      <c r="H22" s="21"/>
      <c r="I22" s="21"/>
      <c r="J22" s="21"/>
      <c r="K22" s="22" t="n">
        <f aca="false">SUM(D22:J22)</f>
        <v>0</v>
      </c>
      <c r="L22" s="18" t="n">
        <f aca="false">COUNTIF(D22:J22,"&gt;0")</f>
        <v>0</v>
      </c>
      <c r="M22" s="22" t="n">
        <f aca="false">MIN(K22,Datos!$B$7)</f>
        <v>0</v>
      </c>
      <c r="N22" s="22" t="n">
        <f aca="false">MIN(MAX(0,K22-Datos!$B$7),Datos!$B$8)</f>
        <v>0</v>
      </c>
      <c r="O22" s="22" t="n">
        <f aca="false">MAX(0,K22-Datos!$B$7-Datos!$B$8)</f>
        <v>0</v>
      </c>
    </row>
    <row r="23" customFormat="false" ht="15" hidden="false" customHeight="false" outlineLevel="0" collapsed="false">
      <c r="A23" s="18" t="n">
        <f aca="false">Plantilla!A23</f>
        <v>17</v>
      </c>
      <c r="B23" s="11" t="str">
        <f aca="false">IF(Plantilla!B23="","",Plantilla!B23)</f>
        <v/>
      </c>
      <c r="C23" s="11" t="str">
        <f aca="false">IF(Plantilla!C23="","",Plantilla!C23)</f>
        <v/>
      </c>
      <c r="D23" s="21"/>
      <c r="E23" s="21"/>
      <c r="F23" s="21"/>
      <c r="G23" s="21"/>
      <c r="H23" s="21"/>
      <c r="I23" s="21"/>
      <c r="J23" s="21"/>
      <c r="K23" s="22" t="n">
        <f aca="false">SUM(D23:J23)</f>
        <v>0</v>
      </c>
      <c r="L23" s="18" t="n">
        <f aca="false">COUNTIF(D23:J23,"&gt;0")</f>
        <v>0</v>
      </c>
      <c r="M23" s="22" t="n">
        <f aca="false">MIN(K23,Datos!$B$7)</f>
        <v>0</v>
      </c>
      <c r="N23" s="22" t="n">
        <f aca="false">MIN(MAX(0,K23-Datos!$B$7),Datos!$B$8)</f>
        <v>0</v>
      </c>
      <c r="O23" s="22" t="n">
        <f aca="false">MAX(0,K23-Datos!$B$7-Datos!$B$8)</f>
        <v>0</v>
      </c>
    </row>
    <row r="24" customFormat="false" ht="15" hidden="false" customHeight="false" outlineLevel="0" collapsed="false">
      <c r="A24" s="18" t="n">
        <f aca="false">Plantilla!A24</f>
        <v>18</v>
      </c>
      <c r="B24" s="11" t="str">
        <f aca="false">IF(Plantilla!B24="","",Plantilla!B24)</f>
        <v/>
      </c>
      <c r="C24" s="11" t="str">
        <f aca="false">IF(Plantilla!C24="","",Plantilla!C24)</f>
        <v/>
      </c>
      <c r="D24" s="21"/>
      <c r="E24" s="21"/>
      <c r="F24" s="21"/>
      <c r="G24" s="21"/>
      <c r="H24" s="21"/>
      <c r="I24" s="21"/>
      <c r="J24" s="21"/>
      <c r="K24" s="22" t="n">
        <f aca="false">SUM(D24:J24)</f>
        <v>0</v>
      </c>
      <c r="L24" s="18" t="n">
        <f aca="false">COUNTIF(D24:J24,"&gt;0")</f>
        <v>0</v>
      </c>
      <c r="M24" s="22" t="n">
        <f aca="false">MIN(K24,Datos!$B$7)</f>
        <v>0</v>
      </c>
      <c r="N24" s="22" t="n">
        <f aca="false">MIN(MAX(0,K24-Datos!$B$7),Datos!$B$8)</f>
        <v>0</v>
      </c>
      <c r="O24" s="22" t="n">
        <f aca="false">MAX(0,K24-Datos!$B$7-Datos!$B$8)</f>
        <v>0</v>
      </c>
    </row>
    <row r="25" customFormat="false" ht="15" hidden="false" customHeight="false" outlineLevel="0" collapsed="false">
      <c r="A25" s="18" t="n">
        <f aca="false">Plantilla!A25</f>
        <v>19</v>
      </c>
      <c r="B25" s="11" t="str">
        <f aca="false">IF(Plantilla!B25="","",Plantilla!B25)</f>
        <v/>
      </c>
      <c r="C25" s="11" t="str">
        <f aca="false">IF(Plantilla!C25="","",Plantilla!C25)</f>
        <v/>
      </c>
      <c r="D25" s="21"/>
      <c r="E25" s="21"/>
      <c r="F25" s="21"/>
      <c r="G25" s="21"/>
      <c r="H25" s="21"/>
      <c r="I25" s="21"/>
      <c r="J25" s="21"/>
      <c r="K25" s="22" t="n">
        <f aca="false">SUM(D25:J25)</f>
        <v>0</v>
      </c>
      <c r="L25" s="18" t="n">
        <f aca="false">COUNTIF(D25:J25,"&gt;0")</f>
        <v>0</v>
      </c>
      <c r="M25" s="22" t="n">
        <f aca="false">MIN(K25,Datos!$B$7)</f>
        <v>0</v>
      </c>
      <c r="N25" s="22" t="n">
        <f aca="false">MIN(MAX(0,K25-Datos!$B$7),Datos!$B$8)</f>
        <v>0</v>
      </c>
      <c r="O25" s="22" t="n">
        <f aca="false">MAX(0,K25-Datos!$B$7-Datos!$B$8)</f>
        <v>0</v>
      </c>
    </row>
    <row r="26" customFormat="false" ht="15" hidden="false" customHeight="false" outlineLevel="0" collapsed="false">
      <c r="A26" s="18" t="n">
        <f aca="false">Plantilla!A26</f>
        <v>20</v>
      </c>
      <c r="B26" s="11" t="str">
        <f aca="false">IF(Plantilla!B26="","",Plantilla!B26)</f>
        <v/>
      </c>
      <c r="C26" s="11" t="str">
        <f aca="false">IF(Plantilla!C26="","",Plantilla!C26)</f>
        <v/>
      </c>
      <c r="D26" s="21"/>
      <c r="E26" s="21"/>
      <c r="F26" s="21"/>
      <c r="G26" s="21"/>
      <c r="H26" s="21"/>
      <c r="I26" s="21"/>
      <c r="J26" s="21"/>
      <c r="K26" s="22" t="n">
        <f aca="false">SUM(D26:J26)</f>
        <v>0</v>
      </c>
      <c r="L26" s="18" t="n">
        <f aca="false">COUNTIF(D26:J26,"&gt;0")</f>
        <v>0</v>
      </c>
      <c r="M26" s="22" t="n">
        <f aca="false">MIN(K26,Datos!$B$7)</f>
        <v>0</v>
      </c>
      <c r="N26" s="22" t="n">
        <f aca="false">MIN(MAX(0,K26-Datos!$B$7),Datos!$B$8)</f>
        <v>0</v>
      </c>
      <c r="O26" s="22" t="n">
        <f aca="false">MAX(0,K26-Datos!$B$7-Datos!$B$8)</f>
        <v>0</v>
      </c>
    </row>
    <row r="27" customFormat="false" ht="15" hidden="false" customHeight="false" outlineLevel="0" collapsed="false">
      <c r="A27" s="18" t="n">
        <f aca="false">Plantilla!A27</f>
        <v>21</v>
      </c>
      <c r="B27" s="11" t="str">
        <f aca="false">IF(Plantilla!B27="","",Plantilla!B27)</f>
        <v/>
      </c>
      <c r="C27" s="11" t="str">
        <f aca="false">IF(Plantilla!C27="","",Plantilla!C27)</f>
        <v/>
      </c>
      <c r="D27" s="21"/>
      <c r="E27" s="21"/>
      <c r="F27" s="21"/>
      <c r="G27" s="21"/>
      <c r="H27" s="21"/>
      <c r="I27" s="21"/>
      <c r="J27" s="21"/>
      <c r="K27" s="22" t="n">
        <f aca="false">SUM(D27:J27)</f>
        <v>0</v>
      </c>
      <c r="L27" s="18" t="n">
        <f aca="false">COUNTIF(D27:J27,"&gt;0")</f>
        <v>0</v>
      </c>
      <c r="M27" s="22" t="n">
        <f aca="false">MIN(K27,Datos!$B$7)</f>
        <v>0</v>
      </c>
      <c r="N27" s="22" t="n">
        <f aca="false">MIN(MAX(0,K27-Datos!$B$7),Datos!$B$8)</f>
        <v>0</v>
      </c>
      <c r="O27" s="22" t="n">
        <f aca="false">MAX(0,K27-Datos!$B$7-Datos!$B$8)</f>
        <v>0</v>
      </c>
    </row>
    <row r="28" customFormat="false" ht="15" hidden="false" customHeight="false" outlineLevel="0" collapsed="false">
      <c r="A28" s="18" t="n">
        <f aca="false">Plantilla!A28</f>
        <v>22</v>
      </c>
      <c r="B28" s="11" t="str">
        <f aca="false">IF(Plantilla!B28="","",Plantilla!B28)</f>
        <v/>
      </c>
      <c r="C28" s="11" t="str">
        <f aca="false">IF(Plantilla!C28="","",Plantilla!C28)</f>
        <v/>
      </c>
      <c r="D28" s="21"/>
      <c r="E28" s="21"/>
      <c r="F28" s="21"/>
      <c r="G28" s="21"/>
      <c r="H28" s="21"/>
      <c r="I28" s="21"/>
      <c r="J28" s="21"/>
      <c r="K28" s="22" t="n">
        <f aca="false">SUM(D28:J28)</f>
        <v>0</v>
      </c>
      <c r="L28" s="18" t="n">
        <f aca="false">COUNTIF(D28:J28,"&gt;0")</f>
        <v>0</v>
      </c>
      <c r="M28" s="22" t="n">
        <f aca="false">MIN(K28,Datos!$B$7)</f>
        <v>0</v>
      </c>
      <c r="N28" s="22" t="n">
        <f aca="false">MIN(MAX(0,K28-Datos!$B$7),Datos!$B$8)</f>
        <v>0</v>
      </c>
      <c r="O28" s="22" t="n">
        <f aca="false">MAX(0,K28-Datos!$B$7-Datos!$B$8)</f>
        <v>0</v>
      </c>
    </row>
    <row r="29" customFormat="false" ht="15" hidden="false" customHeight="false" outlineLevel="0" collapsed="false">
      <c r="A29" s="18" t="n">
        <f aca="false">Plantilla!A29</f>
        <v>23</v>
      </c>
      <c r="B29" s="11" t="str">
        <f aca="false">IF(Plantilla!B29="","",Plantilla!B29)</f>
        <v/>
      </c>
      <c r="C29" s="11" t="str">
        <f aca="false">IF(Plantilla!C29="","",Plantilla!C29)</f>
        <v/>
      </c>
      <c r="D29" s="21"/>
      <c r="E29" s="21"/>
      <c r="F29" s="21"/>
      <c r="G29" s="21"/>
      <c r="H29" s="21"/>
      <c r="I29" s="21"/>
      <c r="J29" s="21"/>
      <c r="K29" s="22" t="n">
        <f aca="false">SUM(D29:J29)</f>
        <v>0</v>
      </c>
      <c r="L29" s="18" t="n">
        <f aca="false">COUNTIF(D29:J29,"&gt;0")</f>
        <v>0</v>
      </c>
      <c r="M29" s="22" t="n">
        <f aca="false">MIN(K29,Datos!$B$7)</f>
        <v>0</v>
      </c>
      <c r="N29" s="22" t="n">
        <f aca="false">MIN(MAX(0,K29-Datos!$B$7),Datos!$B$8)</f>
        <v>0</v>
      </c>
      <c r="O29" s="22" t="n">
        <f aca="false">MAX(0,K29-Datos!$B$7-Datos!$B$8)</f>
        <v>0</v>
      </c>
    </row>
    <row r="30" customFormat="false" ht="15" hidden="false" customHeight="false" outlineLevel="0" collapsed="false">
      <c r="A30" s="18" t="n">
        <f aca="false">Plantilla!A30</f>
        <v>24</v>
      </c>
      <c r="B30" s="11" t="str">
        <f aca="false">IF(Plantilla!B30="","",Plantilla!B30)</f>
        <v/>
      </c>
      <c r="C30" s="11" t="str">
        <f aca="false">IF(Plantilla!C30="","",Plantilla!C30)</f>
        <v/>
      </c>
      <c r="D30" s="21"/>
      <c r="E30" s="21"/>
      <c r="F30" s="21"/>
      <c r="G30" s="21"/>
      <c r="H30" s="21"/>
      <c r="I30" s="21"/>
      <c r="J30" s="21"/>
      <c r="K30" s="22" t="n">
        <f aca="false">SUM(D30:J30)</f>
        <v>0</v>
      </c>
      <c r="L30" s="18" t="n">
        <f aca="false">COUNTIF(D30:J30,"&gt;0")</f>
        <v>0</v>
      </c>
      <c r="M30" s="22" t="n">
        <f aca="false">MIN(K30,Datos!$B$7)</f>
        <v>0</v>
      </c>
      <c r="N30" s="22" t="n">
        <f aca="false">MIN(MAX(0,K30-Datos!$B$7),Datos!$B$8)</f>
        <v>0</v>
      </c>
      <c r="O30" s="22" t="n">
        <f aca="false">MAX(0,K30-Datos!$B$7-Datos!$B$8)</f>
        <v>0</v>
      </c>
    </row>
    <row r="31" customFormat="false" ht="15" hidden="false" customHeight="false" outlineLevel="0" collapsed="false">
      <c r="A31" s="18" t="n">
        <f aca="false">Plantilla!A31</f>
        <v>25</v>
      </c>
      <c r="B31" s="11" t="str">
        <f aca="false">IF(Plantilla!B31="","",Plantilla!B31)</f>
        <v/>
      </c>
      <c r="C31" s="11" t="str">
        <f aca="false">IF(Plantilla!C31="","",Plantilla!C31)</f>
        <v/>
      </c>
      <c r="D31" s="21"/>
      <c r="E31" s="21"/>
      <c r="F31" s="21"/>
      <c r="G31" s="21"/>
      <c r="H31" s="21"/>
      <c r="I31" s="21"/>
      <c r="J31" s="21"/>
      <c r="K31" s="22" t="n">
        <f aca="false">SUM(D31:J31)</f>
        <v>0</v>
      </c>
      <c r="L31" s="18" t="n">
        <f aca="false">COUNTIF(D31:J31,"&gt;0")</f>
        <v>0</v>
      </c>
      <c r="M31" s="22" t="n">
        <f aca="false">MIN(K31,Datos!$B$7)</f>
        <v>0</v>
      </c>
      <c r="N31" s="22" t="n">
        <f aca="false">MIN(MAX(0,K31-Datos!$B$7),Datos!$B$8)</f>
        <v>0</v>
      </c>
      <c r="O31" s="22" t="n">
        <f aca="false">MAX(0,K31-Datos!$B$7-Datos!$B$8)</f>
        <v>0</v>
      </c>
    </row>
    <row r="32" customFormat="false" ht="15" hidden="false" customHeight="false" outlineLevel="0" collapsed="false">
      <c r="A32" s="18" t="n">
        <f aca="false">Plantilla!A32</f>
        <v>26</v>
      </c>
      <c r="B32" s="11" t="str">
        <f aca="false">IF(Plantilla!B32="","",Plantilla!B32)</f>
        <v/>
      </c>
      <c r="C32" s="11" t="str">
        <f aca="false">IF(Plantilla!C32="","",Plantilla!C32)</f>
        <v/>
      </c>
      <c r="D32" s="21"/>
      <c r="E32" s="21"/>
      <c r="F32" s="21"/>
      <c r="G32" s="21"/>
      <c r="H32" s="21"/>
      <c r="I32" s="21"/>
      <c r="J32" s="21"/>
      <c r="K32" s="22" t="n">
        <f aca="false">SUM(D32:J32)</f>
        <v>0</v>
      </c>
      <c r="L32" s="18" t="n">
        <f aca="false">COUNTIF(D32:J32,"&gt;0")</f>
        <v>0</v>
      </c>
      <c r="M32" s="22" t="n">
        <f aca="false">MIN(K32,Datos!$B$7)</f>
        <v>0</v>
      </c>
      <c r="N32" s="22" t="n">
        <f aca="false">MIN(MAX(0,K32-Datos!$B$7),Datos!$B$8)</f>
        <v>0</v>
      </c>
      <c r="O32" s="22" t="n">
        <f aca="false">MAX(0,K32-Datos!$B$7-Datos!$B$8)</f>
        <v>0</v>
      </c>
    </row>
    <row r="33" customFormat="false" ht="15" hidden="false" customHeight="false" outlineLevel="0" collapsed="false">
      <c r="A33" s="18" t="n">
        <f aca="false">Plantilla!A33</f>
        <v>27</v>
      </c>
      <c r="B33" s="11" t="str">
        <f aca="false">IF(Plantilla!B33="","",Plantilla!B33)</f>
        <v/>
      </c>
      <c r="C33" s="11" t="str">
        <f aca="false">IF(Plantilla!C33="","",Plantilla!C33)</f>
        <v/>
      </c>
      <c r="D33" s="21"/>
      <c r="E33" s="21"/>
      <c r="F33" s="21"/>
      <c r="G33" s="21"/>
      <c r="H33" s="21"/>
      <c r="I33" s="21"/>
      <c r="J33" s="21"/>
      <c r="K33" s="22" t="n">
        <f aca="false">SUM(D33:J33)</f>
        <v>0</v>
      </c>
      <c r="L33" s="18" t="n">
        <f aca="false">COUNTIF(D33:J33,"&gt;0")</f>
        <v>0</v>
      </c>
      <c r="M33" s="22" t="n">
        <f aca="false">MIN(K33,Datos!$B$7)</f>
        <v>0</v>
      </c>
      <c r="N33" s="22" t="n">
        <f aca="false">MIN(MAX(0,K33-Datos!$B$7),Datos!$B$8)</f>
        <v>0</v>
      </c>
      <c r="O33" s="22" t="n">
        <f aca="false">MAX(0,K33-Datos!$B$7-Datos!$B$8)</f>
        <v>0</v>
      </c>
    </row>
    <row r="34" customFormat="false" ht="15" hidden="false" customHeight="false" outlineLevel="0" collapsed="false">
      <c r="A34" s="18" t="n">
        <f aca="false">Plantilla!A34</f>
        <v>28</v>
      </c>
      <c r="B34" s="11" t="str">
        <f aca="false">IF(Plantilla!B34="","",Plantilla!B34)</f>
        <v/>
      </c>
      <c r="C34" s="11" t="str">
        <f aca="false">IF(Plantilla!C34="","",Plantilla!C34)</f>
        <v/>
      </c>
      <c r="D34" s="21"/>
      <c r="E34" s="21"/>
      <c r="F34" s="21"/>
      <c r="G34" s="21"/>
      <c r="H34" s="21"/>
      <c r="I34" s="21"/>
      <c r="J34" s="21"/>
      <c r="K34" s="22" t="n">
        <f aca="false">SUM(D34:J34)</f>
        <v>0</v>
      </c>
      <c r="L34" s="18" t="n">
        <f aca="false">COUNTIF(D34:J34,"&gt;0")</f>
        <v>0</v>
      </c>
      <c r="M34" s="22" t="n">
        <f aca="false">MIN(K34,Datos!$B$7)</f>
        <v>0</v>
      </c>
      <c r="N34" s="22" t="n">
        <f aca="false">MIN(MAX(0,K34-Datos!$B$7),Datos!$B$8)</f>
        <v>0</v>
      </c>
      <c r="O34" s="22" t="n">
        <f aca="false">MAX(0,K34-Datos!$B$7-Datos!$B$8)</f>
        <v>0</v>
      </c>
    </row>
    <row r="35" customFormat="false" ht="15" hidden="false" customHeight="false" outlineLevel="0" collapsed="false">
      <c r="A35" s="18" t="n">
        <f aca="false">Plantilla!A35</f>
        <v>29</v>
      </c>
      <c r="B35" s="11" t="str">
        <f aca="false">IF(Plantilla!B35="","",Plantilla!B35)</f>
        <v/>
      </c>
      <c r="C35" s="11" t="str">
        <f aca="false">IF(Plantilla!C35="","",Plantilla!C35)</f>
        <v/>
      </c>
      <c r="D35" s="21"/>
      <c r="E35" s="21"/>
      <c r="F35" s="21"/>
      <c r="G35" s="21"/>
      <c r="H35" s="21"/>
      <c r="I35" s="21"/>
      <c r="J35" s="21"/>
      <c r="K35" s="22" t="n">
        <f aca="false">SUM(D35:J35)</f>
        <v>0</v>
      </c>
      <c r="L35" s="18" t="n">
        <f aca="false">COUNTIF(D35:J35,"&gt;0")</f>
        <v>0</v>
      </c>
      <c r="M35" s="22" t="n">
        <f aca="false">MIN(K35,Datos!$B$7)</f>
        <v>0</v>
      </c>
      <c r="N35" s="22" t="n">
        <f aca="false">MIN(MAX(0,K35-Datos!$B$7),Datos!$B$8)</f>
        <v>0</v>
      </c>
      <c r="O35" s="22" t="n">
        <f aca="false">MAX(0,K35-Datos!$B$7-Datos!$B$8)</f>
        <v>0</v>
      </c>
    </row>
    <row r="36" customFormat="false" ht="15" hidden="false" customHeight="false" outlineLevel="0" collapsed="false">
      <c r="A36" s="18" t="n">
        <f aca="false">Plantilla!A36</f>
        <v>30</v>
      </c>
      <c r="B36" s="11" t="str">
        <f aca="false">IF(Plantilla!B36="","",Plantilla!B36)</f>
        <v/>
      </c>
      <c r="C36" s="11" t="str">
        <f aca="false">IF(Plantilla!C36="","",Plantilla!C36)</f>
        <v/>
      </c>
      <c r="D36" s="21"/>
      <c r="E36" s="21"/>
      <c r="F36" s="21"/>
      <c r="G36" s="21"/>
      <c r="H36" s="21"/>
      <c r="I36" s="21"/>
      <c r="J36" s="21"/>
      <c r="K36" s="22" t="n">
        <f aca="false">SUM(D36:J36)</f>
        <v>0</v>
      </c>
      <c r="L36" s="18" t="n">
        <f aca="false">COUNTIF(D36:J36,"&gt;0")</f>
        <v>0</v>
      </c>
      <c r="M36" s="22" t="n">
        <f aca="false">MIN(K36,Datos!$B$7)</f>
        <v>0</v>
      </c>
      <c r="N36" s="22" t="n">
        <f aca="false">MIN(MAX(0,K36-Datos!$B$7),Datos!$B$8)</f>
        <v>0</v>
      </c>
      <c r="O36" s="22" t="n">
        <f aca="false">MAX(0,K36-Datos!$B$7-Datos!$B$8)</f>
        <v>0</v>
      </c>
    </row>
    <row r="37" customFormat="false" ht="15" hidden="false" customHeight="false" outlineLevel="0" collapsed="false">
      <c r="A37" s="18" t="n">
        <f aca="false">Plantilla!A37</f>
        <v>31</v>
      </c>
      <c r="B37" s="11" t="str">
        <f aca="false">IF(Plantilla!B37="","",Plantilla!B37)</f>
        <v/>
      </c>
      <c r="C37" s="11" t="str">
        <f aca="false">IF(Plantilla!C37="","",Plantilla!C37)</f>
        <v/>
      </c>
      <c r="D37" s="21"/>
      <c r="E37" s="21"/>
      <c r="F37" s="21"/>
      <c r="G37" s="21"/>
      <c r="H37" s="21"/>
      <c r="I37" s="21"/>
      <c r="J37" s="21"/>
      <c r="K37" s="22" t="n">
        <f aca="false">SUM(D37:J37)</f>
        <v>0</v>
      </c>
      <c r="L37" s="18" t="n">
        <f aca="false">COUNTIF(D37:J37,"&gt;0")</f>
        <v>0</v>
      </c>
      <c r="M37" s="22" t="n">
        <f aca="false">MIN(K37,Datos!$B$7)</f>
        <v>0</v>
      </c>
      <c r="N37" s="22" t="n">
        <f aca="false">MIN(MAX(0,K37-Datos!$B$7),Datos!$B$8)</f>
        <v>0</v>
      </c>
      <c r="O37" s="22" t="n">
        <f aca="false">MAX(0,K37-Datos!$B$7-Datos!$B$8)</f>
        <v>0</v>
      </c>
    </row>
    <row r="38" customFormat="false" ht="15" hidden="false" customHeight="false" outlineLevel="0" collapsed="false">
      <c r="A38" s="18" t="n">
        <f aca="false">Plantilla!A38</f>
        <v>32</v>
      </c>
      <c r="B38" s="11" t="str">
        <f aca="false">IF(Plantilla!B38="","",Plantilla!B38)</f>
        <v/>
      </c>
      <c r="C38" s="11" t="str">
        <f aca="false">IF(Plantilla!C38="","",Plantilla!C38)</f>
        <v/>
      </c>
      <c r="D38" s="21"/>
      <c r="E38" s="21"/>
      <c r="F38" s="21"/>
      <c r="G38" s="21"/>
      <c r="H38" s="21"/>
      <c r="I38" s="21"/>
      <c r="J38" s="21"/>
      <c r="K38" s="22" t="n">
        <f aca="false">SUM(D38:J38)</f>
        <v>0</v>
      </c>
      <c r="L38" s="18" t="n">
        <f aca="false">COUNTIF(D38:J38,"&gt;0")</f>
        <v>0</v>
      </c>
      <c r="M38" s="22" t="n">
        <f aca="false">MIN(K38,Datos!$B$7)</f>
        <v>0</v>
      </c>
      <c r="N38" s="22" t="n">
        <f aca="false">MIN(MAX(0,K38-Datos!$B$7),Datos!$B$8)</f>
        <v>0</v>
      </c>
      <c r="O38" s="22" t="n">
        <f aca="false">MAX(0,K38-Datos!$B$7-Datos!$B$8)</f>
        <v>0</v>
      </c>
    </row>
    <row r="39" customFormat="false" ht="15" hidden="false" customHeight="false" outlineLevel="0" collapsed="false">
      <c r="A39" s="18" t="n">
        <f aca="false">Plantilla!A39</f>
        <v>33</v>
      </c>
      <c r="B39" s="11" t="str">
        <f aca="false">IF(Plantilla!B39="","",Plantilla!B39)</f>
        <v/>
      </c>
      <c r="C39" s="11" t="str">
        <f aca="false">IF(Plantilla!C39="","",Plantilla!C39)</f>
        <v/>
      </c>
      <c r="D39" s="21"/>
      <c r="E39" s="21"/>
      <c r="F39" s="21"/>
      <c r="G39" s="21"/>
      <c r="H39" s="21"/>
      <c r="I39" s="21"/>
      <c r="J39" s="21"/>
      <c r="K39" s="22" t="n">
        <f aca="false">SUM(D39:J39)</f>
        <v>0</v>
      </c>
      <c r="L39" s="18" t="n">
        <f aca="false">COUNTIF(D39:J39,"&gt;0")</f>
        <v>0</v>
      </c>
      <c r="M39" s="22" t="n">
        <f aca="false">MIN(K39,Datos!$B$7)</f>
        <v>0</v>
      </c>
      <c r="N39" s="22" t="n">
        <f aca="false">MIN(MAX(0,K39-Datos!$B$7),Datos!$B$8)</f>
        <v>0</v>
      </c>
      <c r="O39" s="22" t="n">
        <f aca="false">MAX(0,K39-Datos!$B$7-Datos!$B$8)</f>
        <v>0</v>
      </c>
    </row>
    <row r="40" customFormat="false" ht="15" hidden="false" customHeight="false" outlineLevel="0" collapsed="false">
      <c r="A40" s="18" t="n">
        <f aca="false">Plantilla!A40</f>
        <v>34</v>
      </c>
      <c r="B40" s="11" t="str">
        <f aca="false">IF(Plantilla!B40="","",Plantilla!B40)</f>
        <v/>
      </c>
      <c r="C40" s="11" t="str">
        <f aca="false">IF(Plantilla!C40="","",Plantilla!C40)</f>
        <v/>
      </c>
      <c r="D40" s="21"/>
      <c r="E40" s="21"/>
      <c r="F40" s="21"/>
      <c r="G40" s="21"/>
      <c r="H40" s="21"/>
      <c r="I40" s="21"/>
      <c r="J40" s="21"/>
      <c r="K40" s="22" t="n">
        <f aca="false">SUM(D40:J40)</f>
        <v>0</v>
      </c>
      <c r="L40" s="18" t="n">
        <f aca="false">COUNTIF(D40:J40,"&gt;0")</f>
        <v>0</v>
      </c>
      <c r="M40" s="22" t="n">
        <f aca="false">MIN(K40,Datos!$B$7)</f>
        <v>0</v>
      </c>
      <c r="N40" s="22" t="n">
        <f aca="false">MIN(MAX(0,K40-Datos!$B$7),Datos!$B$8)</f>
        <v>0</v>
      </c>
      <c r="O40" s="22" t="n">
        <f aca="false">MAX(0,K40-Datos!$B$7-Datos!$B$8)</f>
        <v>0</v>
      </c>
    </row>
    <row r="41" customFormat="false" ht="15" hidden="false" customHeight="false" outlineLevel="0" collapsed="false">
      <c r="A41" s="18" t="n">
        <f aca="false">Plantilla!A41</f>
        <v>35</v>
      </c>
      <c r="B41" s="11" t="str">
        <f aca="false">IF(Plantilla!B41="","",Plantilla!B41)</f>
        <v/>
      </c>
      <c r="C41" s="11" t="str">
        <f aca="false">IF(Plantilla!C41="","",Plantilla!C41)</f>
        <v/>
      </c>
      <c r="D41" s="21"/>
      <c r="E41" s="21"/>
      <c r="F41" s="21"/>
      <c r="G41" s="21"/>
      <c r="H41" s="21"/>
      <c r="I41" s="21"/>
      <c r="J41" s="21"/>
      <c r="K41" s="22" t="n">
        <f aca="false">SUM(D41:J41)</f>
        <v>0</v>
      </c>
      <c r="L41" s="18" t="n">
        <f aca="false">COUNTIF(D41:J41,"&gt;0")</f>
        <v>0</v>
      </c>
      <c r="M41" s="22" t="n">
        <f aca="false">MIN(K41,Datos!$B$7)</f>
        <v>0</v>
      </c>
      <c r="N41" s="22" t="n">
        <f aca="false">MIN(MAX(0,K41-Datos!$B$7),Datos!$B$8)</f>
        <v>0</v>
      </c>
      <c r="O41" s="22" t="n">
        <f aca="false">MAX(0,K41-Datos!$B$7-Datos!$B$8)</f>
        <v>0</v>
      </c>
    </row>
    <row r="42" customFormat="false" ht="15" hidden="false" customHeight="false" outlineLevel="0" collapsed="false">
      <c r="A42" s="18" t="n">
        <f aca="false">Plantilla!A42</f>
        <v>36</v>
      </c>
      <c r="B42" s="11" t="str">
        <f aca="false">IF(Plantilla!B42="","",Plantilla!B42)</f>
        <v/>
      </c>
      <c r="C42" s="11" t="str">
        <f aca="false">IF(Plantilla!C42="","",Plantilla!C42)</f>
        <v/>
      </c>
      <c r="D42" s="21"/>
      <c r="E42" s="21"/>
      <c r="F42" s="21"/>
      <c r="G42" s="21"/>
      <c r="H42" s="21"/>
      <c r="I42" s="21"/>
      <c r="J42" s="21"/>
      <c r="K42" s="22" t="n">
        <f aca="false">SUM(D42:J42)</f>
        <v>0</v>
      </c>
      <c r="L42" s="18" t="n">
        <f aca="false">COUNTIF(D42:J42,"&gt;0")</f>
        <v>0</v>
      </c>
      <c r="M42" s="22" t="n">
        <f aca="false">MIN(K42,Datos!$B$7)</f>
        <v>0</v>
      </c>
      <c r="N42" s="22" t="n">
        <f aca="false">MIN(MAX(0,K42-Datos!$B$7),Datos!$B$8)</f>
        <v>0</v>
      </c>
      <c r="O42" s="22" t="n">
        <f aca="false">MAX(0,K42-Datos!$B$7-Datos!$B$8)</f>
        <v>0</v>
      </c>
    </row>
    <row r="43" customFormat="false" ht="15" hidden="false" customHeight="false" outlineLevel="0" collapsed="false">
      <c r="A43" s="18" t="n">
        <f aca="false">Plantilla!A43</f>
        <v>37</v>
      </c>
      <c r="B43" s="11" t="str">
        <f aca="false">IF(Plantilla!B43="","",Plantilla!B43)</f>
        <v/>
      </c>
      <c r="C43" s="11" t="str">
        <f aca="false">IF(Plantilla!C43="","",Plantilla!C43)</f>
        <v/>
      </c>
      <c r="D43" s="21"/>
      <c r="E43" s="21"/>
      <c r="F43" s="21"/>
      <c r="G43" s="21"/>
      <c r="H43" s="21"/>
      <c r="I43" s="21"/>
      <c r="J43" s="21"/>
      <c r="K43" s="22" t="n">
        <f aca="false">SUM(D43:J43)</f>
        <v>0</v>
      </c>
      <c r="L43" s="18" t="n">
        <f aca="false">COUNTIF(D43:J43,"&gt;0")</f>
        <v>0</v>
      </c>
      <c r="M43" s="22" t="n">
        <f aca="false">MIN(K43,Datos!$B$7)</f>
        <v>0</v>
      </c>
      <c r="N43" s="22" t="n">
        <f aca="false">MIN(MAX(0,K43-Datos!$B$7),Datos!$B$8)</f>
        <v>0</v>
      </c>
      <c r="O43" s="22" t="n">
        <f aca="false">MAX(0,K43-Datos!$B$7-Datos!$B$8)</f>
        <v>0</v>
      </c>
    </row>
    <row r="44" customFormat="false" ht="15" hidden="false" customHeight="false" outlineLevel="0" collapsed="false">
      <c r="A44" s="18" t="n">
        <f aca="false">Plantilla!A44</f>
        <v>38</v>
      </c>
      <c r="B44" s="11" t="str">
        <f aca="false">IF(Plantilla!B44="","",Plantilla!B44)</f>
        <v/>
      </c>
      <c r="C44" s="11" t="str">
        <f aca="false">IF(Plantilla!C44="","",Plantilla!C44)</f>
        <v/>
      </c>
      <c r="D44" s="21"/>
      <c r="E44" s="21"/>
      <c r="F44" s="21"/>
      <c r="G44" s="21"/>
      <c r="H44" s="21"/>
      <c r="I44" s="21"/>
      <c r="J44" s="21"/>
      <c r="K44" s="22" t="n">
        <f aca="false">SUM(D44:J44)</f>
        <v>0</v>
      </c>
      <c r="L44" s="18" t="n">
        <f aca="false">COUNTIF(D44:J44,"&gt;0")</f>
        <v>0</v>
      </c>
      <c r="M44" s="22" t="n">
        <f aca="false">MIN(K44,Datos!$B$7)</f>
        <v>0</v>
      </c>
      <c r="N44" s="22" t="n">
        <f aca="false">MIN(MAX(0,K44-Datos!$B$7),Datos!$B$8)</f>
        <v>0</v>
      </c>
      <c r="O44" s="22" t="n">
        <f aca="false">MAX(0,K44-Datos!$B$7-Datos!$B$8)</f>
        <v>0</v>
      </c>
    </row>
    <row r="45" customFormat="false" ht="15" hidden="false" customHeight="false" outlineLevel="0" collapsed="false">
      <c r="A45" s="18" t="n">
        <f aca="false">Plantilla!A45</f>
        <v>39</v>
      </c>
      <c r="B45" s="11" t="str">
        <f aca="false">IF(Plantilla!B45="","",Plantilla!B45)</f>
        <v/>
      </c>
      <c r="C45" s="11" t="str">
        <f aca="false">IF(Plantilla!C45="","",Plantilla!C45)</f>
        <v/>
      </c>
      <c r="D45" s="21"/>
      <c r="E45" s="21"/>
      <c r="F45" s="21"/>
      <c r="G45" s="21"/>
      <c r="H45" s="21"/>
      <c r="I45" s="21"/>
      <c r="J45" s="21"/>
      <c r="K45" s="22" t="n">
        <f aca="false">SUM(D45:J45)</f>
        <v>0</v>
      </c>
      <c r="L45" s="18" t="n">
        <f aca="false">COUNTIF(D45:J45,"&gt;0")</f>
        <v>0</v>
      </c>
      <c r="M45" s="22" t="n">
        <f aca="false">MIN(K45,Datos!$B$7)</f>
        <v>0</v>
      </c>
      <c r="N45" s="22" t="n">
        <f aca="false">MIN(MAX(0,K45-Datos!$B$7),Datos!$B$8)</f>
        <v>0</v>
      </c>
      <c r="O45" s="22" t="n">
        <f aca="false">MAX(0,K45-Datos!$B$7-Datos!$B$8)</f>
        <v>0</v>
      </c>
    </row>
    <row r="46" customFormat="false" ht="15" hidden="false" customHeight="false" outlineLevel="0" collapsed="false">
      <c r="A46" s="18" t="n">
        <f aca="false">Plantilla!A46</f>
        <v>40</v>
      </c>
      <c r="B46" s="11" t="str">
        <f aca="false">IF(Plantilla!B46="","",Plantilla!B46)</f>
        <v/>
      </c>
      <c r="C46" s="11" t="str">
        <f aca="false">IF(Plantilla!C46="","",Plantilla!C46)</f>
        <v/>
      </c>
      <c r="D46" s="21"/>
      <c r="E46" s="21"/>
      <c r="F46" s="21"/>
      <c r="G46" s="21"/>
      <c r="H46" s="21"/>
      <c r="I46" s="21"/>
      <c r="J46" s="21"/>
      <c r="K46" s="22" t="n">
        <f aca="false">SUM(D46:J46)</f>
        <v>0</v>
      </c>
      <c r="L46" s="18" t="n">
        <f aca="false">COUNTIF(D46:J46,"&gt;0")</f>
        <v>0</v>
      </c>
      <c r="M46" s="22" t="n">
        <f aca="false">MIN(K46,Datos!$B$7)</f>
        <v>0</v>
      </c>
      <c r="N46" s="22" t="n">
        <f aca="false">MIN(MAX(0,K46-Datos!$B$7),Datos!$B$8)</f>
        <v>0</v>
      </c>
      <c r="O46" s="22" t="n">
        <f aca="false">MAX(0,K46-Datos!$B$7-Datos!$B$8)</f>
        <v>0</v>
      </c>
    </row>
    <row r="47" customFormat="false" ht="15" hidden="false" customHeight="false" outlineLevel="0" collapsed="false">
      <c r="A47" s="18" t="n">
        <f aca="false">Plantilla!A47</f>
        <v>41</v>
      </c>
      <c r="B47" s="11" t="str">
        <f aca="false">IF(Plantilla!B47="","",Plantilla!B47)</f>
        <v/>
      </c>
      <c r="C47" s="11" t="str">
        <f aca="false">IF(Plantilla!C47="","",Plantilla!C47)</f>
        <v/>
      </c>
      <c r="D47" s="21"/>
      <c r="E47" s="21"/>
      <c r="F47" s="21"/>
      <c r="G47" s="21"/>
      <c r="H47" s="21"/>
      <c r="I47" s="21"/>
      <c r="J47" s="21"/>
      <c r="K47" s="22" t="n">
        <f aca="false">SUM(D47:J47)</f>
        <v>0</v>
      </c>
      <c r="L47" s="18" t="n">
        <f aca="false">COUNTIF(D47:J47,"&gt;0")</f>
        <v>0</v>
      </c>
      <c r="M47" s="22" t="n">
        <f aca="false">MIN(K47,Datos!$B$7)</f>
        <v>0</v>
      </c>
      <c r="N47" s="22" t="n">
        <f aca="false">MIN(MAX(0,K47-Datos!$B$7),Datos!$B$8)</f>
        <v>0</v>
      </c>
      <c r="O47" s="22" t="n">
        <f aca="false">MAX(0,K47-Datos!$B$7-Datos!$B$8)</f>
        <v>0</v>
      </c>
    </row>
    <row r="48" customFormat="false" ht="15" hidden="false" customHeight="false" outlineLevel="0" collapsed="false">
      <c r="A48" s="18" t="n">
        <f aca="false">Plantilla!A48</f>
        <v>42</v>
      </c>
      <c r="B48" s="11" t="str">
        <f aca="false">IF(Plantilla!B48="","",Plantilla!B48)</f>
        <v/>
      </c>
      <c r="C48" s="11" t="str">
        <f aca="false">IF(Plantilla!C48="","",Plantilla!C48)</f>
        <v/>
      </c>
      <c r="D48" s="21"/>
      <c r="E48" s="21"/>
      <c r="F48" s="21"/>
      <c r="G48" s="21"/>
      <c r="H48" s="21"/>
      <c r="I48" s="21"/>
      <c r="J48" s="21"/>
      <c r="K48" s="22" t="n">
        <f aca="false">SUM(D48:J48)</f>
        <v>0</v>
      </c>
      <c r="L48" s="18" t="n">
        <f aca="false">COUNTIF(D48:J48,"&gt;0")</f>
        <v>0</v>
      </c>
      <c r="M48" s="22" t="n">
        <f aca="false">MIN(K48,Datos!$B$7)</f>
        <v>0</v>
      </c>
      <c r="N48" s="22" t="n">
        <f aca="false">MIN(MAX(0,K48-Datos!$B$7),Datos!$B$8)</f>
        <v>0</v>
      </c>
      <c r="O48" s="22" t="n">
        <f aca="false">MAX(0,K48-Datos!$B$7-Datos!$B$8)</f>
        <v>0</v>
      </c>
    </row>
    <row r="49" customFormat="false" ht="15" hidden="false" customHeight="false" outlineLevel="0" collapsed="false">
      <c r="A49" s="18" t="n">
        <f aca="false">Plantilla!A49</f>
        <v>43</v>
      </c>
      <c r="B49" s="11" t="str">
        <f aca="false">IF(Plantilla!B49="","",Plantilla!B49)</f>
        <v/>
      </c>
      <c r="C49" s="11" t="str">
        <f aca="false">IF(Plantilla!C49="","",Plantilla!C49)</f>
        <v/>
      </c>
      <c r="D49" s="21"/>
      <c r="E49" s="21"/>
      <c r="F49" s="21"/>
      <c r="G49" s="21"/>
      <c r="H49" s="21"/>
      <c r="I49" s="21"/>
      <c r="J49" s="21"/>
      <c r="K49" s="22" t="n">
        <f aca="false">SUM(D49:J49)</f>
        <v>0</v>
      </c>
      <c r="L49" s="18" t="n">
        <f aca="false">COUNTIF(D49:J49,"&gt;0")</f>
        <v>0</v>
      </c>
      <c r="M49" s="22" t="n">
        <f aca="false">MIN(K49,Datos!$B$7)</f>
        <v>0</v>
      </c>
      <c r="N49" s="22" t="n">
        <f aca="false">MIN(MAX(0,K49-Datos!$B$7),Datos!$B$8)</f>
        <v>0</v>
      </c>
      <c r="O49" s="22" t="n">
        <f aca="false">MAX(0,K49-Datos!$B$7-Datos!$B$8)</f>
        <v>0</v>
      </c>
    </row>
    <row r="50" customFormat="false" ht="15" hidden="false" customHeight="false" outlineLevel="0" collapsed="false">
      <c r="A50" s="18" t="n">
        <f aca="false">Plantilla!A50</f>
        <v>44</v>
      </c>
      <c r="B50" s="11" t="str">
        <f aca="false">IF(Plantilla!B50="","",Plantilla!B50)</f>
        <v/>
      </c>
      <c r="C50" s="11" t="str">
        <f aca="false">IF(Plantilla!C50="","",Plantilla!C50)</f>
        <v/>
      </c>
      <c r="D50" s="21"/>
      <c r="E50" s="21"/>
      <c r="F50" s="21"/>
      <c r="G50" s="21"/>
      <c r="H50" s="21"/>
      <c r="I50" s="21"/>
      <c r="J50" s="21"/>
      <c r="K50" s="22" t="n">
        <f aca="false">SUM(D50:J50)</f>
        <v>0</v>
      </c>
      <c r="L50" s="18" t="n">
        <f aca="false">COUNTIF(D50:J50,"&gt;0")</f>
        <v>0</v>
      </c>
      <c r="M50" s="22" t="n">
        <f aca="false">MIN(K50,Datos!$B$7)</f>
        <v>0</v>
      </c>
      <c r="N50" s="22" t="n">
        <f aca="false">MIN(MAX(0,K50-Datos!$B$7),Datos!$B$8)</f>
        <v>0</v>
      </c>
      <c r="O50" s="22" t="n">
        <f aca="false">MAX(0,K50-Datos!$B$7-Datos!$B$8)</f>
        <v>0</v>
      </c>
    </row>
    <row r="51" customFormat="false" ht="15" hidden="false" customHeight="false" outlineLevel="0" collapsed="false">
      <c r="A51" s="18" t="n">
        <f aca="false">Plantilla!A51</f>
        <v>45</v>
      </c>
      <c r="B51" s="11" t="str">
        <f aca="false">IF(Plantilla!B51="","",Plantilla!B51)</f>
        <v/>
      </c>
      <c r="C51" s="11" t="str">
        <f aca="false">IF(Plantilla!C51="","",Plantilla!C51)</f>
        <v/>
      </c>
      <c r="D51" s="21"/>
      <c r="E51" s="21"/>
      <c r="F51" s="21"/>
      <c r="G51" s="21"/>
      <c r="H51" s="21"/>
      <c r="I51" s="21"/>
      <c r="J51" s="21"/>
      <c r="K51" s="22" t="n">
        <f aca="false">SUM(D51:J51)</f>
        <v>0</v>
      </c>
      <c r="L51" s="18" t="n">
        <f aca="false">COUNTIF(D51:J51,"&gt;0")</f>
        <v>0</v>
      </c>
      <c r="M51" s="22" t="n">
        <f aca="false">MIN(K51,Datos!$B$7)</f>
        <v>0</v>
      </c>
      <c r="N51" s="22" t="n">
        <f aca="false">MIN(MAX(0,K51-Datos!$B$7),Datos!$B$8)</f>
        <v>0</v>
      </c>
      <c r="O51" s="22" t="n">
        <f aca="false">MAX(0,K51-Datos!$B$7-Datos!$B$8)</f>
        <v>0</v>
      </c>
    </row>
    <row r="52" customFormat="false" ht="15" hidden="false" customHeight="false" outlineLevel="0" collapsed="false">
      <c r="A52" s="18" t="n">
        <f aca="false">Plantilla!A52</f>
        <v>46</v>
      </c>
      <c r="B52" s="11" t="str">
        <f aca="false">IF(Plantilla!B52="","",Plantilla!B52)</f>
        <v/>
      </c>
      <c r="C52" s="11" t="str">
        <f aca="false">IF(Plantilla!C52="","",Plantilla!C52)</f>
        <v/>
      </c>
      <c r="D52" s="21"/>
      <c r="E52" s="21"/>
      <c r="F52" s="21"/>
      <c r="G52" s="21"/>
      <c r="H52" s="21"/>
      <c r="I52" s="21"/>
      <c r="J52" s="21"/>
      <c r="K52" s="22" t="n">
        <f aca="false">SUM(D52:J52)</f>
        <v>0</v>
      </c>
      <c r="L52" s="18" t="n">
        <f aca="false">COUNTIF(D52:J52,"&gt;0")</f>
        <v>0</v>
      </c>
      <c r="M52" s="22" t="n">
        <f aca="false">MIN(K52,Datos!$B$7)</f>
        <v>0</v>
      </c>
      <c r="N52" s="22" t="n">
        <f aca="false">MIN(MAX(0,K52-Datos!$B$7),Datos!$B$8)</f>
        <v>0</v>
      </c>
      <c r="O52" s="22" t="n">
        <f aca="false">MAX(0,K52-Datos!$B$7-Datos!$B$8)</f>
        <v>0</v>
      </c>
    </row>
    <row r="53" customFormat="false" ht="15" hidden="false" customHeight="false" outlineLevel="0" collapsed="false">
      <c r="A53" s="18" t="n">
        <f aca="false">Plantilla!A53</f>
        <v>47</v>
      </c>
      <c r="B53" s="11" t="str">
        <f aca="false">IF(Plantilla!B53="","",Plantilla!B53)</f>
        <v/>
      </c>
      <c r="C53" s="11" t="str">
        <f aca="false">IF(Plantilla!C53="","",Plantilla!C53)</f>
        <v/>
      </c>
      <c r="D53" s="21"/>
      <c r="E53" s="21"/>
      <c r="F53" s="21"/>
      <c r="G53" s="21"/>
      <c r="H53" s="21"/>
      <c r="I53" s="21"/>
      <c r="J53" s="21"/>
      <c r="K53" s="22" t="n">
        <f aca="false">SUM(D53:J53)</f>
        <v>0</v>
      </c>
      <c r="L53" s="18" t="n">
        <f aca="false">COUNTIF(D53:J53,"&gt;0")</f>
        <v>0</v>
      </c>
      <c r="M53" s="22" t="n">
        <f aca="false">MIN(K53,Datos!$B$7)</f>
        <v>0</v>
      </c>
      <c r="N53" s="22" t="n">
        <f aca="false">MIN(MAX(0,K53-Datos!$B$7),Datos!$B$8)</f>
        <v>0</v>
      </c>
      <c r="O53" s="22" t="n">
        <f aca="false">MAX(0,K53-Datos!$B$7-Datos!$B$8)</f>
        <v>0</v>
      </c>
    </row>
    <row r="54" customFormat="false" ht="15" hidden="false" customHeight="false" outlineLevel="0" collapsed="false">
      <c r="A54" s="18" t="n">
        <f aca="false">Plantilla!A54</f>
        <v>48</v>
      </c>
      <c r="B54" s="11" t="str">
        <f aca="false">IF(Plantilla!B54="","",Plantilla!B54)</f>
        <v/>
      </c>
      <c r="C54" s="11" t="str">
        <f aca="false">IF(Plantilla!C54="","",Plantilla!C54)</f>
        <v/>
      </c>
      <c r="D54" s="21"/>
      <c r="E54" s="21"/>
      <c r="F54" s="21"/>
      <c r="G54" s="21"/>
      <c r="H54" s="21"/>
      <c r="I54" s="21"/>
      <c r="J54" s="21"/>
      <c r="K54" s="22" t="n">
        <f aca="false">SUM(D54:J54)</f>
        <v>0</v>
      </c>
      <c r="L54" s="18" t="n">
        <f aca="false">COUNTIF(D54:J54,"&gt;0")</f>
        <v>0</v>
      </c>
      <c r="M54" s="22" t="n">
        <f aca="false">MIN(K54,Datos!$B$7)</f>
        <v>0</v>
      </c>
      <c r="N54" s="22" t="n">
        <f aca="false">MIN(MAX(0,K54-Datos!$B$7),Datos!$B$8)</f>
        <v>0</v>
      </c>
      <c r="O54" s="22" t="n">
        <f aca="false">MAX(0,K54-Datos!$B$7-Datos!$B$8)</f>
        <v>0</v>
      </c>
    </row>
    <row r="55" customFormat="false" ht="15" hidden="false" customHeight="false" outlineLevel="0" collapsed="false">
      <c r="A55" s="18" t="n">
        <f aca="false">Plantilla!A55</f>
        <v>49</v>
      </c>
      <c r="B55" s="11" t="str">
        <f aca="false">IF(Plantilla!B55="","",Plantilla!B55)</f>
        <v/>
      </c>
      <c r="C55" s="11" t="str">
        <f aca="false">IF(Plantilla!C55="","",Plantilla!C55)</f>
        <v/>
      </c>
      <c r="D55" s="21"/>
      <c r="E55" s="21"/>
      <c r="F55" s="21"/>
      <c r="G55" s="21"/>
      <c r="H55" s="21"/>
      <c r="I55" s="21"/>
      <c r="J55" s="21"/>
      <c r="K55" s="22" t="n">
        <f aca="false">SUM(D55:J55)</f>
        <v>0</v>
      </c>
      <c r="L55" s="18" t="n">
        <f aca="false">COUNTIF(D55:J55,"&gt;0")</f>
        <v>0</v>
      </c>
      <c r="M55" s="22" t="n">
        <f aca="false">MIN(K55,Datos!$B$7)</f>
        <v>0</v>
      </c>
      <c r="N55" s="22" t="n">
        <f aca="false">MIN(MAX(0,K55-Datos!$B$7),Datos!$B$8)</f>
        <v>0</v>
      </c>
      <c r="O55" s="22" t="n">
        <f aca="false">MAX(0,K55-Datos!$B$7-Datos!$B$8)</f>
        <v>0</v>
      </c>
    </row>
    <row r="56" customFormat="false" ht="15" hidden="false" customHeight="false" outlineLevel="0" collapsed="false">
      <c r="A56" s="18" t="n">
        <f aca="false">Plantilla!A56</f>
        <v>50</v>
      </c>
      <c r="B56" s="11" t="str">
        <f aca="false">IF(Plantilla!B56="","",Plantilla!B56)</f>
        <v/>
      </c>
      <c r="C56" s="11" t="str">
        <f aca="false">IF(Plantilla!C56="","",Plantilla!C56)</f>
        <v/>
      </c>
      <c r="D56" s="21"/>
      <c r="E56" s="21"/>
      <c r="F56" s="21"/>
      <c r="G56" s="21"/>
      <c r="H56" s="21"/>
      <c r="I56" s="21"/>
      <c r="J56" s="21"/>
      <c r="K56" s="22" t="n">
        <f aca="false">SUM(D56:J56)</f>
        <v>0</v>
      </c>
      <c r="L56" s="18" t="n">
        <f aca="false">COUNTIF(D56:J56,"&gt;0")</f>
        <v>0</v>
      </c>
      <c r="M56" s="22" t="n">
        <f aca="false">MIN(K56,Datos!$B$7)</f>
        <v>0</v>
      </c>
      <c r="N56" s="22" t="n">
        <f aca="false">MIN(MAX(0,K56-Datos!$B$7),Datos!$B$8)</f>
        <v>0</v>
      </c>
      <c r="O56" s="22" t="n">
        <f aca="false">MAX(0,K56-Datos!$B$7-Datos!$B$8)</f>
        <v>0</v>
      </c>
    </row>
    <row r="57" customFormat="false" ht="15" hidden="false" customHeight="false" outlineLevel="0" collapsed="false">
      <c r="A57" s="18" t="n">
        <f aca="false">Plantilla!A57</f>
        <v>51</v>
      </c>
      <c r="B57" s="11" t="str">
        <f aca="false">IF(Plantilla!B57="","",Plantilla!B57)</f>
        <v/>
      </c>
      <c r="C57" s="11" t="str">
        <f aca="false">IF(Plantilla!C57="","",Plantilla!C57)</f>
        <v/>
      </c>
      <c r="D57" s="21"/>
      <c r="E57" s="21"/>
      <c r="F57" s="21"/>
      <c r="G57" s="21"/>
      <c r="H57" s="21"/>
      <c r="I57" s="21"/>
      <c r="J57" s="21"/>
      <c r="K57" s="22" t="n">
        <f aca="false">SUM(D57:J57)</f>
        <v>0</v>
      </c>
      <c r="L57" s="18" t="n">
        <f aca="false">COUNTIF(D57:J57,"&gt;0")</f>
        <v>0</v>
      </c>
      <c r="M57" s="22" t="n">
        <f aca="false">MIN(K57,Datos!$B$7)</f>
        <v>0</v>
      </c>
      <c r="N57" s="22" t="n">
        <f aca="false">MIN(MAX(0,K57-Datos!$B$7),Datos!$B$8)</f>
        <v>0</v>
      </c>
      <c r="O57" s="22" t="n">
        <f aca="false">MAX(0,K57-Datos!$B$7-Datos!$B$8)</f>
        <v>0</v>
      </c>
    </row>
    <row r="58" customFormat="false" ht="15" hidden="false" customHeight="false" outlineLevel="0" collapsed="false">
      <c r="A58" s="18" t="n">
        <f aca="false">Plantilla!A58</f>
        <v>52</v>
      </c>
      <c r="B58" s="11" t="str">
        <f aca="false">IF(Plantilla!B58="","",Plantilla!B58)</f>
        <v/>
      </c>
      <c r="C58" s="11" t="str">
        <f aca="false">IF(Plantilla!C58="","",Plantilla!C58)</f>
        <v/>
      </c>
      <c r="D58" s="21"/>
      <c r="E58" s="21"/>
      <c r="F58" s="21"/>
      <c r="G58" s="21"/>
      <c r="H58" s="21"/>
      <c r="I58" s="21"/>
      <c r="J58" s="21"/>
      <c r="K58" s="22" t="n">
        <f aca="false">SUM(D58:J58)</f>
        <v>0</v>
      </c>
      <c r="L58" s="18" t="n">
        <f aca="false">COUNTIF(D58:J58,"&gt;0")</f>
        <v>0</v>
      </c>
      <c r="M58" s="22" t="n">
        <f aca="false">MIN(K58,Datos!$B$7)</f>
        <v>0</v>
      </c>
      <c r="N58" s="22" t="n">
        <f aca="false">MIN(MAX(0,K58-Datos!$B$7),Datos!$B$8)</f>
        <v>0</v>
      </c>
      <c r="O58" s="22" t="n">
        <f aca="false">MAX(0,K58-Datos!$B$7-Datos!$B$8)</f>
        <v>0</v>
      </c>
    </row>
    <row r="59" customFormat="false" ht="15" hidden="false" customHeight="false" outlineLevel="0" collapsed="false">
      <c r="A59" s="18" t="n">
        <f aca="false">Plantilla!A59</f>
        <v>53</v>
      </c>
      <c r="B59" s="11" t="str">
        <f aca="false">IF(Plantilla!B59="","",Plantilla!B59)</f>
        <v/>
      </c>
      <c r="C59" s="11" t="str">
        <f aca="false">IF(Plantilla!C59="","",Plantilla!C59)</f>
        <v/>
      </c>
      <c r="D59" s="21"/>
      <c r="E59" s="21"/>
      <c r="F59" s="21"/>
      <c r="G59" s="21"/>
      <c r="H59" s="21"/>
      <c r="I59" s="21"/>
      <c r="J59" s="21"/>
      <c r="K59" s="22" t="n">
        <f aca="false">SUM(D59:J59)</f>
        <v>0</v>
      </c>
      <c r="L59" s="18" t="n">
        <f aca="false">COUNTIF(D59:J59,"&gt;0")</f>
        <v>0</v>
      </c>
      <c r="M59" s="22" t="n">
        <f aca="false">MIN(K59,Datos!$B$7)</f>
        <v>0</v>
      </c>
      <c r="N59" s="22" t="n">
        <f aca="false">MIN(MAX(0,K59-Datos!$B$7),Datos!$B$8)</f>
        <v>0</v>
      </c>
      <c r="O59" s="22" t="n">
        <f aca="false">MAX(0,K59-Datos!$B$7-Datos!$B$8)</f>
        <v>0</v>
      </c>
    </row>
    <row r="60" customFormat="false" ht="15" hidden="false" customHeight="false" outlineLevel="0" collapsed="false">
      <c r="A60" s="18" t="n">
        <f aca="false">Plantilla!A60</f>
        <v>54</v>
      </c>
      <c r="B60" s="11" t="str">
        <f aca="false">IF(Plantilla!B60="","",Plantilla!B60)</f>
        <v/>
      </c>
      <c r="C60" s="11" t="str">
        <f aca="false">IF(Plantilla!C60="","",Plantilla!C60)</f>
        <v/>
      </c>
      <c r="D60" s="21"/>
      <c r="E60" s="21"/>
      <c r="F60" s="21"/>
      <c r="G60" s="21"/>
      <c r="H60" s="21"/>
      <c r="I60" s="21"/>
      <c r="J60" s="21"/>
      <c r="K60" s="22" t="n">
        <f aca="false">SUM(D60:J60)</f>
        <v>0</v>
      </c>
      <c r="L60" s="18" t="n">
        <f aca="false">COUNTIF(D60:J60,"&gt;0")</f>
        <v>0</v>
      </c>
      <c r="M60" s="22" t="n">
        <f aca="false">MIN(K60,Datos!$B$7)</f>
        <v>0</v>
      </c>
      <c r="N60" s="22" t="n">
        <f aca="false">MIN(MAX(0,K60-Datos!$B$7),Datos!$B$8)</f>
        <v>0</v>
      </c>
      <c r="O60" s="22" t="n">
        <f aca="false">MAX(0,K60-Datos!$B$7-Datos!$B$8)</f>
        <v>0</v>
      </c>
    </row>
    <row r="61" customFormat="false" ht="15" hidden="false" customHeight="false" outlineLevel="0" collapsed="false">
      <c r="A61" s="18" t="n">
        <f aca="false">Plantilla!A61</f>
        <v>55</v>
      </c>
      <c r="B61" s="11" t="str">
        <f aca="false">IF(Plantilla!B61="","",Plantilla!B61)</f>
        <v/>
      </c>
      <c r="C61" s="11" t="str">
        <f aca="false">IF(Plantilla!C61="","",Plantilla!C61)</f>
        <v/>
      </c>
      <c r="D61" s="21"/>
      <c r="E61" s="21"/>
      <c r="F61" s="21"/>
      <c r="G61" s="21"/>
      <c r="H61" s="21"/>
      <c r="I61" s="21"/>
      <c r="J61" s="21"/>
      <c r="K61" s="22" t="n">
        <f aca="false">SUM(D61:J61)</f>
        <v>0</v>
      </c>
      <c r="L61" s="18" t="n">
        <f aca="false">COUNTIF(D61:J61,"&gt;0")</f>
        <v>0</v>
      </c>
      <c r="M61" s="22" t="n">
        <f aca="false">MIN(K61,Datos!$B$7)</f>
        <v>0</v>
      </c>
      <c r="N61" s="22" t="n">
        <f aca="false">MIN(MAX(0,K61-Datos!$B$7),Datos!$B$8)</f>
        <v>0</v>
      </c>
      <c r="O61" s="22" t="n">
        <f aca="false">MAX(0,K61-Datos!$B$7-Datos!$B$8)</f>
        <v>0</v>
      </c>
    </row>
    <row r="62" customFormat="false" ht="15" hidden="false" customHeight="false" outlineLevel="0" collapsed="false">
      <c r="A62" s="18" t="n">
        <f aca="false">Plantilla!A62</f>
        <v>56</v>
      </c>
      <c r="B62" s="11" t="str">
        <f aca="false">IF(Plantilla!B62="","",Plantilla!B62)</f>
        <v/>
      </c>
      <c r="C62" s="11" t="str">
        <f aca="false">IF(Plantilla!C62="","",Plantilla!C62)</f>
        <v/>
      </c>
      <c r="D62" s="21"/>
      <c r="E62" s="21"/>
      <c r="F62" s="21"/>
      <c r="G62" s="21"/>
      <c r="H62" s="21"/>
      <c r="I62" s="21"/>
      <c r="J62" s="21"/>
      <c r="K62" s="22" t="n">
        <f aca="false">SUM(D62:J62)</f>
        <v>0</v>
      </c>
      <c r="L62" s="18" t="n">
        <f aca="false">COUNTIF(D62:J62,"&gt;0")</f>
        <v>0</v>
      </c>
      <c r="M62" s="22" t="n">
        <f aca="false">MIN(K62,Datos!$B$7)</f>
        <v>0</v>
      </c>
      <c r="N62" s="22" t="n">
        <f aca="false">MIN(MAX(0,K62-Datos!$B$7),Datos!$B$8)</f>
        <v>0</v>
      </c>
      <c r="O62" s="22" t="n">
        <f aca="false">MAX(0,K62-Datos!$B$7-Datos!$B$8)</f>
        <v>0</v>
      </c>
    </row>
    <row r="63" customFormat="false" ht="15" hidden="false" customHeight="false" outlineLevel="0" collapsed="false">
      <c r="A63" s="18" t="n">
        <f aca="false">Plantilla!A63</f>
        <v>57</v>
      </c>
      <c r="B63" s="11" t="str">
        <f aca="false">IF(Plantilla!B63="","",Plantilla!B63)</f>
        <v/>
      </c>
      <c r="C63" s="11" t="str">
        <f aca="false">IF(Plantilla!C63="","",Plantilla!C63)</f>
        <v/>
      </c>
      <c r="D63" s="21"/>
      <c r="E63" s="21"/>
      <c r="F63" s="21"/>
      <c r="G63" s="21"/>
      <c r="H63" s="21"/>
      <c r="I63" s="21"/>
      <c r="J63" s="21"/>
      <c r="K63" s="22" t="n">
        <f aca="false">SUM(D63:J63)</f>
        <v>0</v>
      </c>
      <c r="L63" s="18" t="n">
        <f aca="false">COUNTIF(D63:J63,"&gt;0")</f>
        <v>0</v>
      </c>
      <c r="M63" s="22" t="n">
        <f aca="false">MIN(K63,Datos!$B$7)</f>
        <v>0</v>
      </c>
      <c r="N63" s="22" t="n">
        <f aca="false">MIN(MAX(0,K63-Datos!$B$7),Datos!$B$8)</f>
        <v>0</v>
      </c>
      <c r="O63" s="22" t="n">
        <f aca="false">MAX(0,K63-Datos!$B$7-Datos!$B$8)</f>
        <v>0</v>
      </c>
    </row>
    <row r="64" customFormat="false" ht="15" hidden="false" customHeight="false" outlineLevel="0" collapsed="false">
      <c r="A64" s="18" t="n">
        <f aca="false">Plantilla!A64</f>
        <v>58</v>
      </c>
      <c r="B64" s="11" t="str">
        <f aca="false">IF(Plantilla!B64="","",Plantilla!B64)</f>
        <v/>
      </c>
      <c r="C64" s="11" t="str">
        <f aca="false">IF(Plantilla!C64="","",Plantilla!C64)</f>
        <v/>
      </c>
      <c r="D64" s="21"/>
      <c r="E64" s="21"/>
      <c r="F64" s="21"/>
      <c r="G64" s="21"/>
      <c r="H64" s="21"/>
      <c r="I64" s="21"/>
      <c r="J64" s="21"/>
      <c r="K64" s="22" t="n">
        <f aca="false">SUM(D64:J64)</f>
        <v>0</v>
      </c>
      <c r="L64" s="18" t="n">
        <f aca="false">COUNTIF(D64:J64,"&gt;0")</f>
        <v>0</v>
      </c>
      <c r="M64" s="22" t="n">
        <f aca="false">MIN(K64,Datos!$B$7)</f>
        <v>0</v>
      </c>
      <c r="N64" s="22" t="n">
        <f aca="false">MIN(MAX(0,K64-Datos!$B$7),Datos!$B$8)</f>
        <v>0</v>
      </c>
      <c r="O64" s="22" t="n">
        <f aca="false">MAX(0,K64-Datos!$B$7-Datos!$B$8)</f>
        <v>0</v>
      </c>
    </row>
    <row r="65" customFormat="false" ht="15" hidden="false" customHeight="false" outlineLevel="0" collapsed="false">
      <c r="A65" s="18" t="n">
        <f aca="false">Plantilla!A65</f>
        <v>59</v>
      </c>
      <c r="B65" s="11" t="str">
        <f aca="false">IF(Plantilla!B65="","",Plantilla!B65)</f>
        <v/>
      </c>
      <c r="C65" s="11" t="str">
        <f aca="false">IF(Plantilla!C65="","",Plantilla!C65)</f>
        <v/>
      </c>
      <c r="D65" s="21"/>
      <c r="E65" s="21"/>
      <c r="F65" s="21"/>
      <c r="G65" s="21"/>
      <c r="H65" s="21"/>
      <c r="I65" s="21"/>
      <c r="J65" s="21"/>
      <c r="K65" s="22" t="n">
        <f aca="false">SUM(D65:J65)</f>
        <v>0</v>
      </c>
      <c r="L65" s="18" t="n">
        <f aca="false">COUNTIF(D65:J65,"&gt;0")</f>
        <v>0</v>
      </c>
      <c r="M65" s="22" t="n">
        <f aca="false">MIN(K65,Datos!$B$7)</f>
        <v>0</v>
      </c>
      <c r="N65" s="22" t="n">
        <f aca="false">MIN(MAX(0,K65-Datos!$B$7),Datos!$B$8)</f>
        <v>0</v>
      </c>
      <c r="O65" s="22" t="n">
        <f aca="false">MAX(0,K65-Datos!$B$7-Datos!$B$8)</f>
        <v>0</v>
      </c>
    </row>
    <row r="66" customFormat="false" ht="15" hidden="false" customHeight="false" outlineLevel="0" collapsed="false">
      <c r="A66" s="18" t="n">
        <f aca="false">Plantilla!A66</f>
        <v>60</v>
      </c>
      <c r="B66" s="11" t="str">
        <f aca="false">IF(Plantilla!B66="","",Plantilla!B66)</f>
        <v/>
      </c>
      <c r="C66" s="11" t="str">
        <f aca="false">IF(Plantilla!C66="","",Plantilla!C66)</f>
        <v/>
      </c>
      <c r="D66" s="21"/>
      <c r="E66" s="21"/>
      <c r="F66" s="21"/>
      <c r="G66" s="21"/>
      <c r="H66" s="21"/>
      <c r="I66" s="21"/>
      <c r="J66" s="21"/>
      <c r="K66" s="22" t="n">
        <f aca="false">SUM(D66:J66)</f>
        <v>0</v>
      </c>
      <c r="L66" s="18" t="n">
        <f aca="false">COUNTIF(D66:J66,"&gt;0")</f>
        <v>0</v>
      </c>
      <c r="M66" s="22" t="n">
        <f aca="false">MIN(K66,Datos!$B$7)</f>
        <v>0</v>
      </c>
      <c r="N66" s="22" t="n">
        <f aca="false">MIN(MAX(0,K66-Datos!$B$7),Datos!$B$8)</f>
        <v>0</v>
      </c>
      <c r="O66" s="22" t="n">
        <f aca="false">MAX(0,K66-Datos!$B$7-Datos!$B$8)</f>
        <v>0</v>
      </c>
    </row>
    <row r="67" customFormat="false" ht="15" hidden="false" customHeight="false" outlineLevel="0" collapsed="false">
      <c r="A67" s="18" t="n">
        <f aca="false">Plantilla!A67</f>
        <v>61</v>
      </c>
      <c r="B67" s="11" t="str">
        <f aca="false">IF(Plantilla!B67="","",Plantilla!B67)</f>
        <v/>
      </c>
      <c r="C67" s="11" t="str">
        <f aca="false">IF(Plantilla!C67="","",Plantilla!C67)</f>
        <v/>
      </c>
      <c r="D67" s="21"/>
      <c r="E67" s="21"/>
      <c r="F67" s="21"/>
      <c r="G67" s="21"/>
      <c r="H67" s="21"/>
      <c r="I67" s="21"/>
      <c r="J67" s="21"/>
      <c r="K67" s="22" t="n">
        <f aca="false">SUM(D67:J67)</f>
        <v>0</v>
      </c>
      <c r="L67" s="18" t="n">
        <f aca="false">COUNTIF(D67:J67,"&gt;0")</f>
        <v>0</v>
      </c>
      <c r="M67" s="22" t="n">
        <f aca="false">MIN(K67,Datos!$B$7)</f>
        <v>0</v>
      </c>
      <c r="N67" s="22" t="n">
        <f aca="false">MIN(MAX(0,K67-Datos!$B$7),Datos!$B$8)</f>
        <v>0</v>
      </c>
      <c r="O67" s="22" t="n">
        <f aca="false">MAX(0,K67-Datos!$B$7-Datos!$B$8)</f>
        <v>0</v>
      </c>
    </row>
    <row r="68" customFormat="false" ht="15" hidden="false" customHeight="false" outlineLevel="0" collapsed="false">
      <c r="A68" s="18" t="n">
        <f aca="false">Plantilla!A68</f>
        <v>62</v>
      </c>
      <c r="B68" s="11" t="str">
        <f aca="false">IF(Plantilla!B68="","",Plantilla!B68)</f>
        <v/>
      </c>
      <c r="C68" s="11" t="str">
        <f aca="false">IF(Plantilla!C68="","",Plantilla!C68)</f>
        <v/>
      </c>
      <c r="D68" s="21"/>
      <c r="E68" s="21"/>
      <c r="F68" s="21"/>
      <c r="G68" s="21"/>
      <c r="H68" s="21"/>
      <c r="I68" s="21"/>
      <c r="J68" s="21"/>
      <c r="K68" s="22" t="n">
        <f aca="false">SUM(D68:J68)</f>
        <v>0</v>
      </c>
      <c r="L68" s="18" t="n">
        <f aca="false">COUNTIF(D68:J68,"&gt;0")</f>
        <v>0</v>
      </c>
      <c r="M68" s="22" t="n">
        <f aca="false">MIN(K68,Datos!$B$7)</f>
        <v>0</v>
      </c>
      <c r="N68" s="22" t="n">
        <f aca="false">MIN(MAX(0,K68-Datos!$B$7),Datos!$B$8)</f>
        <v>0</v>
      </c>
      <c r="O68" s="22" t="n">
        <f aca="false">MAX(0,K68-Datos!$B$7-Datos!$B$8)</f>
        <v>0</v>
      </c>
    </row>
    <row r="69" customFormat="false" ht="15" hidden="false" customHeight="false" outlineLevel="0" collapsed="false">
      <c r="A69" s="18" t="n">
        <f aca="false">Plantilla!A69</f>
        <v>63</v>
      </c>
      <c r="B69" s="11" t="str">
        <f aca="false">IF(Plantilla!B69="","",Plantilla!B69)</f>
        <v/>
      </c>
      <c r="C69" s="11" t="str">
        <f aca="false">IF(Plantilla!C69="","",Plantilla!C69)</f>
        <v/>
      </c>
      <c r="D69" s="21"/>
      <c r="E69" s="21"/>
      <c r="F69" s="21"/>
      <c r="G69" s="21"/>
      <c r="H69" s="21"/>
      <c r="I69" s="21"/>
      <c r="J69" s="21"/>
      <c r="K69" s="22" t="n">
        <f aca="false">SUM(D69:J69)</f>
        <v>0</v>
      </c>
      <c r="L69" s="18" t="n">
        <f aca="false">COUNTIF(D69:J69,"&gt;0")</f>
        <v>0</v>
      </c>
      <c r="M69" s="22" t="n">
        <f aca="false">MIN(K69,Datos!$B$7)</f>
        <v>0</v>
      </c>
      <c r="N69" s="22" t="n">
        <f aca="false">MIN(MAX(0,K69-Datos!$B$7),Datos!$B$8)</f>
        <v>0</v>
      </c>
      <c r="O69" s="22" t="n">
        <f aca="false">MAX(0,K69-Datos!$B$7-Datos!$B$8)</f>
        <v>0</v>
      </c>
    </row>
    <row r="70" customFormat="false" ht="15" hidden="false" customHeight="false" outlineLevel="0" collapsed="false">
      <c r="A70" s="18" t="n">
        <f aca="false">Plantilla!A70</f>
        <v>64</v>
      </c>
      <c r="B70" s="11" t="str">
        <f aca="false">IF(Plantilla!B70="","",Plantilla!B70)</f>
        <v/>
      </c>
      <c r="C70" s="11" t="str">
        <f aca="false">IF(Plantilla!C70="","",Plantilla!C70)</f>
        <v/>
      </c>
      <c r="D70" s="21"/>
      <c r="E70" s="21"/>
      <c r="F70" s="21"/>
      <c r="G70" s="21"/>
      <c r="H70" s="21"/>
      <c r="I70" s="21"/>
      <c r="J70" s="21"/>
      <c r="K70" s="22" t="n">
        <f aca="false">SUM(D70:J70)</f>
        <v>0</v>
      </c>
      <c r="L70" s="18" t="n">
        <f aca="false">COUNTIF(D70:J70,"&gt;0")</f>
        <v>0</v>
      </c>
      <c r="M70" s="22" t="n">
        <f aca="false">MIN(K70,Datos!$B$7)</f>
        <v>0</v>
      </c>
      <c r="N70" s="22" t="n">
        <f aca="false">MIN(MAX(0,K70-Datos!$B$7),Datos!$B$8)</f>
        <v>0</v>
      </c>
      <c r="O70" s="22" t="n">
        <f aca="false">MAX(0,K70-Datos!$B$7-Datos!$B$8)</f>
        <v>0</v>
      </c>
    </row>
    <row r="71" customFormat="false" ht="15" hidden="false" customHeight="false" outlineLevel="0" collapsed="false">
      <c r="A71" s="18" t="n">
        <f aca="false">Plantilla!A71</f>
        <v>65</v>
      </c>
      <c r="B71" s="11" t="str">
        <f aca="false">IF(Plantilla!B71="","",Plantilla!B71)</f>
        <v/>
      </c>
      <c r="C71" s="11" t="str">
        <f aca="false">IF(Plantilla!C71="","",Plantilla!C71)</f>
        <v/>
      </c>
      <c r="D71" s="21"/>
      <c r="E71" s="21"/>
      <c r="F71" s="21"/>
      <c r="G71" s="21"/>
      <c r="H71" s="21"/>
      <c r="I71" s="21"/>
      <c r="J71" s="21"/>
      <c r="K71" s="22" t="n">
        <f aca="false">SUM(D71:J71)</f>
        <v>0</v>
      </c>
      <c r="L71" s="18" t="n">
        <f aca="false">COUNTIF(D71:J71,"&gt;0")</f>
        <v>0</v>
      </c>
      <c r="M71" s="22" t="n">
        <f aca="false">MIN(K71,Datos!$B$7)</f>
        <v>0</v>
      </c>
      <c r="N71" s="22" t="n">
        <f aca="false">MIN(MAX(0,K71-Datos!$B$7),Datos!$B$8)</f>
        <v>0</v>
      </c>
      <c r="O71" s="22" t="n">
        <f aca="false">MAX(0,K71-Datos!$B$7-Datos!$B$8)</f>
        <v>0</v>
      </c>
    </row>
    <row r="72" customFormat="false" ht="15" hidden="false" customHeight="false" outlineLevel="0" collapsed="false">
      <c r="A72" s="18" t="n">
        <f aca="false">Plantilla!A72</f>
        <v>66</v>
      </c>
      <c r="B72" s="11" t="str">
        <f aca="false">IF(Plantilla!B72="","",Plantilla!B72)</f>
        <v/>
      </c>
      <c r="C72" s="11" t="str">
        <f aca="false">IF(Plantilla!C72="","",Plantilla!C72)</f>
        <v/>
      </c>
      <c r="D72" s="21"/>
      <c r="E72" s="21"/>
      <c r="F72" s="21"/>
      <c r="G72" s="21"/>
      <c r="H72" s="21"/>
      <c r="I72" s="21"/>
      <c r="J72" s="21"/>
      <c r="K72" s="22" t="n">
        <f aca="false">SUM(D72:J72)</f>
        <v>0</v>
      </c>
      <c r="L72" s="18" t="n">
        <f aca="false">COUNTIF(D72:J72,"&gt;0")</f>
        <v>0</v>
      </c>
      <c r="M72" s="22" t="n">
        <f aca="false">MIN(K72,Datos!$B$7)</f>
        <v>0</v>
      </c>
      <c r="N72" s="22" t="n">
        <f aca="false">MIN(MAX(0,K72-Datos!$B$7),Datos!$B$8)</f>
        <v>0</v>
      </c>
      <c r="O72" s="22" t="n">
        <f aca="false">MAX(0,K72-Datos!$B$7-Datos!$B$8)</f>
        <v>0</v>
      </c>
    </row>
    <row r="73" customFormat="false" ht="15" hidden="false" customHeight="false" outlineLevel="0" collapsed="false">
      <c r="A73" s="18" t="n">
        <f aca="false">Plantilla!A73</f>
        <v>67</v>
      </c>
      <c r="B73" s="11" t="str">
        <f aca="false">IF(Plantilla!B73="","",Plantilla!B73)</f>
        <v/>
      </c>
      <c r="C73" s="11" t="str">
        <f aca="false">IF(Plantilla!C73="","",Plantilla!C73)</f>
        <v/>
      </c>
      <c r="D73" s="21"/>
      <c r="E73" s="21"/>
      <c r="F73" s="21"/>
      <c r="G73" s="21"/>
      <c r="H73" s="21"/>
      <c r="I73" s="21"/>
      <c r="J73" s="21"/>
      <c r="K73" s="22" t="n">
        <f aca="false">SUM(D73:J73)</f>
        <v>0</v>
      </c>
      <c r="L73" s="18" t="n">
        <f aca="false">COUNTIF(D73:J73,"&gt;0")</f>
        <v>0</v>
      </c>
      <c r="M73" s="22" t="n">
        <f aca="false">MIN(K73,Datos!$B$7)</f>
        <v>0</v>
      </c>
      <c r="N73" s="22" t="n">
        <f aca="false">MIN(MAX(0,K73-Datos!$B$7),Datos!$B$8)</f>
        <v>0</v>
      </c>
      <c r="O73" s="22" t="n">
        <f aca="false">MAX(0,K73-Datos!$B$7-Datos!$B$8)</f>
        <v>0</v>
      </c>
    </row>
    <row r="74" customFormat="false" ht="15" hidden="false" customHeight="false" outlineLevel="0" collapsed="false">
      <c r="A74" s="18" t="n">
        <f aca="false">Plantilla!A74</f>
        <v>68</v>
      </c>
      <c r="B74" s="11" t="str">
        <f aca="false">IF(Plantilla!B74="","",Plantilla!B74)</f>
        <v/>
      </c>
      <c r="C74" s="11" t="str">
        <f aca="false">IF(Plantilla!C74="","",Plantilla!C74)</f>
        <v/>
      </c>
      <c r="D74" s="21"/>
      <c r="E74" s="21"/>
      <c r="F74" s="21"/>
      <c r="G74" s="21"/>
      <c r="H74" s="21"/>
      <c r="I74" s="21"/>
      <c r="J74" s="21"/>
      <c r="K74" s="22" t="n">
        <f aca="false">SUM(D74:J74)</f>
        <v>0</v>
      </c>
      <c r="L74" s="18" t="n">
        <f aca="false">COUNTIF(D74:J74,"&gt;0")</f>
        <v>0</v>
      </c>
      <c r="M74" s="22" t="n">
        <f aca="false">MIN(K74,Datos!$B$7)</f>
        <v>0</v>
      </c>
      <c r="N74" s="22" t="n">
        <f aca="false">MIN(MAX(0,K74-Datos!$B$7),Datos!$B$8)</f>
        <v>0</v>
      </c>
      <c r="O74" s="22" t="n">
        <f aca="false">MAX(0,K74-Datos!$B$7-Datos!$B$8)</f>
        <v>0</v>
      </c>
    </row>
    <row r="75" customFormat="false" ht="15" hidden="false" customHeight="false" outlineLevel="0" collapsed="false">
      <c r="A75" s="18" t="n">
        <f aca="false">Plantilla!A75</f>
        <v>69</v>
      </c>
      <c r="B75" s="11" t="str">
        <f aca="false">IF(Plantilla!B75="","",Plantilla!B75)</f>
        <v/>
      </c>
      <c r="C75" s="11" t="str">
        <f aca="false">IF(Plantilla!C75="","",Plantilla!C75)</f>
        <v/>
      </c>
      <c r="D75" s="21"/>
      <c r="E75" s="21"/>
      <c r="F75" s="21"/>
      <c r="G75" s="21"/>
      <c r="H75" s="21"/>
      <c r="I75" s="21"/>
      <c r="J75" s="21"/>
      <c r="K75" s="22" t="n">
        <f aca="false">SUM(D75:J75)</f>
        <v>0</v>
      </c>
      <c r="L75" s="18" t="n">
        <f aca="false">COUNTIF(D75:J75,"&gt;0")</f>
        <v>0</v>
      </c>
      <c r="M75" s="22" t="n">
        <f aca="false">MIN(K75,Datos!$B$7)</f>
        <v>0</v>
      </c>
      <c r="N75" s="22" t="n">
        <f aca="false">MIN(MAX(0,K75-Datos!$B$7),Datos!$B$8)</f>
        <v>0</v>
      </c>
      <c r="O75" s="22" t="n">
        <f aca="false">MAX(0,K75-Datos!$B$7-Datos!$B$8)</f>
        <v>0</v>
      </c>
    </row>
    <row r="76" customFormat="false" ht="15" hidden="false" customHeight="false" outlineLevel="0" collapsed="false">
      <c r="A76" s="18" t="n">
        <f aca="false">Plantilla!A76</f>
        <v>70</v>
      </c>
      <c r="B76" s="11" t="str">
        <f aca="false">IF(Plantilla!B76="","",Plantilla!B76)</f>
        <v/>
      </c>
      <c r="C76" s="11" t="str">
        <f aca="false">IF(Plantilla!C76="","",Plantilla!C76)</f>
        <v/>
      </c>
      <c r="D76" s="21"/>
      <c r="E76" s="21"/>
      <c r="F76" s="21"/>
      <c r="G76" s="21"/>
      <c r="H76" s="21"/>
      <c r="I76" s="21"/>
      <c r="J76" s="21"/>
      <c r="K76" s="22" t="n">
        <f aca="false">SUM(D76:J76)</f>
        <v>0</v>
      </c>
      <c r="L76" s="18" t="n">
        <f aca="false">COUNTIF(D76:J76,"&gt;0")</f>
        <v>0</v>
      </c>
      <c r="M76" s="22" t="n">
        <f aca="false">MIN(K76,Datos!$B$7)</f>
        <v>0</v>
      </c>
      <c r="N76" s="22" t="n">
        <f aca="false">MIN(MAX(0,K76-Datos!$B$7),Datos!$B$8)</f>
        <v>0</v>
      </c>
      <c r="O76" s="22" t="n">
        <f aca="false">MAX(0,K76-Datos!$B$7-Datos!$B$8)</f>
        <v>0</v>
      </c>
    </row>
    <row r="77" customFormat="false" ht="15" hidden="false" customHeight="false" outlineLevel="0" collapsed="false">
      <c r="A77" s="18" t="n">
        <f aca="false">Plantilla!A77</f>
        <v>71</v>
      </c>
      <c r="B77" s="11" t="str">
        <f aca="false">IF(Plantilla!B77="","",Plantilla!B77)</f>
        <v/>
      </c>
      <c r="C77" s="11" t="str">
        <f aca="false">IF(Plantilla!C77="","",Plantilla!C77)</f>
        <v/>
      </c>
      <c r="D77" s="21"/>
      <c r="E77" s="21"/>
      <c r="F77" s="21"/>
      <c r="G77" s="21"/>
      <c r="H77" s="21"/>
      <c r="I77" s="21"/>
      <c r="J77" s="21"/>
      <c r="K77" s="22" t="n">
        <f aca="false">SUM(D77:J77)</f>
        <v>0</v>
      </c>
      <c r="L77" s="18" t="n">
        <f aca="false">COUNTIF(D77:J77,"&gt;0")</f>
        <v>0</v>
      </c>
      <c r="M77" s="22" t="n">
        <f aca="false">MIN(K77,Datos!$B$7)</f>
        <v>0</v>
      </c>
      <c r="N77" s="22" t="n">
        <f aca="false">MIN(MAX(0,K77-Datos!$B$7),Datos!$B$8)</f>
        <v>0</v>
      </c>
      <c r="O77" s="22" t="n">
        <f aca="false">MAX(0,K77-Datos!$B$7-Datos!$B$8)</f>
        <v>0</v>
      </c>
    </row>
    <row r="78" customFormat="false" ht="15" hidden="false" customHeight="false" outlineLevel="0" collapsed="false">
      <c r="A78" s="18" t="n">
        <f aca="false">Plantilla!A78</f>
        <v>72</v>
      </c>
      <c r="B78" s="11" t="str">
        <f aca="false">IF(Plantilla!B78="","",Plantilla!B78)</f>
        <v/>
      </c>
      <c r="C78" s="11" t="str">
        <f aca="false">IF(Plantilla!C78="","",Plantilla!C78)</f>
        <v/>
      </c>
      <c r="D78" s="21"/>
      <c r="E78" s="21"/>
      <c r="F78" s="21"/>
      <c r="G78" s="21"/>
      <c r="H78" s="21"/>
      <c r="I78" s="21"/>
      <c r="J78" s="21"/>
      <c r="K78" s="22" t="n">
        <f aca="false">SUM(D78:J78)</f>
        <v>0</v>
      </c>
      <c r="L78" s="18" t="n">
        <f aca="false">COUNTIF(D78:J78,"&gt;0")</f>
        <v>0</v>
      </c>
      <c r="M78" s="22" t="n">
        <f aca="false">MIN(K78,Datos!$B$7)</f>
        <v>0</v>
      </c>
      <c r="N78" s="22" t="n">
        <f aca="false">MIN(MAX(0,K78-Datos!$B$7),Datos!$B$8)</f>
        <v>0</v>
      </c>
      <c r="O78" s="22" t="n">
        <f aca="false">MAX(0,K78-Datos!$B$7-Datos!$B$8)</f>
        <v>0</v>
      </c>
    </row>
    <row r="79" customFormat="false" ht="15" hidden="false" customHeight="false" outlineLevel="0" collapsed="false">
      <c r="A79" s="18" t="n">
        <f aca="false">Plantilla!A79</f>
        <v>73</v>
      </c>
      <c r="B79" s="11" t="str">
        <f aca="false">IF(Plantilla!B79="","",Plantilla!B79)</f>
        <v/>
      </c>
      <c r="C79" s="11" t="str">
        <f aca="false">IF(Plantilla!C79="","",Plantilla!C79)</f>
        <v/>
      </c>
      <c r="D79" s="21"/>
      <c r="E79" s="21"/>
      <c r="F79" s="21"/>
      <c r="G79" s="21"/>
      <c r="H79" s="21"/>
      <c r="I79" s="21"/>
      <c r="J79" s="21"/>
      <c r="K79" s="22" t="n">
        <f aca="false">SUM(D79:J79)</f>
        <v>0</v>
      </c>
      <c r="L79" s="18" t="n">
        <f aca="false">COUNTIF(D79:J79,"&gt;0")</f>
        <v>0</v>
      </c>
      <c r="M79" s="22" t="n">
        <f aca="false">MIN(K79,Datos!$B$7)</f>
        <v>0</v>
      </c>
      <c r="N79" s="22" t="n">
        <f aca="false">MIN(MAX(0,K79-Datos!$B$7),Datos!$B$8)</f>
        <v>0</v>
      </c>
      <c r="O79" s="22" t="n">
        <f aca="false">MAX(0,K79-Datos!$B$7-Datos!$B$8)</f>
        <v>0</v>
      </c>
    </row>
    <row r="80" customFormat="false" ht="15" hidden="false" customHeight="false" outlineLevel="0" collapsed="false">
      <c r="A80" s="18" t="n">
        <f aca="false">Plantilla!A80</f>
        <v>74</v>
      </c>
      <c r="B80" s="11" t="str">
        <f aca="false">IF(Plantilla!B80="","",Plantilla!B80)</f>
        <v/>
      </c>
      <c r="C80" s="11" t="str">
        <f aca="false">IF(Plantilla!C80="","",Plantilla!C80)</f>
        <v/>
      </c>
      <c r="D80" s="21"/>
      <c r="E80" s="21"/>
      <c r="F80" s="21"/>
      <c r="G80" s="21"/>
      <c r="H80" s="21"/>
      <c r="I80" s="21"/>
      <c r="J80" s="21"/>
      <c r="K80" s="22" t="n">
        <f aca="false">SUM(D80:J80)</f>
        <v>0</v>
      </c>
      <c r="L80" s="18" t="n">
        <f aca="false">COUNTIF(D80:J80,"&gt;0")</f>
        <v>0</v>
      </c>
      <c r="M80" s="22" t="n">
        <f aca="false">MIN(K80,Datos!$B$7)</f>
        <v>0</v>
      </c>
      <c r="N80" s="22" t="n">
        <f aca="false">MIN(MAX(0,K80-Datos!$B$7),Datos!$B$8)</f>
        <v>0</v>
      </c>
      <c r="O80" s="22" t="n">
        <f aca="false">MAX(0,K80-Datos!$B$7-Datos!$B$8)</f>
        <v>0</v>
      </c>
    </row>
    <row r="81" customFormat="false" ht="15" hidden="false" customHeight="false" outlineLevel="0" collapsed="false">
      <c r="A81" s="18" t="n">
        <f aca="false">Plantilla!A81</f>
        <v>75</v>
      </c>
      <c r="B81" s="11" t="str">
        <f aca="false">IF(Plantilla!B81="","",Plantilla!B81)</f>
        <v/>
      </c>
      <c r="C81" s="11" t="str">
        <f aca="false">IF(Plantilla!C81="","",Plantilla!C81)</f>
        <v/>
      </c>
      <c r="D81" s="21"/>
      <c r="E81" s="21"/>
      <c r="F81" s="21"/>
      <c r="G81" s="21"/>
      <c r="H81" s="21"/>
      <c r="I81" s="21"/>
      <c r="J81" s="21"/>
      <c r="K81" s="22" t="n">
        <f aca="false">SUM(D81:J81)</f>
        <v>0</v>
      </c>
      <c r="L81" s="18" t="n">
        <f aca="false">COUNTIF(D81:J81,"&gt;0")</f>
        <v>0</v>
      </c>
      <c r="M81" s="22" t="n">
        <f aca="false">MIN(K81,Datos!$B$7)</f>
        <v>0</v>
      </c>
      <c r="N81" s="22" t="n">
        <f aca="false">MIN(MAX(0,K81-Datos!$B$7),Datos!$B$8)</f>
        <v>0</v>
      </c>
      <c r="O81" s="22" t="n">
        <f aca="false">MAX(0,K81-Datos!$B$7-Datos!$B$8)</f>
        <v>0</v>
      </c>
    </row>
    <row r="82" customFormat="false" ht="15" hidden="false" customHeight="false" outlineLevel="0" collapsed="false">
      <c r="A82" s="18" t="n">
        <f aca="false">Plantilla!A82</f>
        <v>76</v>
      </c>
      <c r="B82" s="11" t="str">
        <f aca="false">IF(Plantilla!B82="","",Plantilla!B82)</f>
        <v/>
      </c>
      <c r="C82" s="11" t="str">
        <f aca="false">IF(Plantilla!C82="","",Plantilla!C82)</f>
        <v/>
      </c>
      <c r="D82" s="21"/>
      <c r="E82" s="21"/>
      <c r="F82" s="21"/>
      <c r="G82" s="21"/>
      <c r="H82" s="21"/>
      <c r="I82" s="21"/>
      <c r="J82" s="21"/>
      <c r="K82" s="22" t="n">
        <f aca="false">SUM(D82:J82)</f>
        <v>0</v>
      </c>
      <c r="L82" s="18" t="n">
        <f aca="false">COUNTIF(D82:J82,"&gt;0")</f>
        <v>0</v>
      </c>
      <c r="M82" s="22" t="n">
        <f aca="false">MIN(K82,Datos!$B$7)</f>
        <v>0</v>
      </c>
      <c r="N82" s="22" t="n">
        <f aca="false">MIN(MAX(0,K82-Datos!$B$7),Datos!$B$8)</f>
        <v>0</v>
      </c>
      <c r="O82" s="22" t="n">
        <f aca="false">MAX(0,K82-Datos!$B$7-Datos!$B$8)</f>
        <v>0</v>
      </c>
    </row>
    <row r="83" customFormat="false" ht="15" hidden="false" customHeight="false" outlineLevel="0" collapsed="false">
      <c r="A83" s="18" t="n">
        <f aca="false">Plantilla!A83</f>
        <v>77</v>
      </c>
      <c r="B83" s="11" t="str">
        <f aca="false">IF(Plantilla!B83="","",Plantilla!B83)</f>
        <v/>
      </c>
      <c r="C83" s="11" t="str">
        <f aca="false">IF(Plantilla!C83="","",Plantilla!C83)</f>
        <v/>
      </c>
      <c r="D83" s="21"/>
      <c r="E83" s="21"/>
      <c r="F83" s="21"/>
      <c r="G83" s="21"/>
      <c r="H83" s="21"/>
      <c r="I83" s="21"/>
      <c r="J83" s="21"/>
      <c r="K83" s="22" t="n">
        <f aca="false">SUM(D83:J83)</f>
        <v>0</v>
      </c>
      <c r="L83" s="18" t="n">
        <f aca="false">COUNTIF(D83:J83,"&gt;0")</f>
        <v>0</v>
      </c>
      <c r="M83" s="22" t="n">
        <f aca="false">MIN(K83,Datos!$B$7)</f>
        <v>0</v>
      </c>
      <c r="N83" s="22" t="n">
        <f aca="false">MIN(MAX(0,K83-Datos!$B$7),Datos!$B$8)</f>
        <v>0</v>
      </c>
      <c r="O83" s="22" t="n">
        <f aca="false">MAX(0,K83-Datos!$B$7-Datos!$B$8)</f>
        <v>0</v>
      </c>
    </row>
    <row r="84" customFormat="false" ht="15" hidden="false" customHeight="false" outlineLevel="0" collapsed="false">
      <c r="A84" s="18" t="n">
        <f aca="false">Plantilla!A84</f>
        <v>78</v>
      </c>
      <c r="B84" s="11" t="str">
        <f aca="false">IF(Plantilla!B84="","",Plantilla!B84)</f>
        <v/>
      </c>
      <c r="C84" s="11" t="str">
        <f aca="false">IF(Plantilla!C84="","",Plantilla!C84)</f>
        <v/>
      </c>
      <c r="D84" s="21"/>
      <c r="E84" s="21"/>
      <c r="F84" s="21"/>
      <c r="G84" s="21"/>
      <c r="H84" s="21"/>
      <c r="I84" s="21"/>
      <c r="J84" s="21"/>
      <c r="K84" s="22" t="n">
        <f aca="false">SUM(D84:J84)</f>
        <v>0</v>
      </c>
      <c r="L84" s="18" t="n">
        <f aca="false">COUNTIF(D84:J84,"&gt;0")</f>
        <v>0</v>
      </c>
      <c r="M84" s="22" t="n">
        <f aca="false">MIN(K84,Datos!$B$7)</f>
        <v>0</v>
      </c>
      <c r="N84" s="22" t="n">
        <f aca="false">MIN(MAX(0,K84-Datos!$B$7),Datos!$B$8)</f>
        <v>0</v>
      </c>
      <c r="O84" s="22" t="n">
        <f aca="false">MAX(0,K84-Datos!$B$7-Datos!$B$8)</f>
        <v>0</v>
      </c>
    </row>
    <row r="85" customFormat="false" ht="15" hidden="false" customHeight="false" outlineLevel="0" collapsed="false">
      <c r="A85" s="18" t="n">
        <f aca="false">Plantilla!A85</f>
        <v>79</v>
      </c>
      <c r="B85" s="11" t="str">
        <f aca="false">IF(Plantilla!B85="","",Plantilla!B85)</f>
        <v/>
      </c>
      <c r="C85" s="11" t="str">
        <f aca="false">IF(Plantilla!C85="","",Plantilla!C85)</f>
        <v/>
      </c>
      <c r="D85" s="21"/>
      <c r="E85" s="21"/>
      <c r="F85" s="21"/>
      <c r="G85" s="21"/>
      <c r="H85" s="21"/>
      <c r="I85" s="21"/>
      <c r="J85" s="21"/>
      <c r="K85" s="22" t="n">
        <f aca="false">SUM(D85:J85)</f>
        <v>0</v>
      </c>
      <c r="L85" s="18" t="n">
        <f aca="false">COUNTIF(D85:J85,"&gt;0")</f>
        <v>0</v>
      </c>
      <c r="M85" s="22" t="n">
        <f aca="false">MIN(K85,Datos!$B$7)</f>
        <v>0</v>
      </c>
      <c r="N85" s="22" t="n">
        <f aca="false">MIN(MAX(0,K85-Datos!$B$7),Datos!$B$8)</f>
        <v>0</v>
      </c>
      <c r="O85" s="22" t="n">
        <f aca="false">MAX(0,K85-Datos!$B$7-Datos!$B$8)</f>
        <v>0</v>
      </c>
    </row>
    <row r="86" customFormat="false" ht="15" hidden="false" customHeight="false" outlineLevel="0" collapsed="false">
      <c r="A86" s="18" t="n">
        <f aca="false">Plantilla!A86</f>
        <v>80</v>
      </c>
      <c r="B86" s="11" t="str">
        <f aca="false">IF(Plantilla!B86="","",Plantilla!B86)</f>
        <v/>
      </c>
      <c r="C86" s="11" t="str">
        <f aca="false">IF(Plantilla!C86="","",Plantilla!C86)</f>
        <v/>
      </c>
      <c r="D86" s="21"/>
      <c r="E86" s="21"/>
      <c r="F86" s="21"/>
      <c r="G86" s="21"/>
      <c r="H86" s="21"/>
      <c r="I86" s="21"/>
      <c r="J86" s="21"/>
      <c r="K86" s="22" t="n">
        <f aca="false">SUM(D86:J86)</f>
        <v>0</v>
      </c>
      <c r="L86" s="18" t="n">
        <f aca="false">COUNTIF(D86:J86,"&gt;0")</f>
        <v>0</v>
      </c>
      <c r="M86" s="22" t="n">
        <f aca="false">MIN(K86,Datos!$B$7)</f>
        <v>0</v>
      </c>
      <c r="N86" s="22" t="n">
        <f aca="false">MIN(MAX(0,K86-Datos!$B$7),Datos!$B$8)</f>
        <v>0</v>
      </c>
      <c r="O86" s="22" t="n">
        <f aca="false">MAX(0,K86-Datos!$B$7-Datos!$B$8)</f>
        <v>0</v>
      </c>
    </row>
  </sheetData>
  <mergeCells count="2">
    <mergeCell ref="A1:O1"/>
    <mergeCell ref="A2:O2"/>
  </mergeCells>
  <conditionalFormatting sqref="O7:O86">
    <cfRule type="expression" priority="2" aboveAverage="0" equalAverage="0" bottom="0" percent="0" rank="0" text="" dxfId="1">
      <formula>O7&gt;0</formula>
    </cfRule>
  </conditionalFormatting>
  <printOptions headings="false" gridLines="false" gridLinesSet="true" horizontalCentered="tru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9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5" min="5" style="0" width="11"/>
    <col collapsed="false" customWidth="true" hidden="false" outlineLevel="0" max="8" min="6" style="0" width="10"/>
    <col collapsed="false" customWidth="true" hidden="false" outlineLevel="0" max="9" min="9" style="0" width="12"/>
    <col collapsed="false" customWidth="true" hidden="false" outlineLevel="0" max="12" min="10" style="0" width="10"/>
    <col collapsed="false" customWidth="true" hidden="false" outlineLevel="0" max="14" min="13" style="0" width="12"/>
    <col collapsed="false" customWidth="true" hidden="false" outlineLevel="0" max="15" min="15" style="0" width="16"/>
  </cols>
  <sheetData>
    <row r="1" customFormat="false" ht="16.15" hidden="false" customHeight="false" outlineLevel="0" collapsed="false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customFormat="false" ht="15" hidden="false" customHeight="false" outlineLevel="0" collapsed="false">
      <c r="A2" s="8" t="s">
        <v>71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customFormat="false" ht="15" hidden="false" customHeight="false" outlineLevel="0" collapsed="false">
      <c r="A3" s="9" t="s">
        <v>17</v>
      </c>
      <c r="B3" s="10"/>
    </row>
    <row r="4" customFormat="false" ht="15" hidden="false" customHeight="false" outlineLevel="0" collapsed="false">
      <c r="A4" s="9" t="s">
        <v>18</v>
      </c>
      <c r="B4" s="10"/>
    </row>
    <row r="6" customFormat="false" ht="30" hidden="false" customHeight="true" outlineLevel="0" collapsed="false">
      <c r="A6" s="17" t="s">
        <v>30</v>
      </c>
      <c r="B6" s="17" t="s">
        <v>58</v>
      </c>
      <c r="C6" s="17" t="s">
        <v>37</v>
      </c>
      <c r="D6" s="17" t="s">
        <v>67</v>
      </c>
      <c r="E6" s="17" t="s">
        <v>72</v>
      </c>
      <c r="F6" s="17" t="s">
        <v>73</v>
      </c>
      <c r="G6" s="17" t="s">
        <v>74</v>
      </c>
      <c r="H6" s="17" t="s">
        <v>75</v>
      </c>
      <c r="I6" s="17" t="s">
        <v>76</v>
      </c>
      <c r="J6" s="17" t="s">
        <v>77</v>
      </c>
      <c r="K6" s="17" t="s">
        <v>78</v>
      </c>
      <c r="L6" s="17" t="s">
        <v>79</v>
      </c>
      <c r="M6" s="17" t="s">
        <v>80</v>
      </c>
      <c r="N6" s="17" t="s">
        <v>81</v>
      </c>
      <c r="O6" s="17" t="s">
        <v>82</v>
      </c>
    </row>
    <row r="7" customFormat="false" ht="15" hidden="false" customHeight="false" outlineLevel="0" collapsed="false">
      <c r="A7" s="18" t="n">
        <f aca="false">Plantilla!A7</f>
        <v>1</v>
      </c>
      <c r="B7" s="11" t="str">
        <f aca="false">Asistencia!B7</f>
        <v>Maestro de obra (ejemplo)</v>
      </c>
      <c r="C7" s="23" t="n">
        <f aca="false">IF(Plantilla!H7="",0,Plantilla!H7)</f>
        <v>1050</v>
      </c>
      <c r="D7" s="18" t="n">
        <f aca="false">MIN(6,Asistencia!L7)</f>
        <v>6</v>
      </c>
      <c r="E7" s="23" t="n">
        <f aca="false">C7*D7</f>
        <v>6300</v>
      </c>
      <c r="F7" s="23" t="n">
        <f aca="false">C7*D7/6</f>
        <v>1050</v>
      </c>
      <c r="G7" s="23" t="n">
        <f aca="false">C7/Datos!$B$9*(2*Asistencia!N7+3*Asistencia!O7)</f>
        <v>787.5</v>
      </c>
      <c r="H7" s="15"/>
      <c r="I7" s="23" t="n">
        <f aca="false">SUM(E7:H7)</f>
        <v>8137.5</v>
      </c>
      <c r="J7" s="15"/>
      <c r="K7" s="15"/>
      <c r="L7" s="15"/>
      <c r="M7" s="23" t="n">
        <f aca="false">I7-J7-K7-L7</f>
        <v>8137.5</v>
      </c>
      <c r="N7" s="23" t="n">
        <f aca="false">(E7+F7)*Datos!$B$11+G7+H7</f>
        <v>12694.5</v>
      </c>
      <c r="O7" s="11"/>
    </row>
    <row r="8" customFormat="false" ht="15" hidden="false" customHeight="false" outlineLevel="0" collapsed="false">
      <c r="A8" s="18" t="n">
        <f aca="false">Plantilla!A8</f>
        <v>2</v>
      </c>
      <c r="B8" s="11" t="str">
        <f aca="false">Asistencia!B8</f>
        <v>Oficial albañil (ejemplo)</v>
      </c>
      <c r="C8" s="23" t="n">
        <f aca="false">IF(Plantilla!H8="",0,Plantilla!H8)</f>
        <v>630</v>
      </c>
      <c r="D8" s="18" t="n">
        <f aca="false">MIN(6,Asistencia!L8)</f>
        <v>6</v>
      </c>
      <c r="E8" s="23" t="n">
        <f aca="false">C8*D8</f>
        <v>3780</v>
      </c>
      <c r="F8" s="23" t="n">
        <f aca="false">C8*D8/6</f>
        <v>630</v>
      </c>
      <c r="G8" s="23" t="n">
        <f aca="false">C8/Datos!$B$9*(2*Asistencia!N8+3*Asistencia!O8)</f>
        <v>472.5</v>
      </c>
      <c r="H8" s="15"/>
      <c r="I8" s="23" t="n">
        <f aca="false">SUM(E8:H8)</f>
        <v>4882.5</v>
      </c>
      <c r="J8" s="15"/>
      <c r="K8" s="15"/>
      <c r="L8" s="15"/>
      <c r="M8" s="23" t="n">
        <f aca="false">I8-J8-K8-L8</f>
        <v>4882.5</v>
      </c>
      <c r="N8" s="23" t="n">
        <f aca="false">(E8+F8)*Datos!$B$11+G8+H8</f>
        <v>7616.7</v>
      </c>
      <c r="O8" s="11"/>
    </row>
    <row r="9" customFormat="false" ht="15" hidden="false" customHeight="false" outlineLevel="0" collapsed="false">
      <c r="A9" s="18" t="n">
        <f aca="false">Plantilla!A9</f>
        <v>3</v>
      </c>
      <c r="B9" s="11" t="str">
        <f aca="false">Asistencia!B9</f>
        <v>Oficial tablaroquero (ejemplo)</v>
      </c>
      <c r="C9" s="23" t="n">
        <f aca="false">IF(Plantilla!H9="",0,Plantilla!H9)</f>
        <v>640</v>
      </c>
      <c r="D9" s="18" t="n">
        <f aca="false">MIN(6,Asistencia!L9)</f>
        <v>6</v>
      </c>
      <c r="E9" s="23" t="n">
        <f aca="false">C9*D9</f>
        <v>3840</v>
      </c>
      <c r="F9" s="23" t="n">
        <f aca="false">C9*D9/6</f>
        <v>640</v>
      </c>
      <c r="G9" s="23" t="n">
        <f aca="false">C9/Datos!$B$9*(2*Asistencia!N9+3*Asistencia!O9)</f>
        <v>480</v>
      </c>
      <c r="H9" s="15"/>
      <c r="I9" s="23" t="n">
        <f aca="false">SUM(E9:H9)</f>
        <v>4960</v>
      </c>
      <c r="J9" s="15"/>
      <c r="K9" s="15"/>
      <c r="L9" s="15"/>
      <c r="M9" s="23" t="n">
        <f aca="false">I9-J9-K9-L9</f>
        <v>4960</v>
      </c>
      <c r="N9" s="23" t="n">
        <f aca="false">(E9+F9)*Datos!$B$11+G9+H9</f>
        <v>7737.6</v>
      </c>
      <c r="O9" s="11"/>
    </row>
    <row r="10" customFormat="false" ht="15" hidden="false" customHeight="false" outlineLevel="0" collapsed="false">
      <c r="A10" s="18" t="n">
        <f aca="false">Plantilla!A10</f>
        <v>4</v>
      </c>
      <c r="B10" s="11" t="str">
        <f aca="false">Asistencia!B10</f>
        <v>Ayudante general (ejemplo)</v>
      </c>
      <c r="C10" s="23" t="n">
        <f aca="false">IF(Plantilla!H10="",0,Plantilla!H10)</f>
        <v>505</v>
      </c>
      <c r="D10" s="18" t="n">
        <f aca="false">MIN(6,Asistencia!L10)</f>
        <v>6</v>
      </c>
      <c r="E10" s="23" t="n">
        <f aca="false">C10*D10</f>
        <v>3030</v>
      </c>
      <c r="F10" s="23" t="n">
        <f aca="false">C10*D10/6</f>
        <v>505</v>
      </c>
      <c r="G10" s="23" t="n">
        <f aca="false">C10/Datos!$B$9*(2*Asistencia!N10+3*Asistencia!O10)</f>
        <v>378.75</v>
      </c>
      <c r="H10" s="15"/>
      <c r="I10" s="23" t="n">
        <f aca="false">SUM(E10:H10)</f>
        <v>3913.75</v>
      </c>
      <c r="J10" s="15"/>
      <c r="K10" s="15"/>
      <c r="L10" s="15"/>
      <c r="M10" s="23" t="n">
        <f aca="false">I10-J10-K10-L10</f>
        <v>3913.75</v>
      </c>
      <c r="N10" s="23" t="n">
        <f aca="false">(E10+F10)*Datos!$B$11+G10+H10</f>
        <v>6105.45</v>
      </c>
      <c r="O10" s="11"/>
    </row>
    <row r="11" customFormat="false" ht="15" hidden="false" customHeight="false" outlineLevel="0" collapsed="false">
      <c r="A11" s="18" t="n">
        <f aca="false">Plantilla!A11</f>
        <v>5</v>
      </c>
      <c r="B11" s="11" t="str">
        <f aca="false">Asistencia!B11</f>
        <v>Oficial electricista (ejemplo)</v>
      </c>
      <c r="C11" s="23" t="n">
        <f aca="false">IF(Plantilla!H11="",0,Plantilla!H11)</f>
        <v>710</v>
      </c>
      <c r="D11" s="18" t="n">
        <f aca="false">MIN(6,Asistencia!L11)</f>
        <v>6</v>
      </c>
      <c r="E11" s="23" t="n">
        <f aca="false">C11*D11</f>
        <v>4260</v>
      </c>
      <c r="F11" s="23" t="n">
        <f aca="false">C11*D11/6</f>
        <v>710</v>
      </c>
      <c r="G11" s="23" t="n">
        <f aca="false">C11/Datos!$B$9*(2*Asistencia!N11+3*Asistencia!O11)</f>
        <v>532.5</v>
      </c>
      <c r="H11" s="15"/>
      <c r="I11" s="23" t="n">
        <f aca="false">SUM(E11:H11)</f>
        <v>5502.5</v>
      </c>
      <c r="J11" s="15"/>
      <c r="K11" s="15"/>
      <c r="L11" s="15"/>
      <c r="M11" s="23" t="n">
        <f aca="false">I11-J11-K11-L11</f>
        <v>5502.5</v>
      </c>
      <c r="N11" s="23" t="n">
        <f aca="false">(E11+F11)*Datos!$B$11+G11+H11</f>
        <v>8583.9</v>
      </c>
      <c r="O11" s="11"/>
    </row>
    <row r="12" customFormat="false" ht="15" hidden="false" customHeight="false" outlineLevel="0" collapsed="false">
      <c r="A12" s="18" t="n">
        <f aca="false">Plantilla!A12</f>
        <v>6</v>
      </c>
      <c r="B12" s="11" t="str">
        <f aca="false">Asistencia!B12</f>
        <v>Ayudante general 2 (ejemplo)</v>
      </c>
      <c r="C12" s="23" t="n">
        <f aca="false">IF(Plantilla!H12="",0,Plantilla!H12)</f>
        <v>430</v>
      </c>
      <c r="D12" s="18" t="n">
        <f aca="false">MIN(6,Asistencia!L12)</f>
        <v>6</v>
      </c>
      <c r="E12" s="23" t="n">
        <f aca="false">C12*D12</f>
        <v>2580</v>
      </c>
      <c r="F12" s="23" t="n">
        <f aca="false">C12*D12/6</f>
        <v>430</v>
      </c>
      <c r="G12" s="23" t="n">
        <f aca="false">C12/Datos!$B$9*(2*Asistencia!N12+3*Asistencia!O12)</f>
        <v>322.5</v>
      </c>
      <c r="H12" s="15"/>
      <c r="I12" s="23" t="n">
        <f aca="false">SUM(E12:H12)</f>
        <v>3332.5</v>
      </c>
      <c r="J12" s="15"/>
      <c r="K12" s="15"/>
      <c r="L12" s="15"/>
      <c r="M12" s="23" t="n">
        <f aca="false">I12-J12-K12-L12</f>
        <v>3332.5</v>
      </c>
      <c r="N12" s="23" t="n">
        <f aca="false">(E12+F12)*Datos!$B$11+G12+H12</f>
        <v>5198.7</v>
      </c>
      <c r="O12" s="11"/>
    </row>
    <row r="13" customFormat="false" ht="15" hidden="false" customHeight="false" outlineLevel="0" collapsed="false">
      <c r="A13" s="18" t="n">
        <f aca="false">Plantilla!A13</f>
        <v>7</v>
      </c>
      <c r="B13" s="11" t="str">
        <f aca="false">Asistencia!B13</f>
        <v/>
      </c>
      <c r="C13" s="23" t="n">
        <f aca="false">IF(Plantilla!H13="",0,Plantilla!H13)</f>
        <v>0</v>
      </c>
      <c r="D13" s="18" t="n">
        <f aca="false">MIN(6,Asistencia!L13)</f>
        <v>0</v>
      </c>
      <c r="E13" s="23" t="n">
        <f aca="false">C13*D13</f>
        <v>0</v>
      </c>
      <c r="F13" s="23" t="n">
        <f aca="false">C13*D13/6</f>
        <v>0</v>
      </c>
      <c r="G13" s="23" t="n">
        <f aca="false">C13/Datos!$B$9*(2*Asistencia!N13+3*Asistencia!O13)</f>
        <v>0</v>
      </c>
      <c r="H13" s="15"/>
      <c r="I13" s="23" t="n">
        <f aca="false">SUM(E13:H13)</f>
        <v>0</v>
      </c>
      <c r="J13" s="15"/>
      <c r="K13" s="15"/>
      <c r="L13" s="15"/>
      <c r="M13" s="23" t="n">
        <f aca="false">I13-J13-K13-L13</f>
        <v>0</v>
      </c>
      <c r="N13" s="23" t="n">
        <f aca="false">(E13+F13)*Datos!$B$11+G13+H13</f>
        <v>0</v>
      </c>
      <c r="O13" s="11"/>
    </row>
    <row r="14" customFormat="false" ht="15" hidden="false" customHeight="false" outlineLevel="0" collapsed="false">
      <c r="A14" s="18" t="n">
        <f aca="false">Plantilla!A14</f>
        <v>8</v>
      </c>
      <c r="B14" s="11" t="str">
        <f aca="false">Asistencia!B14</f>
        <v/>
      </c>
      <c r="C14" s="23" t="n">
        <f aca="false">IF(Plantilla!H14="",0,Plantilla!H14)</f>
        <v>0</v>
      </c>
      <c r="D14" s="18" t="n">
        <f aca="false">MIN(6,Asistencia!L14)</f>
        <v>0</v>
      </c>
      <c r="E14" s="23" t="n">
        <f aca="false">C14*D14</f>
        <v>0</v>
      </c>
      <c r="F14" s="23" t="n">
        <f aca="false">C14*D14/6</f>
        <v>0</v>
      </c>
      <c r="G14" s="23" t="n">
        <f aca="false">C14/Datos!$B$9*(2*Asistencia!N14+3*Asistencia!O14)</f>
        <v>0</v>
      </c>
      <c r="H14" s="15"/>
      <c r="I14" s="23" t="n">
        <f aca="false">SUM(E14:H14)</f>
        <v>0</v>
      </c>
      <c r="J14" s="15"/>
      <c r="K14" s="15"/>
      <c r="L14" s="15"/>
      <c r="M14" s="23" t="n">
        <f aca="false">I14-J14-K14-L14</f>
        <v>0</v>
      </c>
      <c r="N14" s="23" t="n">
        <f aca="false">(E14+F14)*Datos!$B$11+G14+H14</f>
        <v>0</v>
      </c>
      <c r="O14" s="11"/>
    </row>
    <row r="15" customFormat="false" ht="15" hidden="false" customHeight="false" outlineLevel="0" collapsed="false">
      <c r="A15" s="18" t="n">
        <f aca="false">Plantilla!A15</f>
        <v>9</v>
      </c>
      <c r="B15" s="11" t="str">
        <f aca="false">Asistencia!B15</f>
        <v/>
      </c>
      <c r="C15" s="23" t="n">
        <f aca="false">IF(Plantilla!H15="",0,Plantilla!H15)</f>
        <v>0</v>
      </c>
      <c r="D15" s="18" t="n">
        <f aca="false">MIN(6,Asistencia!L15)</f>
        <v>0</v>
      </c>
      <c r="E15" s="23" t="n">
        <f aca="false">C15*D15</f>
        <v>0</v>
      </c>
      <c r="F15" s="23" t="n">
        <f aca="false">C15*D15/6</f>
        <v>0</v>
      </c>
      <c r="G15" s="23" t="n">
        <f aca="false">C15/Datos!$B$9*(2*Asistencia!N15+3*Asistencia!O15)</f>
        <v>0</v>
      </c>
      <c r="H15" s="15"/>
      <c r="I15" s="23" t="n">
        <f aca="false">SUM(E15:H15)</f>
        <v>0</v>
      </c>
      <c r="J15" s="15"/>
      <c r="K15" s="15"/>
      <c r="L15" s="15"/>
      <c r="M15" s="23" t="n">
        <f aca="false">I15-J15-K15-L15</f>
        <v>0</v>
      </c>
      <c r="N15" s="23" t="n">
        <f aca="false">(E15+F15)*Datos!$B$11+G15+H15</f>
        <v>0</v>
      </c>
      <c r="O15" s="11"/>
    </row>
    <row r="16" customFormat="false" ht="15" hidden="false" customHeight="false" outlineLevel="0" collapsed="false">
      <c r="A16" s="18" t="n">
        <f aca="false">Plantilla!A16</f>
        <v>10</v>
      </c>
      <c r="B16" s="11" t="str">
        <f aca="false">Asistencia!B16</f>
        <v/>
      </c>
      <c r="C16" s="23" t="n">
        <f aca="false">IF(Plantilla!H16="",0,Plantilla!H16)</f>
        <v>0</v>
      </c>
      <c r="D16" s="18" t="n">
        <f aca="false">MIN(6,Asistencia!L16)</f>
        <v>0</v>
      </c>
      <c r="E16" s="23" t="n">
        <f aca="false">C16*D16</f>
        <v>0</v>
      </c>
      <c r="F16" s="23" t="n">
        <f aca="false">C16*D16/6</f>
        <v>0</v>
      </c>
      <c r="G16" s="23" t="n">
        <f aca="false">C16/Datos!$B$9*(2*Asistencia!N16+3*Asistencia!O16)</f>
        <v>0</v>
      </c>
      <c r="H16" s="15"/>
      <c r="I16" s="23" t="n">
        <f aca="false">SUM(E16:H16)</f>
        <v>0</v>
      </c>
      <c r="J16" s="15"/>
      <c r="K16" s="15"/>
      <c r="L16" s="15"/>
      <c r="M16" s="23" t="n">
        <f aca="false">I16-J16-K16-L16</f>
        <v>0</v>
      </c>
      <c r="N16" s="23" t="n">
        <f aca="false">(E16+F16)*Datos!$B$11+G16+H16</f>
        <v>0</v>
      </c>
      <c r="O16" s="11"/>
    </row>
    <row r="17" customFormat="false" ht="15" hidden="false" customHeight="false" outlineLevel="0" collapsed="false">
      <c r="A17" s="18" t="n">
        <f aca="false">Plantilla!A17</f>
        <v>11</v>
      </c>
      <c r="B17" s="11" t="str">
        <f aca="false">Asistencia!B17</f>
        <v/>
      </c>
      <c r="C17" s="23" t="n">
        <f aca="false">IF(Plantilla!H17="",0,Plantilla!H17)</f>
        <v>0</v>
      </c>
      <c r="D17" s="18" t="n">
        <f aca="false">MIN(6,Asistencia!L17)</f>
        <v>0</v>
      </c>
      <c r="E17" s="23" t="n">
        <f aca="false">C17*D17</f>
        <v>0</v>
      </c>
      <c r="F17" s="23" t="n">
        <f aca="false">C17*D17/6</f>
        <v>0</v>
      </c>
      <c r="G17" s="23" t="n">
        <f aca="false">C17/Datos!$B$9*(2*Asistencia!N17+3*Asistencia!O17)</f>
        <v>0</v>
      </c>
      <c r="H17" s="15"/>
      <c r="I17" s="23" t="n">
        <f aca="false">SUM(E17:H17)</f>
        <v>0</v>
      </c>
      <c r="J17" s="15"/>
      <c r="K17" s="15"/>
      <c r="L17" s="15"/>
      <c r="M17" s="23" t="n">
        <f aca="false">I17-J17-K17-L17</f>
        <v>0</v>
      </c>
      <c r="N17" s="23" t="n">
        <f aca="false">(E17+F17)*Datos!$B$11+G17+H17</f>
        <v>0</v>
      </c>
      <c r="O17" s="11"/>
    </row>
    <row r="18" customFormat="false" ht="15" hidden="false" customHeight="false" outlineLevel="0" collapsed="false">
      <c r="A18" s="18" t="n">
        <f aca="false">Plantilla!A18</f>
        <v>12</v>
      </c>
      <c r="B18" s="11" t="str">
        <f aca="false">Asistencia!B18</f>
        <v/>
      </c>
      <c r="C18" s="23" t="n">
        <f aca="false">IF(Plantilla!H18="",0,Plantilla!H18)</f>
        <v>0</v>
      </c>
      <c r="D18" s="18" t="n">
        <f aca="false">MIN(6,Asistencia!L18)</f>
        <v>0</v>
      </c>
      <c r="E18" s="23" t="n">
        <f aca="false">C18*D18</f>
        <v>0</v>
      </c>
      <c r="F18" s="23" t="n">
        <f aca="false">C18*D18/6</f>
        <v>0</v>
      </c>
      <c r="G18" s="23" t="n">
        <f aca="false">C18/Datos!$B$9*(2*Asistencia!N18+3*Asistencia!O18)</f>
        <v>0</v>
      </c>
      <c r="H18" s="15"/>
      <c r="I18" s="23" t="n">
        <f aca="false">SUM(E18:H18)</f>
        <v>0</v>
      </c>
      <c r="J18" s="15"/>
      <c r="K18" s="15"/>
      <c r="L18" s="15"/>
      <c r="M18" s="23" t="n">
        <f aca="false">I18-J18-K18-L18</f>
        <v>0</v>
      </c>
      <c r="N18" s="23" t="n">
        <f aca="false">(E18+F18)*Datos!$B$11+G18+H18</f>
        <v>0</v>
      </c>
      <c r="O18" s="11"/>
    </row>
    <row r="19" customFormat="false" ht="15" hidden="false" customHeight="false" outlineLevel="0" collapsed="false">
      <c r="A19" s="18" t="n">
        <f aca="false">Plantilla!A19</f>
        <v>13</v>
      </c>
      <c r="B19" s="11" t="str">
        <f aca="false">Asistencia!B19</f>
        <v/>
      </c>
      <c r="C19" s="23" t="n">
        <f aca="false">IF(Plantilla!H19="",0,Plantilla!H19)</f>
        <v>0</v>
      </c>
      <c r="D19" s="18" t="n">
        <f aca="false">MIN(6,Asistencia!L19)</f>
        <v>0</v>
      </c>
      <c r="E19" s="23" t="n">
        <f aca="false">C19*D19</f>
        <v>0</v>
      </c>
      <c r="F19" s="23" t="n">
        <f aca="false">C19*D19/6</f>
        <v>0</v>
      </c>
      <c r="G19" s="23" t="n">
        <f aca="false">C19/Datos!$B$9*(2*Asistencia!N19+3*Asistencia!O19)</f>
        <v>0</v>
      </c>
      <c r="H19" s="15"/>
      <c r="I19" s="23" t="n">
        <f aca="false">SUM(E19:H19)</f>
        <v>0</v>
      </c>
      <c r="J19" s="15"/>
      <c r="K19" s="15"/>
      <c r="L19" s="15"/>
      <c r="M19" s="23" t="n">
        <f aca="false">I19-J19-K19-L19</f>
        <v>0</v>
      </c>
      <c r="N19" s="23" t="n">
        <f aca="false">(E19+F19)*Datos!$B$11+G19+H19</f>
        <v>0</v>
      </c>
      <c r="O19" s="11"/>
    </row>
    <row r="20" customFormat="false" ht="15" hidden="false" customHeight="false" outlineLevel="0" collapsed="false">
      <c r="A20" s="18" t="n">
        <f aca="false">Plantilla!A20</f>
        <v>14</v>
      </c>
      <c r="B20" s="11" t="str">
        <f aca="false">Asistencia!B20</f>
        <v/>
      </c>
      <c r="C20" s="23" t="n">
        <f aca="false">IF(Plantilla!H20="",0,Plantilla!H20)</f>
        <v>0</v>
      </c>
      <c r="D20" s="18" t="n">
        <f aca="false">MIN(6,Asistencia!L20)</f>
        <v>0</v>
      </c>
      <c r="E20" s="23" t="n">
        <f aca="false">C20*D20</f>
        <v>0</v>
      </c>
      <c r="F20" s="23" t="n">
        <f aca="false">C20*D20/6</f>
        <v>0</v>
      </c>
      <c r="G20" s="23" t="n">
        <f aca="false">C20/Datos!$B$9*(2*Asistencia!N20+3*Asistencia!O20)</f>
        <v>0</v>
      </c>
      <c r="H20" s="15"/>
      <c r="I20" s="23" t="n">
        <f aca="false">SUM(E20:H20)</f>
        <v>0</v>
      </c>
      <c r="J20" s="15"/>
      <c r="K20" s="15"/>
      <c r="L20" s="15"/>
      <c r="M20" s="23" t="n">
        <f aca="false">I20-J20-K20-L20</f>
        <v>0</v>
      </c>
      <c r="N20" s="23" t="n">
        <f aca="false">(E20+F20)*Datos!$B$11+G20+H20</f>
        <v>0</v>
      </c>
      <c r="O20" s="11"/>
    </row>
    <row r="21" customFormat="false" ht="15" hidden="false" customHeight="false" outlineLevel="0" collapsed="false">
      <c r="A21" s="18" t="n">
        <f aca="false">Plantilla!A21</f>
        <v>15</v>
      </c>
      <c r="B21" s="11" t="str">
        <f aca="false">Asistencia!B21</f>
        <v/>
      </c>
      <c r="C21" s="23" t="n">
        <f aca="false">IF(Plantilla!H21="",0,Plantilla!H21)</f>
        <v>0</v>
      </c>
      <c r="D21" s="18" t="n">
        <f aca="false">MIN(6,Asistencia!L21)</f>
        <v>0</v>
      </c>
      <c r="E21" s="23" t="n">
        <f aca="false">C21*D21</f>
        <v>0</v>
      </c>
      <c r="F21" s="23" t="n">
        <f aca="false">C21*D21/6</f>
        <v>0</v>
      </c>
      <c r="G21" s="23" t="n">
        <f aca="false">C21/Datos!$B$9*(2*Asistencia!N21+3*Asistencia!O21)</f>
        <v>0</v>
      </c>
      <c r="H21" s="15"/>
      <c r="I21" s="23" t="n">
        <f aca="false">SUM(E21:H21)</f>
        <v>0</v>
      </c>
      <c r="J21" s="15"/>
      <c r="K21" s="15"/>
      <c r="L21" s="15"/>
      <c r="M21" s="23" t="n">
        <f aca="false">I21-J21-K21-L21</f>
        <v>0</v>
      </c>
      <c r="N21" s="23" t="n">
        <f aca="false">(E21+F21)*Datos!$B$11+G21+H21</f>
        <v>0</v>
      </c>
      <c r="O21" s="11"/>
    </row>
    <row r="22" customFormat="false" ht="15" hidden="false" customHeight="false" outlineLevel="0" collapsed="false">
      <c r="A22" s="18" t="n">
        <f aca="false">Plantilla!A22</f>
        <v>16</v>
      </c>
      <c r="B22" s="11" t="str">
        <f aca="false">Asistencia!B22</f>
        <v/>
      </c>
      <c r="C22" s="23" t="n">
        <f aca="false">IF(Plantilla!H22="",0,Plantilla!H22)</f>
        <v>0</v>
      </c>
      <c r="D22" s="18" t="n">
        <f aca="false">MIN(6,Asistencia!L22)</f>
        <v>0</v>
      </c>
      <c r="E22" s="23" t="n">
        <f aca="false">C22*D22</f>
        <v>0</v>
      </c>
      <c r="F22" s="23" t="n">
        <f aca="false">C22*D22/6</f>
        <v>0</v>
      </c>
      <c r="G22" s="23" t="n">
        <f aca="false">C22/Datos!$B$9*(2*Asistencia!N22+3*Asistencia!O22)</f>
        <v>0</v>
      </c>
      <c r="H22" s="15"/>
      <c r="I22" s="23" t="n">
        <f aca="false">SUM(E22:H22)</f>
        <v>0</v>
      </c>
      <c r="J22" s="15"/>
      <c r="K22" s="15"/>
      <c r="L22" s="15"/>
      <c r="M22" s="23" t="n">
        <f aca="false">I22-J22-K22-L22</f>
        <v>0</v>
      </c>
      <c r="N22" s="23" t="n">
        <f aca="false">(E22+F22)*Datos!$B$11+G22+H22</f>
        <v>0</v>
      </c>
      <c r="O22" s="11"/>
    </row>
    <row r="23" customFormat="false" ht="15" hidden="false" customHeight="false" outlineLevel="0" collapsed="false">
      <c r="A23" s="18" t="n">
        <f aca="false">Plantilla!A23</f>
        <v>17</v>
      </c>
      <c r="B23" s="11" t="str">
        <f aca="false">Asistencia!B23</f>
        <v/>
      </c>
      <c r="C23" s="23" t="n">
        <f aca="false">IF(Plantilla!H23="",0,Plantilla!H23)</f>
        <v>0</v>
      </c>
      <c r="D23" s="18" t="n">
        <f aca="false">MIN(6,Asistencia!L23)</f>
        <v>0</v>
      </c>
      <c r="E23" s="23" t="n">
        <f aca="false">C23*D23</f>
        <v>0</v>
      </c>
      <c r="F23" s="23" t="n">
        <f aca="false">C23*D23/6</f>
        <v>0</v>
      </c>
      <c r="G23" s="23" t="n">
        <f aca="false">C23/Datos!$B$9*(2*Asistencia!N23+3*Asistencia!O23)</f>
        <v>0</v>
      </c>
      <c r="H23" s="15"/>
      <c r="I23" s="23" t="n">
        <f aca="false">SUM(E23:H23)</f>
        <v>0</v>
      </c>
      <c r="J23" s="15"/>
      <c r="K23" s="15"/>
      <c r="L23" s="15"/>
      <c r="M23" s="23" t="n">
        <f aca="false">I23-J23-K23-L23</f>
        <v>0</v>
      </c>
      <c r="N23" s="23" t="n">
        <f aca="false">(E23+F23)*Datos!$B$11+G23+H23</f>
        <v>0</v>
      </c>
      <c r="O23" s="11"/>
    </row>
    <row r="24" customFormat="false" ht="15" hidden="false" customHeight="false" outlineLevel="0" collapsed="false">
      <c r="A24" s="18" t="n">
        <f aca="false">Plantilla!A24</f>
        <v>18</v>
      </c>
      <c r="B24" s="11" t="str">
        <f aca="false">Asistencia!B24</f>
        <v/>
      </c>
      <c r="C24" s="23" t="n">
        <f aca="false">IF(Plantilla!H24="",0,Plantilla!H24)</f>
        <v>0</v>
      </c>
      <c r="D24" s="18" t="n">
        <f aca="false">MIN(6,Asistencia!L24)</f>
        <v>0</v>
      </c>
      <c r="E24" s="23" t="n">
        <f aca="false">C24*D24</f>
        <v>0</v>
      </c>
      <c r="F24" s="23" t="n">
        <f aca="false">C24*D24/6</f>
        <v>0</v>
      </c>
      <c r="G24" s="23" t="n">
        <f aca="false">C24/Datos!$B$9*(2*Asistencia!N24+3*Asistencia!O24)</f>
        <v>0</v>
      </c>
      <c r="H24" s="15"/>
      <c r="I24" s="23" t="n">
        <f aca="false">SUM(E24:H24)</f>
        <v>0</v>
      </c>
      <c r="J24" s="15"/>
      <c r="K24" s="15"/>
      <c r="L24" s="15"/>
      <c r="M24" s="23" t="n">
        <f aca="false">I24-J24-K24-L24</f>
        <v>0</v>
      </c>
      <c r="N24" s="23" t="n">
        <f aca="false">(E24+F24)*Datos!$B$11+G24+H24</f>
        <v>0</v>
      </c>
      <c r="O24" s="11"/>
    </row>
    <row r="25" customFormat="false" ht="15" hidden="false" customHeight="false" outlineLevel="0" collapsed="false">
      <c r="A25" s="18" t="n">
        <f aca="false">Plantilla!A25</f>
        <v>19</v>
      </c>
      <c r="B25" s="11" t="str">
        <f aca="false">Asistencia!B25</f>
        <v/>
      </c>
      <c r="C25" s="23" t="n">
        <f aca="false">IF(Plantilla!H25="",0,Plantilla!H25)</f>
        <v>0</v>
      </c>
      <c r="D25" s="18" t="n">
        <f aca="false">MIN(6,Asistencia!L25)</f>
        <v>0</v>
      </c>
      <c r="E25" s="23" t="n">
        <f aca="false">C25*D25</f>
        <v>0</v>
      </c>
      <c r="F25" s="23" t="n">
        <f aca="false">C25*D25/6</f>
        <v>0</v>
      </c>
      <c r="G25" s="23" t="n">
        <f aca="false">C25/Datos!$B$9*(2*Asistencia!N25+3*Asistencia!O25)</f>
        <v>0</v>
      </c>
      <c r="H25" s="15"/>
      <c r="I25" s="23" t="n">
        <f aca="false">SUM(E25:H25)</f>
        <v>0</v>
      </c>
      <c r="J25" s="15"/>
      <c r="K25" s="15"/>
      <c r="L25" s="15"/>
      <c r="M25" s="23" t="n">
        <f aca="false">I25-J25-K25-L25</f>
        <v>0</v>
      </c>
      <c r="N25" s="23" t="n">
        <f aca="false">(E25+F25)*Datos!$B$11+G25+H25</f>
        <v>0</v>
      </c>
      <c r="O25" s="11"/>
    </row>
    <row r="26" customFormat="false" ht="15" hidden="false" customHeight="false" outlineLevel="0" collapsed="false">
      <c r="A26" s="18" t="n">
        <f aca="false">Plantilla!A26</f>
        <v>20</v>
      </c>
      <c r="B26" s="11" t="str">
        <f aca="false">Asistencia!B26</f>
        <v/>
      </c>
      <c r="C26" s="23" t="n">
        <f aca="false">IF(Plantilla!H26="",0,Plantilla!H26)</f>
        <v>0</v>
      </c>
      <c r="D26" s="18" t="n">
        <f aca="false">MIN(6,Asistencia!L26)</f>
        <v>0</v>
      </c>
      <c r="E26" s="23" t="n">
        <f aca="false">C26*D26</f>
        <v>0</v>
      </c>
      <c r="F26" s="23" t="n">
        <f aca="false">C26*D26/6</f>
        <v>0</v>
      </c>
      <c r="G26" s="23" t="n">
        <f aca="false">C26/Datos!$B$9*(2*Asistencia!N26+3*Asistencia!O26)</f>
        <v>0</v>
      </c>
      <c r="H26" s="15"/>
      <c r="I26" s="23" t="n">
        <f aca="false">SUM(E26:H26)</f>
        <v>0</v>
      </c>
      <c r="J26" s="15"/>
      <c r="K26" s="15"/>
      <c r="L26" s="15"/>
      <c r="M26" s="23" t="n">
        <f aca="false">I26-J26-K26-L26</f>
        <v>0</v>
      </c>
      <c r="N26" s="23" t="n">
        <f aca="false">(E26+F26)*Datos!$B$11+G26+H26</f>
        <v>0</v>
      </c>
      <c r="O26" s="11"/>
    </row>
    <row r="27" customFormat="false" ht="15" hidden="false" customHeight="false" outlineLevel="0" collapsed="false">
      <c r="A27" s="18" t="n">
        <f aca="false">Plantilla!A27</f>
        <v>21</v>
      </c>
      <c r="B27" s="11" t="str">
        <f aca="false">Asistencia!B27</f>
        <v/>
      </c>
      <c r="C27" s="23" t="n">
        <f aca="false">IF(Plantilla!H27="",0,Plantilla!H27)</f>
        <v>0</v>
      </c>
      <c r="D27" s="18" t="n">
        <f aca="false">MIN(6,Asistencia!L27)</f>
        <v>0</v>
      </c>
      <c r="E27" s="23" t="n">
        <f aca="false">C27*D27</f>
        <v>0</v>
      </c>
      <c r="F27" s="23" t="n">
        <f aca="false">C27*D27/6</f>
        <v>0</v>
      </c>
      <c r="G27" s="23" t="n">
        <f aca="false">C27/Datos!$B$9*(2*Asistencia!N27+3*Asistencia!O27)</f>
        <v>0</v>
      </c>
      <c r="H27" s="15"/>
      <c r="I27" s="23" t="n">
        <f aca="false">SUM(E27:H27)</f>
        <v>0</v>
      </c>
      <c r="J27" s="15"/>
      <c r="K27" s="15"/>
      <c r="L27" s="15"/>
      <c r="M27" s="23" t="n">
        <f aca="false">I27-J27-K27-L27</f>
        <v>0</v>
      </c>
      <c r="N27" s="23" t="n">
        <f aca="false">(E27+F27)*Datos!$B$11+G27+H27</f>
        <v>0</v>
      </c>
      <c r="O27" s="11"/>
    </row>
    <row r="28" customFormat="false" ht="15" hidden="false" customHeight="false" outlineLevel="0" collapsed="false">
      <c r="A28" s="18" t="n">
        <f aca="false">Plantilla!A28</f>
        <v>22</v>
      </c>
      <c r="B28" s="11" t="str">
        <f aca="false">Asistencia!B28</f>
        <v/>
      </c>
      <c r="C28" s="23" t="n">
        <f aca="false">IF(Plantilla!H28="",0,Plantilla!H28)</f>
        <v>0</v>
      </c>
      <c r="D28" s="18" t="n">
        <f aca="false">MIN(6,Asistencia!L28)</f>
        <v>0</v>
      </c>
      <c r="E28" s="23" t="n">
        <f aca="false">C28*D28</f>
        <v>0</v>
      </c>
      <c r="F28" s="23" t="n">
        <f aca="false">C28*D28/6</f>
        <v>0</v>
      </c>
      <c r="G28" s="23" t="n">
        <f aca="false">C28/Datos!$B$9*(2*Asistencia!N28+3*Asistencia!O28)</f>
        <v>0</v>
      </c>
      <c r="H28" s="15"/>
      <c r="I28" s="23" t="n">
        <f aca="false">SUM(E28:H28)</f>
        <v>0</v>
      </c>
      <c r="J28" s="15"/>
      <c r="K28" s="15"/>
      <c r="L28" s="15"/>
      <c r="M28" s="23" t="n">
        <f aca="false">I28-J28-K28-L28</f>
        <v>0</v>
      </c>
      <c r="N28" s="23" t="n">
        <f aca="false">(E28+F28)*Datos!$B$11+G28+H28</f>
        <v>0</v>
      </c>
      <c r="O28" s="11"/>
    </row>
    <row r="29" customFormat="false" ht="15" hidden="false" customHeight="false" outlineLevel="0" collapsed="false">
      <c r="A29" s="18" t="n">
        <f aca="false">Plantilla!A29</f>
        <v>23</v>
      </c>
      <c r="B29" s="11" t="str">
        <f aca="false">Asistencia!B29</f>
        <v/>
      </c>
      <c r="C29" s="23" t="n">
        <f aca="false">IF(Plantilla!H29="",0,Plantilla!H29)</f>
        <v>0</v>
      </c>
      <c r="D29" s="18" t="n">
        <f aca="false">MIN(6,Asistencia!L29)</f>
        <v>0</v>
      </c>
      <c r="E29" s="23" t="n">
        <f aca="false">C29*D29</f>
        <v>0</v>
      </c>
      <c r="F29" s="23" t="n">
        <f aca="false">C29*D29/6</f>
        <v>0</v>
      </c>
      <c r="G29" s="23" t="n">
        <f aca="false">C29/Datos!$B$9*(2*Asistencia!N29+3*Asistencia!O29)</f>
        <v>0</v>
      </c>
      <c r="H29" s="15"/>
      <c r="I29" s="23" t="n">
        <f aca="false">SUM(E29:H29)</f>
        <v>0</v>
      </c>
      <c r="J29" s="15"/>
      <c r="K29" s="15"/>
      <c r="L29" s="15"/>
      <c r="M29" s="23" t="n">
        <f aca="false">I29-J29-K29-L29</f>
        <v>0</v>
      </c>
      <c r="N29" s="23" t="n">
        <f aca="false">(E29+F29)*Datos!$B$11+G29+H29</f>
        <v>0</v>
      </c>
      <c r="O29" s="11"/>
    </row>
    <row r="30" customFormat="false" ht="15" hidden="false" customHeight="false" outlineLevel="0" collapsed="false">
      <c r="A30" s="18" t="n">
        <f aca="false">Plantilla!A30</f>
        <v>24</v>
      </c>
      <c r="B30" s="11" t="str">
        <f aca="false">Asistencia!B30</f>
        <v/>
      </c>
      <c r="C30" s="23" t="n">
        <f aca="false">IF(Plantilla!H30="",0,Plantilla!H30)</f>
        <v>0</v>
      </c>
      <c r="D30" s="18" t="n">
        <f aca="false">MIN(6,Asistencia!L30)</f>
        <v>0</v>
      </c>
      <c r="E30" s="23" t="n">
        <f aca="false">C30*D30</f>
        <v>0</v>
      </c>
      <c r="F30" s="23" t="n">
        <f aca="false">C30*D30/6</f>
        <v>0</v>
      </c>
      <c r="G30" s="23" t="n">
        <f aca="false">C30/Datos!$B$9*(2*Asistencia!N30+3*Asistencia!O30)</f>
        <v>0</v>
      </c>
      <c r="H30" s="15"/>
      <c r="I30" s="23" t="n">
        <f aca="false">SUM(E30:H30)</f>
        <v>0</v>
      </c>
      <c r="J30" s="15"/>
      <c r="K30" s="15"/>
      <c r="L30" s="15"/>
      <c r="M30" s="23" t="n">
        <f aca="false">I30-J30-K30-L30</f>
        <v>0</v>
      </c>
      <c r="N30" s="23" t="n">
        <f aca="false">(E30+F30)*Datos!$B$11+G30+H30</f>
        <v>0</v>
      </c>
      <c r="O30" s="11"/>
    </row>
    <row r="31" customFormat="false" ht="15" hidden="false" customHeight="false" outlineLevel="0" collapsed="false">
      <c r="A31" s="18" t="n">
        <f aca="false">Plantilla!A31</f>
        <v>25</v>
      </c>
      <c r="B31" s="11" t="str">
        <f aca="false">Asistencia!B31</f>
        <v/>
      </c>
      <c r="C31" s="23" t="n">
        <f aca="false">IF(Plantilla!H31="",0,Plantilla!H31)</f>
        <v>0</v>
      </c>
      <c r="D31" s="18" t="n">
        <f aca="false">MIN(6,Asistencia!L31)</f>
        <v>0</v>
      </c>
      <c r="E31" s="23" t="n">
        <f aca="false">C31*D31</f>
        <v>0</v>
      </c>
      <c r="F31" s="23" t="n">
        <f aca="false">C31*D31/6</f>
        <v>0</v>
      </c>
      <c r="G31" s="23" t="n">
        <f aca="false">C31/Datos!$B$9*(2*Asistencia!N31+3*Asistencia!O31)</f>
        <v>0</v>
      </c>
      <c r="H31" s="15"/>
      <c r="I31" s="23" t="n">
        <f aca="false">SUM(E31:H31)</f>
        <v>0</v>
      </c>
      <c r="J31" s="15"/>
      <c r="K31" s="15"/>
      <c r="L31" s="15"/>
      <c r="M31" s="23" t="n">
        <f aca="false">I31-J31-K31-L31</f>
        <v>0</v>
      </c>
      <c r="N31" s="23" t="n">
        <f aca="false">(E31+F31)*Datos!$B$11+G31+H31</f>
        <v>0</v>
      </c>
      <c r="O31" s="11"/>
    </row>
    <row r="32" customFormat="false" ht="15" hidden="false" customHeight="false" outlineLevel="0" collapsed="false">
      <c r="A32" s="18" t="n">
        <f aca="false">Plantilla!A32</f>
        <v>26</v>
      </c>
      <c r="B32" s="11" t="str">
        <f aca="false">Asistencia!B32</f>
        <v/>
      </c>
      <c r="C32" s="23" t="n">
        <f aca="false">IF(Plantilla!H32="",0,Plantilla!H32)</f>
        <v>0</v>
      </c>
      <c r="D32" s="18" t="n">
        <f aca="false">MIN(6,Asistencia!L32)</f>
        <v>0</v>
      </c>
      <c r="E32" s="23" t="n">
        <f aca="false">C32*D32</f>
        <v>0</v>
      </c>
      <c r="F32" s="23" t="n">
        <f aca="false">C32*D32/6</f>
        <v>0</v>
      </c>
      <c r="G32" s="23" t="n">
        <f aca="false">C32/Datos!$B$9*(2*Asistencia!N32+3*Asistencia!O32)</f>
        <v>0</v>
      </c>
      <c r="H32" s="15"/>
      <c r="I32" s="23" t="n">
        <f aca="false">SUM(E32:H32)</f>
        <v>0</v>
      </c>
      <c r="J32" s="15"/>
      <c r="K32" s="15"/>
      <c r="L32" s="15"/>
      <c r="M32" s="23" t="n">
        <f aca="false">I32-J32-K32-L32</f>
        <v>0</v>
      </c>
      <c r="N32" s="23" t="n">
        <f aca="false">(E32+F32)*Datos!$B$11+G32+H32</f>
        <v>0</v>
      </c>
      <c r="O32" s="11"/>
    </row>
    <row r="33" customFormat="false" ht="15" hidden="false" customHeight="false" outlineLevel="0" collapsed="false">
      <c r="A33" s="18" t="n">
        <f aca="false">Plantilla!A33</f>
        <v>27</v>
      </c>
      <c r="B33" s="11" t="str">
        <f aca="false">Asistencia!B33</f>
        <v/>
      </c>
      <c r="C33" s="23" t="n">
        <f aca="false">IF(Plantilla!H33="",0,Plantilla!H33)</f>
        <v>0</v>
      </c>
      <c r="D33" s="18" t="n">
        <f aca="false">MIN(6,Asistencia!L33)</f>
        <v>0</v>
      </c>
      <c r="E33" s="23" t="n">
        <f aca="false">C33*D33</f>
        <v>0</v>
      </c>
      <c r="F33" s="23" t="n">
        <f aca="false">C33*D33/6</f>
        <v>0</v>
      </c>
      <c r="G33" s="23" t="n">
        <f aca="false">C33/Datos!$B$9*(2*Asistencia!N33+3*Asistencia!O33)</f>
        <v>0</v>
      </c>
      <c r="H33" s="15"/>
      <c r="I33" s="23" t="n">
        <f aca="false">SUM(E33:H33)</f>
        <v>0</v>
      </c>
      <c r="J33" s="15"/>
      <c r="K33" s="15"/>
      <c r="L33" s="15"/>
      <c r="M33" s="23" t="n">
        <f aca="false">I33-J33-K33-L33</f>
        <v>0</v>
      </c>
      <c r="N33" s="23" t="n">
        <f aca="false">(E33+F33)*Datos!$B$11+G33+H33</f>
        <v>0</v>
      </c>
      <c r="O33" s="11"/>
    </row>
    <row r="34" customFormat="false" ht="15" hidden="false" customHeight="false" outlineLevel="0" collapsed="false">
      <c r="A34" s="18" t="n">
        <f aca="false">Plantilla!A34</f>
        <v>28</v>
      </c>
      <c r="B34" s="11" t="str">
        <f aca="false">Asistencia!B34</f>
        <v/>
      </c>
      <c r="C34" s="23" t="n">
        <f aca="false">IF(Plantilla!H34="",0,Plantilla!H34)</f>
        <v>0</v>
      </c>
      <c r="D34" s="18" t="n">
        <f aca="false">MIN(6,Asistencia!L34)</f>
        <v>0</v>
      </c>
      <c r="E34" s="23" t="n">
        <f aca="false">C34*D34</f>
        <v>0</v>
      </c>
      <c r="F34" s="23" t="n">
        <f aca="false">C34*D34/6</f>
        <v>0</v>
      </c>
      <c r="G34" s="23" t="n">
        <f aca="false">C34/Datos!$B$9*(2*Asistencia!N34+3*Asistencia!O34)</f>
        <v>0</v>
      </c>
      <c r="H34" s="15"/>
      <c r="I34" s="23" t="n">
        <f aca="false">SUM(E34:H34)</f>
        <v>0</v>
      </c>
      <c r="J34" s="15"/>
      <c r="K34" s="15"/>
      <c r="L34" s="15"/>
      <c r="M34" s="23" t="n">
        <f aca="false">I34-J34-K34-L34</f>
        <v>0</v>
      </c>
      <c r="N34" s="23" t="n">
        <f aca="false">(E34+F34)*Datos!$B$11+G34+H34</f>
        <v>0</v>
      </c>
      <c r="O34" s="11"/>
    </row>
    <row r="35" customFormat="false" ht="15" hidden="false" customHeight="false" outlineLevel="0" collapsed="false">
      <c r="A35" s="18" t="n">
        <f aca="false">Plantilla!A35</f>
        <v>29</v>
      </c>
      <c r="B35" s="11" t="str">
        <f aca="false">Asistencia!B35</f>
        <v/>
      </c>
      <c r="C35" s="23" t="n">
        <f aca="false">IF(Plantilla!H35="",0,Plantilla!H35)</f>
        <v>0</v>
      </c>
      <c r="D35" s="18" t="n">
        <f aca="false">MIN(6,Asistencia!L35)</f>
        <v>0</v>
      </c>
      <c r="E35" s="23" t="n">
        <f aca="false">C35*D35</f>
        <v>0</v>
      </c>
      <c r="F35" s="23" t="n">
        <f aca="false">C35*D35/6</f>
        <v>0</v>
      </c>
      <c r="G35" s="23" t="n">
        <f aca="false">C35/Datos!$B$9*(2*Asistencia!N35+3*Asistencia!O35)</f>
        <v>0</v>
      </c>
      <c r="H35" s="15"/>
      <c r="I35" s="23" t="n">
        <f aca="false">SUM(E35:H35)</f>
        <v>0</v>
      </c>
      <c r="J35" s="15"/>
      <c r="K35" s="15"/>
      <c r="L35" s="15"/>
      <c r="M35" s="23" t="n">
        <f aca="false">I35-J35-K35-L35</f>
        <v>0</v>
      </c>
      <c r="N35" s="23" t="n">
        <f aca="false">(E35+F35)*Datos!$B$11+G35+H35</f>
        <v>0</v>
      </c>
      <c r="O35" s="11"/>
    </row>
    <row r="36" customFormat="false" ht="15" hidden="false" customHeight="false" outlineLevel="0" collapsed="false">
      <c r="A36" s="18" t="n">
        <f aca="false">Plantilla!A36</f>
        <v>30</v>
      </c>
      <c r="B36" s="11" t="str">
        <f aca="false">Asistencia!B36</f>
        <v/>
      </c>
      <c r="C36" s="23" t="n">
        <f aca="false">IF(Plantilla!H36="",0,Plantilla!H36)</f>
        <v>0</v>
      </c>
      <c r="D36" s="18" t="n">
        <f aca="false">MIN(6,Asistencia!L36)</f>
        <v>0</v>
      </c>
      <c r="E36" s="23" t="n">
        <f aca="false">C36*D36</f>
        <v>0</v>
      </c>
      <c r="F36" s="23" t="n">
        <f aca="false">C36*D36/6</f>
        <v>0</v>
      </c>
      <c r="G36" s="23" t="n">
        <f aca="false">C36/Datos!$B$9*(2*Asistencia!N36+3*Asistencia!O36)</f>
        <v>0</v>
      </c>
      <c r="H36" s="15"/>
      <c r="I36" s="23" t="n">
        <f aca="false">SUM(E36:H36)</f>
        <v>0</v>
      </c>
      <c r="J36" s="15"/>
      <c r="K36" s="15"/>
      <c r="L36" s="15"/>
      <c r="M36" s="23" t="n">
        <f aca="false">I36-J36-K36-L36</f>
        <v>0</v>
      </c>
      <c r="N36" s="23" t="n">
        <f aca="false">(E36+F36)*Datos!$B$11+G36+H36</f>
        <v>0</v>
      </c>
      <c r="O36" s="11"/>
    </row>
    <row r="37" customFormat="false" ht="15" hidden="false" customHeight="false" outlineLevel="0" collapsed="false">
      <c r="A37" s="18" t="n">
        <f aca="false">Plantilla!A37</f>
        <v>31</v>
      </c>
      <c r="B37" s="11" t="str">
        <f aca="false">Asistencia!B37</f>
        <v/>
      </c>
      <c r="C37" s="23" t="n">
        <f aca="false">IF(Plantilla!H37="",0,Plantilla!H37)</f>
        <v>0</v>
      </c>
      <c r="D37" s="18" t="n">
        <f aca="false">MIN(6,Asistencia!L37)</f>
        <v>0</v>
      </c>
      <c r="E37" s="23" t="n">
        <f aca="false">C37*D37</f>
        <v>0</v>
      </c>
      <c r="F37" s="23" t="n">
        <f aca="false">C37*D37/6</f>
        <v>0</v>
      </c>
      <c r="G37" s="23" t="n">
        <f aca="false">C37/Datos!$B$9*(2*Asistencia!N37+3*Asistencia!O37)</f>
        <v>0</v>
      </c>
      <c r="H37" s="15"/>
      <c r="I37" s="23" t="n">
        <f aca="false">SUM(E37:H37)</f>
        <v>0</v>
      </c>
      <c r="J37" s="15"/>
      <c r="K37" s="15"/>
      <c r="L37" s="15"/>
      <c r="M37" s="23" t="n">
        <f aca="false">I37-J37-K37-L37</f>
        <v>0</v>
      </c>
      <c r="N37" s="23" t="n">
        <f aca="false">(E37+F37)*Datos!$B$11+G37+H37</f>
        <v>0</v>
      </c>
      <c r="O37" s="11"/>
    </row>
    <row r="38" customFormat="false" ht="15" hidden="false" customHeight="false" outlineLevel="0" collapsed="false">
      <c r="A38" s="18" t="n">
        <f aca="false">Plantilla!A38</f>
        <v>32</v>
      </c>
      <c r="B38" s="11" t="str">
        <f aca="false">Asistencia!B38</f>
        <v/>
      </c>
      <c r="C38" s="23" t="n">
        <f aca="false">IF(Plantilla!H38="",0,Plantilla!H38)</f>
        <v>0</v>
      </c>
      <c r="D38" s="18" t="n">
        <f aca="false">MIN(6,Asistencia!L38)</f>
        <v>0</v>
      </c>
      <c r="E38" s="23" t="n">
        <f aca="false">C38*D38</f>
        <v>0</v>
      </c>
      <c r="F38" s="23" t="n">
        <f aca="false">C38*D38/6</f>
        <v>0</v>
      </c>
      <c r="G38" s="23" t="n">
        <f aca="false">C38/Datos!$B$9*(2*Asistencia!N38+3*Asistencia!O38)</f>
        <v>0</v>
      </c>
      <c r="H38" s="15"/>
      <c r="I38" s="23" t="n">
        <f aca="false">SUM(E38:H38)</f>
        <v>0</v>
      </c>
      <c r="J38" s="15"/>
      <c r="K38" s="15"/>
      <c r="L38" s="15"/>
      <c r="M38" s="23" t="n">
        <f aca="false">I38-J38-K38-L38</f>
        <v>0</v>
      </c>
      <c r="N38" s="23" t="n">
        <f aca="false">(E38+F38)*Datos!$B$11+G38+H38</f>
        <v>0</v>
      </c>
      <c r="O38" s="11"/>
    </row>
    <row r="39" customFormat="false" ht="15" hidden="false" customHeight="false" outlineLevel="0" collapsed="false">
      <c r="A39" s="18" t="n">
        <f aca="false">Plantilla!A39</f>
        <v>33</v>
      </c>
      <c r="B39" s="11" t="str">
        <f aca="false">Asistencia!B39</f>
        <v/>
      </c>
      <c r="C39" s="23" t="n">
        <f aca="false">IF(Plantilla!H39="",0,Plantilla!H39)</f>
        <v>0</v>
      </c>
      <c r="D39" s="18" t="n">
        <f aca="false">MIN(6,Asistencia!L39)</f>
        <v>0</v>
      </c>
      <c r="E39" s="23" t="n">
        <f aca="false">C39*D39</f>
        <v>0</v>
      </c>
      <c r="F39" s="23" t="n">
        <f aca="false">C39*D39/6</f>
        <v>0</v>
      </c>
      <c r="G39" s="23" t="n">
        <f aca="false">C39/Datos!$B$9*(2*Asistencia!N39+3*Asistencia!O39)</f>
        <v>0</v>
      </c>
      <c r="H39" s="15"/>
      <c r="I39" s="23" t="n">
        <f aca="false">SUM(E39:H39)</f>
        <v>0</v>
      </c>
      <c r="J39" s="15"/>
      <c r="K39" s="15"/>
      <c r="L39" s="15"/>
      <c r="M39" s="23" t="n">
        <f aca="false">I39-J39-K39-L39</f>
        <v>0</v>
      </c>
      <c r="N39" s="23" t="n">
        <f aca="false">(E39+F39)*Datos!$B$11+G39+H39</f>
        <v>0</v>
      </c>
      <c r="O39" s="11"/>
    </row>
    <row r="40" customFormat="false" ht="15" hidden="false" customHeight="false" outlineLevel="0" collapsed="false">
      <c r="A40" s="18" t="n">
        <f aca="false">Plantilla!A40</f>
        <v>34</v>
      </c>
      <c r="B40" s="11" t="str">
        <f aca="false">Asistencia!B40</f>
        <v/>
      </c>
      <c r="C40" s="23" t="n">
        <f aca="false">IF(Plantilla!H40="",0,Plantilla!H40)</f>
        <v>0</v>
      </c>
      <c r="D40" s="18" t="n">
        <f aca="false">MIN(6,Asistencia!L40)</f>
        <v>0</v>
      </c>
      <c r="E40" s="23" t="n">
        <f aca="false">C40*D40</f>
        <v>0</v>
      </c>
      <c r="F40" s="23" t="n">
        <f aca="false">C40*D40/6</f>
        <v>0</v>
      </c>
      <c r="G40" s="23" t="n">
        <f aca="false">C40/Datos!$B$9*(2*Asistencia!N40+3*Asistencia!O40)</f>
        <v>0</v>
      </c>
      <c r="H40" s="15"/>
      <c r="I40" s="23" t="n">
        <f aca="false">SUM(E40:H40)</f>
        <v>0</v>
      </c>
      <c r="J40" s="15"/>
      <c r="K40" s="15"/>
      <c r="L40" s="15"/>
      <c r="M40" s="23" t="n">
        <f aca="false">I40-J40-K40-L40</f>
        <v>0</v>
      </c>
      <c r="N40" s="23" t="n">
        <f aca="false">(E40+F40)*Datos!$B$11+G40+H40</f>
        <v>0</v>
      </c>
      <c r="O40" s="11"/>
    </row>
    <row r="41" customFormat="false" ht="15" hidden="false" customHeight="false" outlineLevel="0" collapsed="false">
      <c r="A41" s="18" t="n">
        <f aca="false">Plantilla!A41</f>
        <v>35</v>
      </c>
      <c r="B41" s="11" t="str">
        <f aca="false">Asistencia!B41</f>
        <v/>
      </c>
      <c r="C41" s="23" t="n">
        <f aca="false">IF(Plantilla!H41="",0,Plantilla!H41)</f>
        <v>0</v>
      </c>
      <c r="D41" s="18" t="n">
        <f aca="false">MIN(6,Asistencia!L41)</f>
        <v>0</v>
      </c>
      <c r="E41" s="23" t="n">
        <f aca="false">C41*D41</f>
        <v>0</v>
      </c>
      <c r="F41" s="23" t="n">
        <f aca="false">C41*D41/6</f>
        <v>0</v>
      </c>
      <c r="G41" s="23" t="n">
        <f aca="false">C41/Datos!$B$9*(2*Asistencia!N41+3*Asistencia!O41)</f>
        <v>0</v>
      </c>
      <c r="H41" s="15"/>
      <c r="I41" s="23" t="n">
        <f aca="false">SUM(E41:H41)</f>
        <v>0</v>
      </c>
      <c r="J41" s="15"/>
      <c r="K41" s="15"/>
      <c r="L41" s="15"/>
      <c r="M41" s="23" t="n">
        <f aca="false">I41-J41-K41-L41</f>
        <v>0</v>
      </c>
      <c r="N41" s="23" t="n">
        <f aca="false">(E41+F41)*Datos!$B$11+G41+H41</f>
        <v>0</v>
      </c>
      <c r="O41" s="11"/>
    </row>
    <row r="42" customFormat="false" ht="15" hidden="false" customHeight="false" outlineLevel="0" collapsed="false">
      <c r="A42" s="18" t="n">
        <f aca="false">Plantilla!A42</f>
        <v>36</v>
      </c>
      <c r="B42" s="11" t="str">
        <f aca="false">Asistencia!B42</f>
        <v/>
      </c>
      <c r="C42" s="23" t="n">
        <f aca="false">IF(Plantilla!H42="",0,Plantilla!H42)</f>
        <v>0</v>
      </c>
      <c r="D42" s="18" t="n">
        <f aca="false">MIN(6,Asistencia!L42)</f>
        <v>0</v>
      </c>
      <c r="E42" s="23" t="n">
        <f aca="false">C42*D42</f>
        <v>0</v>
      </c>
      <c r="F42" s="23" t="n">
        <f aca="false">C42*D42/6</f>
        <v>0</v>
      </c>
      <c r="G42" s="23" t="n">
        <f aca="false">C42/Datos!$B$9*(2*Asistencia!N42+3*Asistencia!O42)</f>
        <v>0</v>
      </c>
      <c r="H42" s="15"/>
      <c r="I42" s="23" t="n">
        <f aca="false">SUM(E42:H42)</f>
        <v>0</v>
      </c>
      <c r="J42" s="15"/>
      <c r="K42" s="15"/>
      <c r="L42" s="15"/>
      <c r="M42" s="23" t="n">
        <f aca="false">I42-J42-K42-L42</f>
        <v>0</v>
      </c>
      <c r="N42" s="23" t="n">
        <f aca="false">(E42+F42)*Datos!$B$11+G42+H42</f>
        <v>0</v>
      </c>
      <c r="O42" s="11"/>
    </row>
    <row r="43" customFormat="false" ht="15" hidden="false" customHeight="false" outlineLevel="0" collapsed="false">
      <c r="A43" s="18" t="n">
        <f aca="false">Plantilla!A43</f>
        <v>37</v>
      </c>
      <c r="B43" s="11" t="str">
        <f aca="false">Asistencia!B43</f>
        <v/>
      </c>
      <c r="C43" s="23" t="n">
        <f aca="false">IF(Plantilla!H43="",0,Plantilla!H43)</f>
        <v>0</v>
      </c>
      <c r="D43" s="18" t="n">
        <f aca="false">MIN(6,Asistencia!L43)</f>
        <v>0</v>
      </c>
      <c r="E43" s="23" t="n">
        <f aca="false">C43*D43</f>
        <v>0</v>
      </c>
      <c r="F43" s="23" t="n">
        <f aca="false">C43*D43/6</f>
        <v>0</v>
      </c>
      <c r="G43" s="23" t="n">
        <f aca="false">C43/Datos!$B$9*(2*Asistencia!N43+3*Asistencia!O43)</f>
        <v>0</v>
      </c>
      <c r="H43" s="15"/>
      <c r="I43" s="23" t="n">
        <f aca="false">SUM(E43:H43)</f>
        <v>0</v>
      </c>
      <c r="J43" s="15"/>
      <c r="K43" s="15"/>
      <c r="L43" s="15"/>
      <c r="M43" s="23" t="n">
        <f aca="false">I43-J43-K43-L43</f>
        <v>0</v>
      </c>
      <c r="N43" s="23" t="n">
        <f aca="false">(E43+F43)*Datos!$B$11+G43+H43</f>
        <v>0</v>
      </c>
      <c r="O43" s="11"/>
    </row>
    <row r="44" customFormat="false" ht="15" hidden="false" customHeight="false" outlineLevel="0" collapsed="false">
      <c r="A44" s="18" t="n">
        <f aca="false">Plantilla!A44</f>
        <v>38</v>
      </c>
      <c r="B44" s="11" t="str">
        <f aca="false">Asistencia!B44</f>
        <v/>
      </c>
      <c r="C44" s="23" t="n">
        <f aca="false">IF(Plantilla!H44="",0,Plantilla!H44)</f>
        <v>0</v>
      </c>
      <c r="D44" s="18" t="n">
        <f aca="false">MIN(6,Asistencia!L44)</f>
        <v>0</v>
      </c>
      <c r="E44" s="23" t="n">
        <f aca="false">C44*D44</f>
        <v>0</v>
      </c>
      <c r="F44" s="23" t="n">
        <f aca="false">C44*D44/6</f>
        <v>0</v>
      </c>
      <c r="G44" s="23" t="n">
        <f aca="false">C44/Datos!$B$9*(2*Asistencia!N44+3*Asistencia!O44)</f>
        <v>0</v>
      </c>
      <c r="H44" s="15"/>
      <c r="I44" s="23" t="n">
        <f aca="false">SUM(E44:H44)</f>
        <v>0</v>
      </c>
      <c r="J44" s="15"/>
      <c r="K44" s="15"/>
      <c r="L44" s="15"/>
      <c r="M44" s="23" t="n">
        <f aca="false">I44-J44-K44-L44</f>
        <v>0</v>
      </c>
      <c r="N44" s="23" t="n">
        <f aca="false">(E44+F44)*Datos!$B$11+G44+H44</f>
        <v>0</v>
      </c>
      <c r="O44" s="11"/>
    </row>
    <row r="45" customFormat="false" ht="15" hidden="false" customHeight="false" outlineLevel="0" collapsed="false">
      <c r="A45" s="18" t="n">
        <f aca="false">Plantilla!A45</f>
        <v>39</v>
      </c>
      <c r="B45" s="11" t="str">
        <f aca="false">Asistencia!B45</f>
        <v/>
      </c>
      <c r="C45" s="23" t="n">
        <f aca="false">IF(Plantilla!H45="",0,Plantilla!H45)</f>
        <v>0</v>
      </c>
      <c r="D45" s="18" t="n">
        <f aca="false">MIN(6,Asistencia!L45)</f>
        <v>0</v>
      </c>
      <c r="E45" s="23" t="n">
        <f aca="false">C45*D45</f>
        <v>0</v>
      </c>
      <c r="F45" s="23" t="n">
        <f aca="false">C45*D45/6</f>
        <v>0</v>
      </c>
      <c r="G45" s="23" t="n">
        <f aca="false">C45/Datos!$B$9*(2*Asistencia!N45+3*Asistencia!O45)</f>
        <v>0</v>
      </c>
      <c r="H45" s="15"/>
      <c r="I45" s="23" t="n">
        <f aca="false">SUM(E45:H45)</f>
        <v>0</v>
      </c>
      <c r="J45" s="15"/>
      <c r="K45" s="15"/>
      <c r="L45" s="15"/>
      <c r="M45" s="23" t="n">
        <f aca="false">I45-J45-K45-L45</f>
        <v>0</v>
      </c>
      <c r="N45" s="23" t="n">
        <f aca="false">(E45+F45)*Datos!$B$11+G45+H45</f>
        <v>0</v>
      </c>
      <c r="O45" s="11"/>
    </row>
    <row r="46" customFormat="false" ht="15" hidden="false" customHeight="false" outlineLevel="0" collapsed="false">
      <c r="A46" s="18" t="n">
        <f aca="false">Plantilla!A46</f>
        <v>40</v>
      </c>
      <c r="B46" s="11" t="str">
        <f aca="false">Asistencia!B46</f>
        <v/>
      </c>
      <c r="C46" s="23" t="n">
        <f aca="false">IF(Plantilla!H46="",0,Plantilla!H46)</f>
        <v>0</v>
      </c>
      <c r="D46" s="18" t="n">
        <f aca="false">MIN(6,Asistencia!L46)</f>
        <v>0</v>
      </c>
      <c r="E46" s="23" t="n">
        <f aca="false">C46*D46</f>
        <v>0</v>
      </c>
      <c r="F46" s="23" t="n">
        <f aca="false">C46*D46/6</f>
        <v>0</v>
      </c>
      <c r="G46" s="23" t="n">
        <f aca="false">C46/Datos!$B$9*(2*Asistencia!N46+3*Asistencia!O46)</f>
        <v>0</v>
      </c>
      <c r="H46" s="15"/>
      <c r="I46" s="23" t="n">
        <f aca="false">SUM(E46:H46)</f>
        <v>0</v>
      </c>
      <c r="J46" s="15"/>
      <c r="K46" s="15"/>
      <c r="L46" s="15"/>
      <c r="M46" s="23" t="n">
        <f aca="false">I46-J46-K46-L46</f>
        <v>0</v>
      </c>
      <c r="N46" s="23" t="n">
        <f aca="false">(E46+F46)*Datos!$B$11+G46+H46</f>
        <v>0</v>
      </c>
      <c r="O46" s="11"/>
    </row>
    <row r="47" customFormat="false" ht="15" hidden="false" customHeight="false" outlineLevel="0" collapsed="false">
      <c r="A47" s="18" t="n">
        <f aca="false">Plantilla!A47</f>
        <v>41</v>
      </c>
      <c r="B47" s="11" t="str">
        <f aca="false">Asistencia!B47</f>
        <v/>
      </c>
      <c r="C47" s="23" t="n">
        <f aca="false">IF(Plantilla!H47="",0,Plantilla!H47)</f>
        <v>0</v>
      </c>
      <c r="D47" s="18" t="n">
        <f aca="false">MIN(6,Asistencia!L47)</f>
        <v>0</v>
      </c>
      <c r="E47" s="23" t="n">
        <f aca="false">C47*D47</f>
        <v>0</v>
      </c>
      <c r="F47" s="23" t="n">
        <f aca="false">C47*D47/6</f>
        <v>0</v>
      </c>
      <c r="G47" s="23" t="n">
        <f aca="false">C47/Datos!$B$9*(2*Asistencia!N47+3*Asistencia!O47)</f>
        <v>0</v>
      </c>
      <c r="H47" s="15"/>
      <c r="I47" s="23" t="n">
        <f aca="false">SUM(E47:H47)</f>
        <v>0</v>
      </c>
      <c r="J47" s="15"/>
      <c r="K47" s="15"/>
      <c r="L47" s="15"/>
      <c r="M47" s="23" t="n">
        <f aca="false">I47-J47-K47-L47</f>
        <v>0</v>
      </c>
      <c r="N47" s="23" t="n">
        <f aca="false">(E47+F47)*Datos!$B$11+G47+H47</f>
        <v>0</v>
      </c>
      <c r="O47" s="11"/>
    </row>
    <row r="48" customFormat="false" ht="15" hidden="false" customHeight="false" outlineLevel="0" collapsed="false">
      <c r="A48" s="18" t="n">
        <f aca="false">Plantilla!A48</f>
        <v>42</v>
      </c>
      <c r="B48" s="11" t="str">
        <f aca="false">Asistencia!B48</f>
        <v/>
      </c>
      <c r="C48" s="23" t="n">
        <f aca="false">IF(Plantilla!H48="",0,Plantilla!H48)</f>
        <v>0</v>
      </c>
      <c r="D48" s="18" t="n">
        <f aca="false">MIN(6,Asistencia!L48)</f>
        <v>0</v>
      </c>
      <c r="E48" s="23" t="n">
        <f aca="false">C48*D48</f>
        <v>0</v>
      </c>
      <c r="F48" s="23" t="n">
        <f aca="false">C48*D48/6</f>
        <v>0</v>
      </c>
      <c r="G48" s="23" t="n">
        <f aca="false">C48/Datos!$B$9*(2*Asistencia!N48+3*Asistencia!O48)</f>
        <v>0</v>
      </c>
      <c r="H48" s="15"/>
      <c r="I48" s="23" t="n">
        <f aca="false">SUM(E48:H48)</f>
        <v>0</v>
      </c>
      <c r="J48" s="15"/>
      <c r="K48" s="15"/>
      <c r="L48" s="15"/>
      <c r="M48" s="23" t="n">
        <f aca="false">I48-J48-K48-L48</f>
        <v>0</v>
      </c>
      <c r="N48" s="23" t="n">
        <f aca="false">(E48+F48)*Datos!$B$11+G48+H48</f>
        <v>0</v>
      </c>
      <c r="O48" s="11"/>
    </row>
    <row r="49" customFormat="false" ht="15" hidden="false" customHeight="false" outlineLevel="0" collapsed="false">
      <c r="A49" s="18" t="n">
        <f aca="false">Plantilla!A49</f>
        <v>43</v>
      </c>
      <c r="B49" s="11" t="str">
        <f aca="false">Asistencia!B49</f>
        <v/>
      </c>
      <c r="C49" s="23" t="n">
        <f aca="false">IF(Plantilla!H49="",0,Plantilla!H49)</f>
        <v>0</v>
      </c>
      <c r="D49" s="18" t="n">
        <f aca="false">MIN(6,Asistencia!L49)</f>
        <v>0</v>
      </c>
      <c r="E49" s="23" t="n">
        <f aca="false">C49*D49</f>
        <v>0</v>
      </c>
      <c r="F49" s="23" t="n">
        <f aca="false">C49*D49/6</f>
        <v>0</v>
      </c>
      <c r="G49" s="23" t="n">
        <f aca="false">C49/Datos!$B$9*(2*Asistencia!N49+3*Asistencia!O49)</f>
        <v>0</v>
      </c>
      <c r="H49" s="15"/>
      <c r="I49" s="23" t="n">
        <f aca="false">SUM(E49:H49)</f>
        <v>0</v>
      </c>
      <c r="J49" s="15"/>
      <c r="K49" s="15"/>
      <c r="L49" s="15"/>
      <c r="M49" s="23" t="n">
        <f aca="false">I49-J49-K49-L49</f>
        <v>0</v>
      </c>
      <c r="N49" s="23" t="n">
        <f aca="false">(E49+F49)*Datos!$B$11+G49+H49</f>
        <v>0</v>
      </c>
      <c r="O49" s="11"/>
    </row>
    <row r="50" customFormat="false" ht="15" hidden="false" customHeight="false" outlineLevel="0" collapsed="false">
      <c r="A50" s="18" t="n">
        <f aca="false">Plantilla!A50</f>
        <v>44</v>
      </c>
      <c r="B50" s="11" t="str">
        <f aca="false">Asistencia!B50</f>
        <v/>
      </c>
      <c r="C50" s="23" t="n">
        <f aca="false">IF(Plantilla!H50="",0,Plantilla!H50)</f>
        <v>0</v>
      </c>
      <c r="D50" s="18" t="n">
        <f aca="false">MIN(6,Asistencia!L50)</f>
        <v>0</v>
      </c>
      <c r="E50" s="23" t="n">
        <f aca="false">C50*D50</f>
        <v>0</v>
      </c>
      <c r="F50" s="23" t="n">
        <f aca="false">C50*D50/6</f>
        <v>0</v>
      </c>
      <c r="G50" s="23" t="n">
        <f aca="false">C50/Datos!$B$9*(2*Asistencia!N50+3*Asistencia!O50)</f>
        <v>0</v>
      </c>
      <c r="H50" s="15"/>
      <c r="I50" s="23" t="n">
        <f aca="false">SUM(E50:H50)</f>
        <v>0</v>
      </c>
      <c r="J50" s="15"/>
      <c r="K50" s="15"/>
      <c r="L50" s="15"/>
      <c r="M50" s="23" t="n">
        <f aca="false">I50-J50-K50-L50</f>
        <v>0</v>
      </c>
      <c r="N50" s="23" t="n">
        <f aca="false">(E50+F50)*Datos!$B$11+G50+H50</f>
        <v>0</v>
      </c>
      <c r="O50" s="11"/>
    </row>
    <row r="51" customFormat="false" ht="15" hidden="false" customHeight="false" outlineLevel="0" collapsed="false">
      <c r="A51" s="18" t="n">
        <f aca="false">Plantilla!A51</f>
        <v>45</v>
      </c>
      <c r="B51" s="11" t="str">
        <f aca="false">Asistencia!B51</f>
        <v/>
      </c>
      <c r="C51" s="23" t="n">
        <f aca="false">IF(Plantilla!H51="",0,Plantilla!H51)</f>
        <v>0</v>
      </c>
      <c r="D51" s="18" t="n">
        <f aca="false">MIN(6,Asistencia!L51)</f>
        <v>0</v>
      </c>
      <c r="E51" s="23" t="n">
        <f aca="false">C51*D51</f>
        <v>0</v>
      </c>
      <c r="F51" s="23" t="n">
        <f aca="false">C51*D51/6</f>
        <v>0</v>
      </c>
      <c r="G51" s="23" t="n">
        <f aca="false">C51/Datos!$B$9*(2*Asistencia!N51+3*Asistencia!O51)</f>
        <v>0</v>
      </c>
      <c r="H51" s="15"/>
      <c r="I51" s="23" t="n">
        <f aca="false">SUM(E51:H51)</f>
        <v>0</v>
      </c>
      <c r="J51" s="15"/>
      <c r="K51" s="15"/>
      <c r="L51" s="15"/>
      <c r="M51" s="23" t="n">
        <f aca="false">I51-J51-K51-L51</f>
        <v>0</v>
      </c>
      <c r="N51" s="23" t="n">
        <f aca="false">(E51+F51)*Datos!$B$11+G51+H51</f>
        <v>0</v>
      </c>
      <c r="O51" s="11"/>
    </row>
    <row r="52" customFormat="false" ht="15" hidden="false" customHeight="false" outlineLevel="0" collapsed="false">
      <c r="A52" s="18" t="n">
        <f aca="false">Plantilla!A52</f>
        <v>46</v>
      </c>
      <c r="B52" s="11" t="str">
        <f aca="false">Asistencia!B52</f>
        <v/>
      </c>
      <c r="C52" s="23" t="n">
        <f aca="false">IF(Plantilla!H52="",0,Plantilla!H52)</f>
        <v>0</v>
      </c>
      <c r="D52" s="18" t="n">
        <f aca="false">MIN(6,Asistencia!L52)</f>
        <v>0</v>
      </c>
      <c r="E52" s="23" t="n">
        <f aca="false">C52*D52</f>
        <v>0</v>
      </c>
      <c r="F52" s="23" t="n">
        <f aca="false">C52*D52/6</f>
        <v>0</v>
      </c>
      <c r="G52" s="23" t="n">
        <f aca="false">C52/Datos!$B$9*(2*Asistencia!N52+3*Asistencia!O52)</f>
        <v>0</v>
      </c>
      <c r="H52" s="15"/>
      <c r="I52" s="23" t="n">
        <f aca="false">SUM(E52:H52)</f>
        <v>0</v>
      </c>
      <c r="J52" s="15"/>
      <c r="K52" s="15"/>
      <c r="L52" s="15"/>
      <c r="M52" s="23" t="n">
        <f aca="false">I52-J52-K52-L52</f>
        <v>0</v>
      </c>
      <c r="N52" s="23" t="n">
        <f aca="false">(E52+F52)*Datos!$B$11+G52+H52</f>
        <v>0</v>
      </c>
      <c r="O52" s="11"/>
    </row>
    <row r="53" customFormat="false" ht="15" hidden="false" customHeight="false" outlineLevel="0" collapsed="false">
      <c r="A53" s="18" t="n">
        <f aca="false">Plantilla!A53</f>
        <v>47</v>
      </c>
      <c r="B53" s="11" t="str">
        <f aca="false">Asistencia!B53</f>
        <v/>
      </c>
      <c r="C53" s="23" t="n">
        <f aca="false">IF(Plantilla!H53="",0,Plantilla!H53)</f>
        <v>0</v>
      </c>
      <c r="D53" s="18" t="n">
        <f aca="false">MIN(6,Asistencia!L53)</f>
        <v>0</v>
      </c>
      <c r="E53" s="23" t="n">
        <f aca="false">C53*D53</f>
        <v>0</v>
      </c>
      <c r="F53" s="23" t="n">
        <f aca="false">C53*D53/6</f>
        <v>0</v>
      </c>
      <c r="G53" s="23" t="n">
        <f aca="false">C53/Datos!$B$9*(2*Asistencia!N53+3*Asistencia!O53)</f>
        <v>0</v>
      </c>
      <c r="H53" s="15"/>
      <c r="I53" s="23" t="n">
        <f aca="false">SUM(E53:H53)</f>
        <v>0</v>
      </c>
      <c r="J53" s="15"/>
      <c r="K53" s="15"/>
      <c r="L53" s="15"/>
      <c r="M53" s="23" t="n">
        <f aca="false">I53-J53-K53-L53</f>
        <v>0</v>
      </c>
      <c r="N53" s="23" t="n">
        <f aca="false">(E53+F53)*Datos!$B$11+G53+H53</f>
        <v>0</v>
      </c>
      <c r="O53" s="11"/>
    </row>
    <row r="54" customFormat="false" ht="15" hidden="false" customHeight="false" outlineLevel="0" collapsed="false">
      <c r="A54" s="18" t="n">
        <f aca="false">Plantilla!A54</f>
        <v>48</v>
      </c>
      <c r="B54" s="11" t="str">
        <f aca="false">Asistencia!B54</f>
        <v/>
      </c>
      <c r="C54" s="23" t="n">
        <f aca="false">IF(Plantilla!H54="",0,Plantilla!H54)</f>
        <v>0</v>
      </c>
      <c r="D54" s="18" t="n">
        <f aca="false">MIN(6,Asistencia!L54)</f>
        <v>0</v>
      </c>
      <c r="E54" s="23" t="n">
        <f aca="false">C54*D54</f>
        <v>0</v>
      </c>
      <c r="F54" s="23" t="n">
        <f aca="false">C54*D54/6</f>
        <v>0</v>
      </c>
      <c r="G54" s="23" t="n">
        <f aca="false">C54/Datos!$B$9*(2*Asistencia!N54+3*Asistencia!O54)</f>
        <v>0</v>
      </c>
      <c r="H54" s="15"/>
      <c r="I54" s="23" t="n">
        <f aca="false">SUM(E54:H54)</f>
        <v>0</v>
      </c>
      <c r="J54" s="15"/>
      <c r="K54" s="15"/>
      <c r="L54" s="15"/>
      <c r="M54" s="23" t="n">
        <f aca="false">I54-J54-K54-L54</f>
        <v>0</v>
      </c>
      <c r="N54" s="23" t="n">
        <f aca="false">(E54+F54)*Datos!$B$11+G54+H54</f>
        <v>0</v>
      </c>
      <c r="O54" s="11"/>
    </row>
    <row r="55" customFormat="false" ht="15" hidden="false" customHeight="false" outlineLevel="0" collapsed="false">
      <c r="A55" s="18" t="n">
        <f aca="false">Plantilla!A55</f>
        <v>49</v>
      </c>
      <c r="B55" s="11" t="str">
        <f aca="false">Asistencia!B55</f>
        <v/>
      </c>
      <c r="C55" s="23" t="n">
        <f aca="false">IF(Plantilla!H55="",0,Plantilla!H55)</f>
        <v>0</v>
      </c>
      <c r="D55" s="18" t="n">
        <f aca="false">MIN(6,Asistencia!L55)</f>
        <v>0</v>
      </c>
      <c r="E55" s="23" t="n">
        <f aca="false">C55*D55</f>
        <v>0</v>
      </c>
      <c r="F55" s="23" t="n">
        <f aca="false">C55*D55/6</f>
        <v>0</v>
      </c>
      <c r="G55" s="23" t="n">
        <f aca="false">C55/Datos!$B$9*(2*Asistencia!N55+3*Asistencia!O55)</f>
        <v>0</v>
      </c>
      <c r="H55" s="15"/>
      <c r="I55" s="23" t="n">
        <f aca="false">SUM(E55:H55)</f>
        <v>0</v>
      </c>
      <c r="J55" s="15"/>
      <c r="K55" s="15"/>
      <c r="L55" s="15"/>
      <c r="M55" s="23" t="n">
        <f aca="false">I55-J55-K55-L55</f>
        <v>0</v>
      </c>
      <c r="N55" s="23" t="n">
        <f aca="false">(E55+F55)*Datos!$B$11+G55+H55</f>
        <v>0</v>
      </c>
      <c r="O55" s="11"/>
    </row>
    <row r="56" customFormat="false" ht="15" hidden="false" customHeight="false" outlineLevel="0" collapsed="false">
      <c r="A56" s="18" t="n">
        <f aca="false">Plantilla!A56</f>
        <v>50</v>
      </c>
      <c r="B56" s="11" t="str">
        <f aca="false">Asistencia!B56</f>
        <v/>
      </c>
      <c r="C56" s="23" t="n">
        <f aca="false">IF(Plantilla!H56="",0,Plantilla!H56)</f>
        <v>0</v>
      </c>
      <c r="D56" s="18" t="n">
        <f aca="false">MIN(6,Asistencia!L56)</f>
        <v>0</v>
      </c>
      <c r="E56" s="23" t="n">
        <f aca="false">C56*D56</f>
        <v>0</v>
      </c>
      <c r="F56" s="23" t="n">
        <f aca="false">C56*D56/6</f>
        <v>0</v>
      </c>
      <c r="G56" s="23" t="n">
        <f aca="false">C56/Datos!$B$9*(2*Asistencia!N56+3*Asistencia!O56)</f>
        <v>0</v>
      </c>
      <c r="H56" s="15"/>
      <c r="I56" s="23" t="n">
        <f aca="false">SUM(E56:H56)</f>
        <v>0</v>
      </c>
      <c r="J56" s="15"/>
      <c r="K56" s="15"/>
      <c r="L56" s="15"/>
      <c r="M56" s="23" t="n">
        <f aca="false">I56-J56-K56-L56</f>
        <v>0</v>
      </c>
      <c r="N56" s="23" t="n">
        <f aca="false">(E56+F56)*Datos!$B$11+G56+H56</f>
        <v>0</v>
      </c>
      <c r="O56" s="11"/>
    </row>
    <row r="57" customFormat="false" ht="15" hidden="false" customHeight="false" outlineLevel="0" collapsed="false">
      <c r="A57" s="18" t="n">
        <f aca="false">Plantilla!A57</f>
        <v>51</v>
      </c>
      <c r="B57" s="11" t="str">
        <f aca="false">Asistencia!B57</f>
        <v/>
      </c>
      <c r="C57" s="23" t="n">
        <f aca="false">IF(Plantilla!H57="",0,Plantilla!H57)</f>
        <v>0</v>
      </c>
      <c r="D57" s="18" t="n">
        <f aca="false">MIN(6,Asistencia!L57)</f>
        <v>0</v>
      </c>
      <c r="E57" s="23" t="n">
        <f aca="false">C57*D57</f>
        <v>0</v>
      </c>
      <c r="F57" s="23" t="n">
        <f aca="false">C57*D57/6</f>
        <v>0</v>
      </c>
      <c r="G57" s="23" t="n">
        <f aca="false">C57/Datos!$B$9*(2*Asistencia!N57+3*Asistencia!O57)</f>
        <v>0</v>
      </c>
      <c r="H57" s="15"/>
      <c r="I57" s="23" t="n">
        <f aca="false">SUM(E57:H57)</f>
        <v>0</v>
      </c>
      <c r="J57" s="15"/>
      <c r="K57" s="15"/>
      <c r="L57" s="15"/>
      <c r="M57" s="23" t="n">
        <f aca="false">I57-J57-K57-L57</f>
        <v>0</v>
      </c>
      <c r="N57" s="23" t="n">
        <f aca="false">(E57+F57)*Datos!$B$11+G57+H57</f>
        <v>0</v>
      </c>
      <c r="O57" s="11"/>
    </row>
    <row r="58" customFormat="false" ht="15" hidden="false" customHeight="false" outlineLevel="0" collapsed="false">
      <c r="A58" s="18" t="n">
        <f aca="false">Plantilla!A58</f>
        <v>52</v>
      </c>
      <c r="B58" s="11" t="str">
        <f aca="false">Asistencia!B58</f>
        <v/>
      </c>
      <c r="C58" s="23" t="n">
        <f aca="false">IF(Plantilla!H58="",0,Plantilla!H58)</f>
        <v>0</v>
      </c>
      <c r="D58" s="18" t="n">
        <f aca="false">MIN(6,Asistencia!L58)</f>
        <v>0</v>
      </c>
      <c r="E58" s="23" t="n">
        <f aca="false">C58*D58</f>
        <v>0</v>
      </c>
      <c r="F58" s="23" t="n">
        <f aca="false">C58*D58/6</f>
        <v>0</v>
      </c>
      <c r="G58" s="23" t="n">
        <f aca="false">C58/Datos!$B$9*(2*Asistencia!N58+3*Asistencia!O58)</f>
        <v>0</v>
      </c>
      <c r="H58" s="15"/>
      <c r="I58" s="23" t="n">
        <f aca="false">SUM(E58:H58)</f>
        <v>0</v>
      </c>
      <c r="J58" s="15"/>
      <c r="K58" s="15"/>
      <c r="L58" s="15"/>
      <c r="M58" s="23" t="n">
        <f aca="false">I58-J58-K58-L58</f>
        <v>0</v>
      </c>
      <c r="N58" s="23" t="n">
        <f aca="false">(E58+F58)*Datos!$B$11+G58+H58</f>
        <v>0</v>
      </c>
      <c r="O58" s="11"/>
    </row>
    <row r="59" customFormat="false" ht="15" hidden="false" customHeight="false" outlineLevel="0" collapsed="false">
      <c r="A59" s="18" t="n">
        <f aca="false">Plantilla!A59</f>
        <v>53</v>
      </c>
      <c r="B59" s="11" t="str">
        <f aca="false">Asistencia!B59</f>
        <v/>
      </c>
      <c r="C59" s="23" t="n">
        <f aca="false">IF(Plantilla!H59="",0,Plantilla!H59)</f>
        <v>0</v>
      </c>
      <c r="D59" s="18" t="n">
        <f aca="false">MIN(6,Asistencia!L59)</f>
        <v>0</v>
      </c>
      <c r="E59" s="23" t="n">
        <f aca="false">C59*D59</f>
        <v>0</v>
      </c>
      <c r="F59" s="23" t="n">
        <f aca="false">C59*D59/6</f>
        <v>0</v>
      </c>
      <c r="G59" s="23" t="n">
        <f aca="false">C59/Datos!$B$9*(2*Asistencia!N59+3*Asistencia!O59)</f>
        <v>0</v>
      </c>
      <c r="H59" s="15"/>
      <c r="I59" s="23" t="n">
        <f aca="false">SUM(E59:H59)</f>
        <v>0</v>
      </c>
      <c r="J59" s="15"/>
      <c r="K59" s="15"/>
      <c r="L59" s="15"/>
      <c r="M59" s="23" t="n">
        <f aca="false">I59-J59-K59-L59</f>
        <v>0</v>
      </c>
      <c r="N59" s="23" t="n">
        <f aca="false">(E59+F59)*Datos!$B$11+G59+H59</f>
        <v>0</v>
      </c>
      <c r="O59" s="11"/>
    </row>
    <row r="60" customFormat="false" ht="15" hidden="false" customHeight="false" outlineLevel="0" collapsed="false">
      <c r="A60" s="18" t="n">
        <f aca="false">Plantilla!A60</f>
        <v>54</v>
      </c>
      <c r="B60" s="11" t="str">
        <f aca="false">Asistencia!B60</f>
        <v/>
      </c>
      <c r="C60" s="23" t="n">
        <f aca="false">IF(Plantilla!H60="",0,Plantilla!H60)</f>
        <v>0</v>
      </c>
      <c r="D60" s="18" t="n">
        <f aca="false">MIN(6,Asistencia!L60)</f>
        <v>0</v>
      </c>
      <c r="E60" s="23" t="n">
        <f aca="false">C60*D60</f>
        <v>0</v>
      </c>
      <c r="F60" s="23" t="n">
        <f aca="false">C60*D60/6</f>
        <v>0</v>
      </c>
      <c r="G60" s="23" t="n">
        <f aca="false">C60/Datos!$B$9*(2*Asistencia!N60+3*Asistencia!O60)</f>
        <v>0</v>
      </c>
      <c r="H60" s="15"/>
      <c r="I60" s="23" t="n">
        <f aca="false">SUM(E60:H60)</f>
        <v>0</v>
      </c>
      <c r="J60" s="15"/>
      <c r="K60" s="15"/>
      <c r="L60" s="15"/>
      <c r="M60" s="23" t="n">
        <f aca="false">I60-J60-K60-L60</f>
        <v>0</v>
      </c>
      <c r="N60" s="23" t="n">
        <f aca="false">(E60+F60)*Datos!$B$11+G60+H60</f>
        <v>0</v>
      </c>
      <c r="O60" s="11"/>
    </row>
    <row r="61" customFormat="false" ht="15" hidden="false" customHeight="false" outlineLevel="0" collapsed="false">
      <c r="A61" s="18" t="n">
        <f aca="false">Plantilla!A61</f>
        <v>55</v>
      </c>
      <c r="B61" s="11" t="str">
        <f aca="false">Asistencia!B61</f>
        <v/>
      </c>
      <c r="C61" s="23" t="n">
        <f aca="false">IF(Plantilla!H61="",0,Plantilla!H61)</f>
        <v>0</v>
      </c>
      <c r="D61" s="18" t="n">
        <f aca="false">MIN(6,Asistencia!L61)</f>
        <v>0</v>
      </c>
      <c r="E61" s="23" t="n">
        <f aca="false">C61*D61</f>
        <v>0</v>
      </c>
      <c r="F61" s="23" t="n">
        <f aca="false">C61*D61/6</f>
        <v>0</v>
      </c>
      <c r="G61" s="23" t="n">
        <f aca="false">C61/Datos!$B$9*(2*Asistencia!N61+3*Asistencia!O61)</f>
        <v>0</v>
      </c>
      <c r="H61" s="15"/>
      <c r="I61" s="23" t="n">
        <f aca="false">SUM(E61:H61)</f>
        <v>0</v>
      </c>
      <c r="J61" s="15"/>
      <c r="K61" s="15"/>
      <c r="L61" s="15"/>
      <c r="M61" s="23" t="n">
        <f aca="false">I61-J61-K61-L61</f>
        <v>0</v>
      </c>
      <c r="N61" s="23" t="n">
        <f aca="false">(E61+F61)*Datos!$B$11+G61+H61</f>
        <v>0</v>
      </c>
      <c r="O61" s="11"/>
    </row>
    <row r="62" customFormat="false" ht="15" hidden="false" customHeight="false" outlineLevel="0" collapsed="false">
      <c r="A62" s="18" t="n">
        <f aca="false">Plantilla!A62</f>
        <v>56</v>
      </c>
      <c r="B62" s="11" t="str">
        <f aca="false">Asistencia!B62</f>
        <v/>
      </c>
      <c r="C62" s="23" t="n">
        <f aca="false">IF(Plantilla!H62="",0,Plantilla!H62)</f>
        <v>0</v>
      </c>
      <c r="D62" s="18" t="n">
        <f aca="false">MIN(6,Asistencia!L62)</f>
        <v>0</v>
      </c>
      <c r="E62" s="23" t="n">
        <f aca="false">C62*D62</f>
        <v>0</v>
      </c>
      <c r="F62" s="23" t="n">
        <f aca="false">C62*D62/6</f>
        <v>0</v>
      </c>
      <c r="G62" s="23" t="n">
        <f aca="false">C62/Datos!$B$9*(2*Asistencia!N62+3*Asistencia!O62)</f>
        <v>0</v>
      </c>
      <c r="H62" s="15"/>
      <c r="I62" s="23" t="n">
        <f aca="false">SUM(E62:H62)</f>
        <v>0</v>
      </c>
      <c r="J62" s="15"/>
      <c r="K62" s="15"/>
      <c r="L62" s="15"/>
      <c r="M62" s="23" t="n">
        <f aca="false">I62-J62-K62-L62</f>
        <v>0</v>
      </c>
      <c r="N62" s="23" t="n">
        <f aca="false">(E62+F62)*Datos!$B$11+G62+H62</f>
        <v>0</v>
      </c>
      <c r="O62" s="11"/>
    </row>
    <row r="63" customFormat="false" ht="15" hidden="false" customHeight="false" outlineLevel="0" collapsed="false">
      <c r="A63" s="18" t="n">
        <f aca="false">Plantilla!A63</f>
        <v>57</v>
      </c>
      <c r="B63" s="11" t="str">
        <f aca="false">Asistencia!B63</f>
        <v/>
      </c>
      <c r="C63" s="23" t="n">
        <f aca="false">IF(Plantilla!H63="",0,Plantilla!H63)</f>
        <v>0</v>
      </c>
      <c r="D63" s="18" t="n">
        <f aca="false">MIN(6,Asistencia!L63)</f>
        <v>0</v>
      </c>
      <c r="E63" s="23" t="n">
        <f aca="false">C63*D63</f>
        <v>0</v>
      </c>
      <c r="F63" s="23" t="n">
        <f aca="false">C63*D63/6</f>
        <v>0</v>
      </c>
      <c r="G63" s="23" t="n">
        <f aca="false">C63/Datos!$B$9*(2*Asistencia!N63+3*Asistencia!O63)</f>
        <v>0</v>
      </c>
      <c r="H63" s="15"/>
      <c r="I63" s="23" t="n">
        <f aca="false">SUM(E63:H63)</f>
        <v>0</v>
      </c>
      <c r="J63" s="15"/>
      <c r="K63" s="15"/>
      <c r="L63" s="15"/>
      <c r="M63" s="23" t="n">
        <f aca="false">I63-J63-K63-L63</f>
        <v>0</v>
      </c>
      <c r="N63" s="23" t="n">
        <f aca="false">(E63+F63)*Datos!$B$11+G63+H63</f>
        <v>0</v>
      </c>
      <c r="O63" s="11"/>
    </row>
    <row r="64" customFormat="false" ht="15" hidden="false" customHeight="false" outlineLevel="0" collapsed="false">
      <c r="A64" s="18" t="n">
        <f aca="false">Plantilla!A64</f>
        <v>58</v>
      </c>
      <c r="B64" s="11" t="str">
        <f aca="false">Asistencia!B64</f>
        <v/>
      </c>
      <c r="C64" s="23" t="n">
        <f aca="false">IF(Plantilla!H64="",0,Plantilla!H64)</f>
        <v>0</v>
      </c>
      <c r="D64" s="18" t="n">
        <f aca="false">MIN(6,Asistencia!L64)</f>
        <v>0</v>
      </c>
      <c r="E64" s="23" t="n">
        <f aca="false">C64*D64</f>
        <v>0</v>
      </c>
      <c r="F64" s="23" t="n">
        <f aca="false">C64*D64/6</f>
        <v>0</v>
      </c>
      <c r="G64" s="23" t="n">
        <f aca="false">C64/Datos!$B$9*(2*Asistencia!N64+3*Asistencia!O64)</f>
        <v>0</v>
      </c>
      <c r="H64" s="15"/>
      <c r="I64" s="23" t="n">
        <f aca="false">SUM(E64:H64)</f>
        <v>0</v>
      </c>
      <c r="J64" s="15"/>
      <c r="K64" s="15"/>
      <c r="L64" s="15"/>
      <c r="M64" s="23" t="n">
        <f aca="false">I64-J64-K64-L64</f>
        <v>0</v>
      </c>
      <c r="N64" s="23" t="n">
        <f aca="false">(E64+F64)*Datos!$B$11+G64+H64</f>
        <v>0</v>
      </c>
      <c r="O64" s="11"/>
    </row>
    <row r="65" customFormat="false" ht="15" hidden="false" customHeight="false" outlineLevel="0" collapsed="false">
      <c r="A65" s="18" t="n">
        <f aca="false">Plantilla!A65</f>
        <v>59</v>
      </c>
      <c r="B65" s="11" t="str">
        <f aca="false">Asistencia!B65</f>
        <v/>
      </c>
      <c r="C65" s="23" t="n">
        <f aca="false">IF(Plantilla!H65="",0,Plantilla!H65)</f>
        <v>0</v>
      </c>
      <c r="D65" s="18" t="n">
        <f aca="false">MIN(6,Asistencia!L65)</f>
        <v>0</v>
      </c>
      <c r="E65" s="23" t="n">
        <f aca="false">C65*D65</f>
        <v>0</v>
      </c>
      <c r="F65" s="23" t="n">
        <f aca="false">C65*D65/6</f>
        <v>0</v>
      </c>
      <c r="G65" s="23" t="n">
        <f aca="false">C65/Datos!$B$9*(2*Asistencia!N65+3*Asistencia!O65)</f>
        <v>0</v>
      </c>
      <c r="H65" s="15"/>
      <c r="I65" s="23" t="n">
        <f aca="false">SUM(E65:H65)</f>
        <v>0</v>
      </c>
      <c r="J65" s="15"/>
      <c r="K65" s="15"/>
      <c r="L65" s="15"/>
      <c r="M65" s="23" t="n">
        <f aca="false">I65-J65-K65-L65</f>
        <v>0</v>
      </c>
      <c r="N65" s="23" t="n">
        <f aca="false">(E65+F65)*Datos!$B$11+G65+H65</f>
        <v>0</v>
      </c>
      <c r="O65" s="11"/>
    </row>
    <row r="66" customFormat="false" ht="15" hidden="false" customHeight="false" outlineLevel="0" collapsed="false">
      <c r="A66" s="18" t="n">
        <f aca="false">Plantilla!A66</f>
        <v>60</v>
      </c>
      <c r="B66" s="11" t="str">
        <f aca="false">Asistencia!B66</f>
        <v/>
      </c>
      <c r="C66" s="23" t="n">
        <f aca="false">IF(Plantilla!H66="",0,Plantilla!H66)</f>
        <v>0</v>
      </c>
      <c r="D66" s="18" t="n">
        <f aca="false">MIN(6,Asistencia!L66)</f>
        <v>0</v>
      </c>
      <c r="E66" s="23" t="n">
        <f aca="false">C66*D66</f>
        <v>0</v>
      </c>
      <c r="F66" s="23" t="n">
        <f aca="false">C66*D66/6</f>
        <v>0</v>
      </c>
      <c r="G66" s="23" t="n">
        <f aca="false">C66/Datos!$B$9*(2*Asistencia!N66+3*Asistencia!O66)</f>
        <v>0</v>
      </c>
      <c r="H66" s="15"/>
      <c r="I66" s="23" t="n">
        <f aca="false">SUM(E66:H66)</f>
        <v>0</v>
      </c>
      <c r="J66" s="15"/>
      <c r="K66" s="15"/>
      <c r="L66" s="15"/>
      <c r="M66" s="23" t="n">
        <f aca="false">I66-J66-K66-L66</f>
        <v>0</v>
      </c>
      <c r="N66" s="23" t="n">
        <f aca="false">(E66+F66)*Datos!$B$11+G66+H66</f>
        <v>0</v>
      </c>
      <c r="O66" s="11"/>
    </row>
    <row r="67" customFormat="false" ht="15" hidden="false" customHeight="false" outlineLevel="0" collapsed="false">
      <c r="A67" s="18" t="n">
        <f aca="false">Plantilla!A67</f>
        <v>61</v>
      </c>
      <c r="B67" s="11" t="str">
        <f aca="false">Asistencia!B67</f>
        <v/>
      </c>
      <c r="C67" s="23" t="n">
        <f aca="false">IF(Plantilla!H67="",0,Plantilla!H67)</f>
        <v>0</v>
      </c>
      <c r="D67" s="18" t="n">
        <f aca="false">MIN(6,Asistencia!L67)</f>
        <v>0</v>
      </c>
      <c r="E67" s="23" t="n">
        <f aca="false">C67*D67</f>
        <v>0</v>
      </c>
      <c r="F67" s="23" t="n">
        <f aca="false">C67*D67/6</f>
        <v>0</v>
      </c>
      <c r="G67" s="23" t="n">
        <f aca="false">C67/Datos!$B$9*(2*Asistencia!N67+3*Asistencia!O67)</f>
        <v>0</v>
      </c>
      <c r="H67" s="15"/>
      <c r="I67" s="23" t="n">
        <f aca="false">SUM(E67:H67)</f>
        <v>0</v>
      </c>
      <c r="J67" s="15"/>
      <c r="K67" s="15"/>
      <c r="L67" s="15"/>
      <c r="M67" s="23" t="n">
        <f aca="false">I67-J67-K67-L67</f>
        <v>0</v>
      </c>
      <c r="N67" s="23" t="n">
        <f aca="false">(E67+F67)*Datos!$B$11+G67+H67</f>
        <v>0</v>
      </c>
      <c r="O67" s="11"/>
    </row>
    <row r="68" customFormat="false" ht="15" hidden="false" customHeight="false" outlineLevel="0" collapsed="false">
      <c r="A68" s="18" t="n">
        <f aca="false">Plantilla!A68</f>
        <v>62</v>
      </c>
      <c r="B68" s="11" t="str">
        <f aca="false">Asistencia!B68</f>
        <v/>
      </c>
      <c r="C68" s="23" t="n">
        <f aca="false">IF(Plantilla!H68="",0,Plantilla!H68)</f>
        <v>0</v>
      </c>
      <c r="D68" s="18" t="n">
        <f aca="false">MIN(6,Asistencia!L68)</f>
        <v>0</v>
      </c>
      <c r="E68" s="23" t="n">
        <f aca="false">C68*D68</f>
        <v>0</v>
      </c>
      <c r="F68" s="23" t="n">
        <f aca="false">C68*D68/6</f>
        <v>0</v>
      </c>
      <c r="G68" s="23" t="n">
        <f aca="false">C68/Datos!$B$9*(2*Asistencia!N68+3*Asistencia!O68)</f>
        <v>0</v>
      </c>
      <c r="H68" s="15"/>
      <c r="I68" s="23" t="n">
        <f aca="false">SUM(E68:H68)</f>
        <v>0</v>
      </c>
      <c r="J68" s="15"/>
      <c r="K68" s="15"/>
      <c r="L68" s="15"/>
      <c r="M68" s="23" t="n">
        <f aca="false">I68-J68-K68-L68</f>
        <v>0</v>
      </c>
      <c r="N68" s="23" t="n">
        <f aca="false">(E68+F68)*Datos!$B$11+G68+H68</f>
        <v>0</v>
      </c>
      <c r="O68" s="11"/>
    </row>
    <row r="69" customFormat="false" ht="15" hidden="false" customHeight="false" outlineLevel="0" collapsed="false">
      <c r="A69" s="18" t="n">
        <f aca="false">Plantilla!A69</f>
        <v>63</v>
      </c>
      <c r="B69" s="11" t="str">
        <f aca="false">Asistencia!B69</f>
        <v/>
      </c>
      <c r="C69" s="23" t="n">
        <f aca="false">IF(Plantilla!H69="",0,Plantilla!H69)</f>
        <v>0</v>
      </c>
      <c r="D69" s="18" t="n">
        <f aca="false">MIN(6,Asistencia!L69)</f>
        <v>0</v>
      </c>
      <c r="E69" s="23" t="n">
        <f aca="false">C69*D69</f>
        <v>0</v>
      </c>
      <c r="F69" s="23" t="n">
        <f aca="false">C69*D69/6</f>
        <v>0</v>
      </c>
      <c r="G69" s="23" t="n">
        <f aca="false">C69/Datos!$B$9*(2*Asistencia!N69+3*Asistencia!O69)</f>
        <v>0</v>
      </c>
      <c r="H69" s="15"/>
      <c r="I69" s="23" t="n">
        <f aca="false">SUM(E69:H69)</f>
        <v>0</v>
      </c>
      <c r="J69" s="15"/>
      <c r="K69" s="15"/>
      <c r="L69" s="15"/>
      <c r="M69" s="23" t="n">
        <f aca="false">I69-J69-K69-L69</f>
        <v>0</v>
      </c>
      <c r="N69" s="23" t="n">
        <f aca="false">(E69+F69)*Datos!$B$11+G69+H69</f>
        <v>0</v>
      </c>
      <c r="O69" s="11"/>
    </row>
    <row r="70" customFormat="false" ht="15" hidden="false" customHeight="false" outlineLevel="0" collapsed="false">
      <c r="A70" s="18" t="n">
        <f aca="false">Plantilla!A70</f>
        <v>64</v>
      </c>
      <c r="B70" s="11" t="str">
        <f aca="false">Asistencia!B70</f>
        <v/>
      </c>
      <c r="C70" s="23" t="n">
        <f aca="false">IF(Plantilla!H70="",0,Plantilla!H70)</f>
        <v>0</v>
      </c>
      <c r="D70" s="18" t="n">
        <f aca="false">MIN(6,Asistencia!L70)</f>
        <v>0</v>
      </c>
      <c r="E70" s="23" t="n">
        <f aca="false">C70*D70</f>
        <v>0</v>
      </c>
      <c r="F70" s="23" t="n">
        <f aca="false">C70*D70/6</f>
        <v>0</v>
      </c>
      <c r="G70" s="23" t="n">
        <f aca="false">C70/Datos!$B$9*(2*Asistencia!N70+3*Asistencia!O70)</f>
        <v>0</v>
      </c>
      <c r="H70" s="15"/>
      <c r="I70" s="23" t="n">
        <f aca="false">SUM(E70:H70)</f>
        <v>0</v>
      </c>
      <c r="J70" s="15"/>
      <c r="K70" s="15"/>
      <c r="L70" s="15"/>
      <c r="M70" s="23" t="n">
        <f aca="false">I70-J70-K70-L70</f>
        <v>0</v>
      </c>
      <c r="N70" s="23" t="n">
        <f aca="false">(E70+F70)*Datos!$B$11+G70+H70</f>
        <v>0</v>
      </c>
      <c r="O70" s="11"/>
    </row>
    <row r="71" customFormat="false" ht="15" hidden="false" customHeight="false" outlineLevel="0" collapsed="false">
      <c r="A71" s="18" t="n">
        <f aca="false">Plantilla!A71</f>
        <v>65</v>
      </c>
      <c r="B71" s="11" t="str">
        <f aca="false">Asistencia!B71</f>
        <v/>
      </c>
      <c r="C71" s="23" t="n">
        <f aca="false">IF(Plantilla!H71="",0,Plantilla!H71)</f>
        <v>0</v>
      </c>
      <c r="D71" s="18" t="n">
        <f aca="false">MIN(6,Asistencia!L71)</f>
        <v>0</v>
      </c>
      <c r="E71" s="23" t="n">
        <f aca="false">C71*D71</f>
        <v>0</v>
      </c>
      <c r="F71" s="23" t="n">
        <f aca="false">C71*D71/6</f>
        <v>0</v>
      </c>
      <c r="G71" s="23" t="n">
        <f aca="false">C71/Datos!$B$9*(2*Asistencia!N71+3*Asistencia!O71)</f>
        <v>0</v>
      </c>
      <c r="H71" s="15"/>
      <c r="I71" s="23" t="n">
        <f aca="false">SUM(E71:H71)</f>
        <v>0</v>
      </c>
      <c r="J71" s="15"/>
      <c r="K71" s="15"/>
      <c r="L71" s="15"/>
      <c r="M71" s="23" t="n">
        <f aca="false">I71-J71-K71-L71</f>
        <v>0</v>
      </c>
      <c r="N71" s="23" t="n">
        <f aca="false">(E71+F71)*Datos!$B$11+G71+H71</f>
        <v>0</v>
      </c>
      <c r="O71" s="11"/>
    </row>
    <row r="72" customFormat="false" ht="15" hidden="false" customHeight="false" outlineLevel="0" collapsed="false">
      <c r="A72" s="18" t="n">
        <f aca="false">Plantilla!A72</f>
        <v>66</v>
      </c>
      <c r="B72" s="11" t="str">
        <f aca="false">Asistencia!B72</f>
        <v/>
      </c>
      <c r="C72" s="23" t="n">
        <f aca="false">IF(Plantilla!H72="",0,Plantilla!H72)</f>
        <v>0</v>
      </c>
      <c r="D72" s="18" t="n">
        <f aca="false">MIN(6,Asistencia!L72)</f>
        <v>0</v>
      </c>
      <c r="E72" s="23" t="n">
        <f aca="false">C72*D72</f>
        <v>0</v>
      </c>
      <c r="F72" s="23" t="n">
        <f aca="false">C72*D72/6</f>
        <v>0</v>
      </c>
      <c r="G72" s="23" t="n">
        <f aca="false">C72/Datos!$B$9*(2*Asistencia!N72+3*Asistencia!O72)</f>
        <v>0</v>
      </c>
      <c r="H72" s="15"/>
      <c r="I72" s="23" t="n">
        <f aca="false">SUM(E72:H72)</f>
        <v>0</v>
      </c>
      <c r="J72" s="15"/>
      <c r="K72" s="15"/>
      <c r="L72" s="15"/>
      <c r="M72" s="23" t="n">
        <f aca="false">I72-J72-K72-L72</f>
        <v>0</v>
      </c>
      <c r="N72" s="23" t="n">
        <f aca="false">(E72+F72)*Datos!$B$11+G72+H72</f>
        <v>0</v>
      </c>
      <c r="O72" s="11"/>
    </row>
    <row r="73" customFormat="false" ht="15" hidden="false" customHeight="false" outlineLevel="0" collapsed="false">
      <c r="A73" s="18" t="n">
        <f aca="false">Plantilla!A73</f>
        <v>67</v>
      </c>
      <c r="B73" s="11" t="str">
        <f aca="false">Asistencia!B73</f>
        <v/>
      </c>
      <c r="C73" s="23" t="n">
        <f aca="false">IF(Plantilla!H73="",0,Plantilla!H73)</f>
        <v>0</v>
      </c>
      <c r="D73" s="18" t="n">
        <f aca="false">MIN(6,Asistencia!L73)</f>
        <v>0</v>
      </c>
      <c r="E73" s="23" t="n">
        <f aca="false">C73*D73</f>
        <v>0</v>
      </c>
      <c r="F73" s="23" t="n">
        <f aca="false">C73*D73/6</f>
        <v>0</v>
      </c>
      <c r="G73" s="23" t="n">
        <f aca="false">C73/Datos!$B$9*(2*Asistencia!N73+3*Asistencia!O73)</f>
        <v>0</v>
      </c>
      <c r="H73" s="15"/>
      <c r="I73" s="23" t="n">
        <f aca="false">SUM(E73:H73)</f>
        <v>0</v>
      </c>
      <c r="J73" s="15"/>
      <c r="K73" s="15"/>
      <c r="L73" s="15"/>
      <c r="M73" s="23" t="n">
        <f aca="false">I73-J73-K73-L73</f>
        <v>0</v>
      </c>
      <c r="N73" s="23" t="n">
        <f aca="false">(E73+F73)*Datos!$B$11+G73+H73</f>
        <v>0</v>
      </c>
      <c r="O73" s="11"/>
    </row>
    <row r="74" customFormat="false" ht="15" hidden="false" customHeight="false" outlineLevel="0" collapsed="false">
      <c r="A74" s="18" t="n">
        <f aca="false">Plantilla!A74</f>
        <v>68</v>
      </c>
      <c r="B74" s="11" t="str">
        <f aca="false">Asistencia!B74</f>
        <v/>
      </c>
      <c r="C74" s="23" t="n">
        <f aca="false">IF(Plantilla!H74="",0,Plantilla!H74)</f>
        <v>0</v>
      </c>
      <c r="D74" s="18" t="n">
        <f aca="false">MIN(6,Asistencia!L74)</f>
        <v>0</v>
      </c>
      <c r="E74" s="23" t="n">
        <f aca="false">C74*D74</f>
        <v>0</v>
      </c>
      <c r="F74" s="23" t="n">
        <f aca="false">C74*D74/6</f>
        <v>0</v>
      </c>
      <c r="G74" s="23" t="n">
        <f aca="false">C74/Datos!$B$9*(2*Asistencia!N74+3*Asistencia!O74)</f>
        <v>0</v>
      </c>
      <c r="H74" s="15"/>
      <c r="I74" s="23" t="n">
        <f aca="false">SUM(E74:H74)</f>
        <v>0</v>
      </c>
      <c r="J74" s="15"/>
      <c r="K74" s="15"/>
      <c r="L74" s="15"/>
      <c r="M74" s="23" t="n">
        <f aca="false">I74-J74-K74-L74</f>
        <v>0</v>
      </c>
      <c r="N74" s="23" t="n">
        <f aca="false">(E74+F74)*Datos!$B$11+G74+H74</f>
        <v>0</v>
      </c>
      <c r="O74" s="11"/>
    </row>
    <row r="75" customFormat="false" ht="15" hidden="false" customHeight="false" outlineLevel="0" collapsed="false">
      <c r="A75" s="18" t="n">
        <f aca="false">Plantilla!A75</f>
        <v>69</v>
      </c>
      <c r="B75" s="11" t="str">
        <f aca="false">Asistencia!B75</f>
        <v/>
      </c>
      <c r="C75" s="23" t="n">
        <f aca="false">IF(Plantilla!H75="",0,Plantilla!H75)</f>
        <v>0</v>
      </c>
      <c r="D75" s="18" t="n">
        <f aca="false">MIN(6,Asistencia!L75)</f>
        <v>0</v>
      </c>
      <c r="E75" s="23" t="n">
        <f aca="false">C75*D75</f>
        <v>0</v>
      </c>
      <c r="F75" s="23" t="n">
        <f aca="false">C75*D75/6</f>
        <v>0</v>
      </c>
      <c r="G75" s="23" t="n">
        <f aca="false">C75/Datos!$B$9*(2*Asistencia!N75+3*Asistencia!O75)</f>
        <v>0</v>
      </c>
      <c r="H75" s="15"/>
      <c r="I75" s="23" t="n">
        <f aca="false">SUM(E75:H75)</f>
        <v>0</v>
      </c>
      <c r="J75" s="15"/>
      <c r="K75" s="15"/>
      <c r="L75" s="15"/>
      <c r="M75" s="23" t="n">
        <f aca="false">I75-J75-K75-L75</f>
        <v>0</v>
      </c>
      <c r="N75" s="23" t="n">
        <f aca="false">(E75+F75)*Datos!$B$11+G75+H75</f>
        <v>0</v>
      </c>
      <c r="O75" s="11"/>
    </row>
    <row r="76" customFormat="false" ht="15" hidden="false" customHeight="false" outlineLevel="0" collapsed="false">
      <c r="A76" s="18" t="n">
        <f aca="false">Plantilla!A76</f>
        <v>70</v>
      </c>
      <c r="B76" s="11" t="str">
        <f aca="false">Asistencia!B76</f>
        <v/>
      </c>
      <c r="C76" s="23" t="n">
        <f aca="false">IF(Plantilla!H76="",0,Plantilla!H76)</f>
        <v>0</v>
      </c>
      <c r="D76" s="18" t="n">
        <f aca="false">MIN(6,Asistencia!L76)</f>
        <v>0</v>
      </c>
      <c r="E76" s="23" t="n">
        <f aca="false">C76*D76</f>
        <v>0</v>
      </c>
      <c r="F76" s="23" t="n">
        <f aca="false">C76*D76/6</f>
        <v>0</v>
      </c>
      <c r="G76" s="23" t="n">
        <f aca="false">C76/Datos!$B$9*(2*Asistencia!N76+3*Asistencia!O76)</f>
        <v>0</v>
      </c>
      <c r="H76" s="15"/>
      <c r="I76" s="23" t="n">
        <f aca="false">SUM(E76:H76)</f>
        <v>0</v>
      </c>
      <c r="J76" s="15"/>
      <c r="K76" s="15"/>
      <c r="L76" s="15"/>
      <c r="M76" s="23" t="n">
        <f aca="false">I76-J76-K76-L76</f>
        <v>0</v>
      </c>
      <c r="N76" s="23" t="n">
        <f aca="false">(E76+F76)*Datos!$B$11+G76+H76</f>
        <v>0</v>
      </c>
      <c r="O76" s="11"/>
    </row>
    <row r="77" customFormat="false" ht="15" hidden="false" customHeight="false" outlineLevel="0" collapsed="false">
      <c r="A77" s="18" t="n">
        <f aca="false">Plantilla!A77</f>
        <v>71</v>
      </c>
      <c r="B77" s="11" t="str">
        <f aca="false">Asistencia!B77</f>
        <v/>
      </c>
      <c r="C77" s="23" t="n">
        <f aca="false">IF(Plantilla!H77="",0,Plantilla!H77)</f>
        <v>0</v>
      </c>
      <c r="D77" s="18" t="n">
        <f aca="false">MIN(6,Asistencia!L77)</f>
        <v>0</v>
      </c>
      <c r="E77" s="23" t="n">
        <f aca="false">C77*D77</f>
        <v>0</v>
      </c>
      <c r="F77" s="23" t="n">
        <f aca="false">C77*D77/6</f>
        <v>0</v>
      </c>
      <c r="G77" s="23" t="n">
        <f aca="false">C77/Datos!$B$9*(2*Asistencia!N77+3*Asistencia!O77)</f>
        <v>0</v>
      </c>
      <c r="H77" s="15"/>
      <c r="I77" s="23" t="n">
        <f aca="false">SUM(E77:H77)</f>
        <v>0</v>
      </c>
      <c r="J77" s="15"/>
      <c r="K77" s="15"/>
      <c r="L77" s="15"/>
      <c r="M77" s="23" t="n">
        <f aca="false">I77-J77-K77-L77</f>
        <v>0</v>
      </c>
      <c r="N77" s="23" t="n">
        <f aca="false">(E77+F77)*Datos!$B$11+G77+H77</f>
        <v>0</v>
      </c>
      <c r="O77" s="11"/>
    </row>
    <row r="78" customFormat="false" ht="15" hidden="false" customHeight="false" outlineLevel="0" collapsed="false">
      <c r="A78" s="18" t="n">
        <f aca="false">Plantilla!A78</f>
        <v>72</v>
      </c>
      <c r="B78" s="11" t="str">
        <f aca="false">Asistencia!B78</f>
        <v/>
      </c>
      <c r="C78" s="23" t="n">
        <f aca="false">IF(Plantilla!H78="",0,Plantilla!H78)</f>
        <v>0</v>
      </c>
      <c r="D78" s="18" t="n">
        <f aca="false">MIN(6,Asistencia!L78)</f>
        <v>0</v>
      </c>
      <c r="E78" s="23" t="n">
        <f aca="false">C78*D78</f>
        <v>0</v>
      </c>
      <c r="F78" s="23" t="n">
        <f aca="false">C78*D78/6</f>
        <v>0</v>
      </c>
      <c r="G78" s="23" t="n">
        <f aca="false">C78/Datos!$B$9*(2*Asistencia!N78+3*Asistencia!O78)</f>
        <v>0</v>
      </c>
      <c r="H78" s="15"/>
      <c r="I78" s="23" t="n">
        <f aca="false">SUM(E78:H78)</f>
        <v>0</v>
      </c>
      <c r="J78" s="15"/>
      <c r="K78" s="15"/>
      <c r="L78" s="15"/>
      <c r="M78" s="23" t="n">
        <f aca="false">I78-J78-K78-L78</f>
        <v>0</v>
      </c>
      <c r="N78" s="23" t="n">
        <f aca="false">(E78+F78)*Datos!$B$11+G78+H78</f>
        <v>0</v>
      </c>
      <c r="O78" s="11"/>
    </row>
    <row r="79" customFormat="false" ht="15" hidden="false" customHeight="false" outlineLevel="0" collapsed="false">
      <c r="A79" s="18" t="n">
        <f aca="false">Plantilla!A79</f>
        <v>73</v>
      </c>
      <c r="B79" s="11" t="str">
        <f aca="false">Asistencia!B79</f>
        <v/>
      </c>
      <c r="C79" s="23" t="n">
        <f aca="false">IF(Plantilla!H79="",0,Plantilla!H79)</f>
        <v>0</v>
      </c>
      <c r="D79" s="18" t="n">
        <f aca="false">MIN(6,Asistencia!L79)</f>
        <v>0</v>
      </c>
      <c r="E79" s="23" t="n">
        <f aca="false">C79*D79</f>
        <v>0</v>
      </c>
      <c r="F79" s="23" t="n">
        <f aca="false">C79*D79/6</f>
        <v>0</v>
      </c>
      <c r="G79" s="23" t="n">
        <f aca="false">C79/Datos!$B$9*(2*Asistencia!N79+3*Asistencia!O79)</f>
        <v>0</v>
      </c>
      <c r="H79" s="15"/>
      <c r="I79" s="23" t="n">
        <f aca="false">SUM(E79:H79)</f>
        <v>0</v>
      </c>
      <c r="J79" s="15"/>
      <c r="K79" s="15"/>
      <c r="L79" s="15"/>
      <c r="M79" s="23" t="n">
        <f aca="false">I79-J79-K79-L79</f>
        <v>0</v>
      </c>
      <c r="N79" s="23" t="n">
        <f aca="false">(E79+F79)*Datos!$B$11+G79+H79</f>
        <v>0</v>
      </c>
      <c r="O79" s="11"/>
    </row>
    <row r="80" customFormat="false" ht="15" hidden="false" customHeight="false" outlineLevel="0" collapsed="false">
      <c r="A80" s="18" t="n">
        <f aca="false">Plantilla!A80</f>
        <v>74</v>
      </c>
      <c r="B80" s="11" t="str">
        <f aca="false">Asistencia!B80</f>
        <v/>
      </c>
      <c r="C80" s="23" t="n">
        <f aca="false">IF(Plantilla!H80="",0,Plantilla!H80)</f>
        <v>0</v>
      </c>
      <c r="D80" s="18" t="n">
        <f aca="false">MIN(6,Asistencia!L80)</f>
        <v>0</v>
      </c>
      <c r="E80" s="23" t="n">
        <f aca="false">C80*D80</f>
        <v>0</v>
      </c>
      <c r="F80" s="23" t="n">
        <f aca="false">C80*D80/6</f>
        <v>0</v>
      </c>
      <c r="G80" s="23" t="n">
        <f aca="false">C80/Datos!$B$9*(2*Asistencia!N80+3*Asistencia!O80)</f>
        <v>0</v>
      </c>
      <c r="H80" s="15"/>
      <c r="I80" s="23" t="n">
        <f aca="false">SUM(E80:H80)</f>
        <v>0</v>
      </c>
      <c r="J80" s="15"/>
      <c r="K80" s="15"/>
      <c r="L80" s="15"/>
      <c r="M80" s="23" t="n">
        <f aca="false">I80-J80-K80-L80</f>
        <v>0</v>
      </c>
      <c r="N80" s="23" t="n">
        <f aca="false">(E80+F80)*Datos!$B$11+G80+H80</f>
        <v>0</v>
      </c>
      <c r="O80" s="11"/>
    </row>
    <row r="81" customFormat="false" ht="15" hidden="false" customHeight="false" outlineLevel="0" collapsed="false">
      <c r="A81" s="18" t="n">
        <f aca="false">Plantilla!A81</f>
        <v>75</v>
      </c>
      <c r="B81" s="11" t="str">
        <f aca="false">Asistencia!B81</f>
        <v/>
      </c>
      <c r="C81" s="23" t="n">
        <f aca="false">IF(Plantilla!H81="",0,Plantilla!H81)</f>
        <v>0</v>
      </c>
      <c r="D81" s="18" t="n">
        <f aca="false">MIN(6,Asistencia!L81)</f>
        <v>0</v>
      </c>
      <c r="E81" s="23" t="n">
        <f aca="false">C81*D81</f>
        <v>0</v>
      </c>
      <c r="F81" s="23" t="n">
        <f aca="false">C81*D81/6</f>
        <v>0</v>
      </c>
      <c r="G81" s="23" t="n">
        <f aca="false">C81/Datos!$B$9*(2*Asistencia!N81+3*Asistencia!O81)</f>
        <v>0</v>
      </c>
      <c r="H81" s="15"/>
      <c r="I81" s="23" t="n">
        <f aca="false">SUM(E81:H81)</f>
        <v>0</v>
      </c>
      <c r="J81" s="15"/>
      <c r="K81" s="15"/>
      <c r="L81" s="15"/>
      <c r="M81" s="23" t="n">
        <f aca="false">I81-J81-K81-L81</f>
        <v>0</v>
      </c>
      <c r="N81" s="23" t="n">
        <f aca="false">(E81+F81)*Datos!$B$11+G81+H81</f>
        <v>0</v>
      </c>
      <c r="O81" s="11"/>
    </row>
    <row r="82" customFormat="false" ht="15" hidden="false" customHeight="false" outlineLevel="0" collapsed="false">
      <c r="A82" s="18" t="n">
        <f aca="false">Plantilla!A82</f>
        <v>76</v>
      </c>
      <c r="B82" s="11" t="str">
        <f aca="false">Asistencia!B82</f>
        <v/>
      </c>
      <c r="C82" s="23" t="n">
        <f aca="false">IF(Plantilla!H82="",0,Plantilla!H82)</f>
        <v>0</v>
      </c>
      <c r="D82" s="18" t="n">
        <f aca="false">MIN(6,Asistencia!L82)</f>
        <v>0</v>
      </c>
      <c r="E82" s="23" t="n">
        <f aca="false">C82*D82</f>
        <v>0</v>
      </c>
      <c r="F82" s="23" t="n">
        <f aca="false">C82*D82/6</f>
        <v>0</v>
      </c>
      <c r="G82" s="23" t="n">
        <f aca="false">C82/Datos!$B$9*(2*Asistencia!N82+3*Asistencia!O82)</f>
        <v>0</v>
      </c>
      <c r="H82" s="15"/>
      <c r="I82" s="23" t="n">
        <f aca="false">SUM(E82:H82)</f>
        <v>0</v>
      </c>
      <c r="J82" s="15"/>
      <c r="K82" s="15"/>
      <c r="L82" s="15"/>
      <c r="M82" s="23" t="n">
        <f aca="false">I82-J82-K82-L82</f>
        <v>0</v>
      </c>
      <c r="N82" s="23" t="n">
        <f aca="false">(E82+F82)*Datos!$B$11+G82+H82</f>
        <v>0</v>
      </c>
      <c r="O82" s="11"/>
    </row>
    <row r="83" customFormat="false" ht="15" hidden="false" customHeight="false" outlineLevel="0" collapsed="false">
      <c r="A83" s="18" t="n">
        <f aca="false">Plantilla!A83</f>
        <v>77</v>
      </c>
      <c r="B83" s="11" t="str">
        <f aca="false">Asistencia!B83</f>
        <v/>
      </c>
      <c r="C83" s="23" t="n">
        <f aca="false">IF(Plantilla!H83="",0,Plantilla!H83)</f>
        <v>0</v>
      </c>
      <c r="D83" s="18" t="n">
        <f aca="false">MIN(6,Asistencia!L83)</f>
        <v>0</v>
      </c>
      <c r="E83" s="23" t="n">
        <f aca="false">C83*D83</f>
        <v>0</v>
      </c>
      <c r="F83" s="23" t="n">
        <f aca="false">C83*D83/6</f>
        <v>0</v>
      </c>
      <c r="G83" s="23" t="n">
        <f aca="false">C83/Datos!$B$9*(2*Asistencia!N83+3*Asistencia!O83)</f>
        <v>0</v>
      </c>
      <c r="H83" s="15"/>
      <c r="I83" s="23" t="n">
        <f aca="false">SUM(E83:H83)</f>
        <v>0</v>
      </c>
      <c r="J83" s="15"/>
      <c r="K83" s="15"/>
      <c r="L83" s="15"/>
      <c r="M83" s="23" t="n">
        <f aca="false">I83-J83-K83-L83</f>
        <v>0</v>
      </c>
      <c r="N83" s="23" t="n">
        <f aca="false">(E83+F83)*Datos!$B$11+G83+H83</f>
        <v>0</v>
      </c>
      <c r="O83" s="11"/>
    </row>
    <row r="84" customFormat="false" ht="15" hidden="false" customHeight="false" outlineLevel="0" collapsed="false">
      <c r="A84" s="18" t="n">
        <f aca="false">Plantilla!A84</f>
        <v>78</v>
      </c>
      <c r="B84" s="11" t="str">
        <f aca="false">Asistencia!B84</f>
        <v/>
      </c>
      <c r="C84" s="23" t="n">
        <f aca="false">IF(Plantilla!H84="",0,Plantilla!H84)</f>
        <v>0</v>
      </c>
      <c r="D84" s="18" t="n">
        <f aca="false">MIN(6,Asistencia!L84)</f>
        <v>0</v>
      </c>
      <c r="E84" s="23" t="n">
        <f aca="false">C84*D84</f>
        <v>0</v>
      </c>
      <c r="F84" s="23" t="n">
        <f aca="false">C84*D84/6</f>
        <v>0</v>
      </c>
      <c r="G84" s="23" t="n">
        <f aca="false">C84/Datos!$B$9*(2*Asistencia!N84+3*Asistencia!O84)</f>
        <v>0</v>
      </c>
      <c r="H84" s="15"/>
      <c r="I84" s="23" t="n">
        <f aca="false">SUM(E84:H84)</f>
        <v>0</v>
      </c>
      <c r="J84" s="15"/>
      <c r="K84" s="15"/>
      <c r="L84" s="15"/>
      <c r="M84" s="23" t="n">
        <f aca="false">I84-J84-K84-L84</f>
        <v>0</v>
      </c>
      <c r="N84" s="23" t="n">
        <f aca="false">(E84+F84)*Datos!$B$11+G84+H84</f>
        <v>0</v>
      </c>
      <c r="O84" s="11"/>
    </row>
    <row r="85" customFormat="false" ht="15" hidden="false" customHeight="false" outlineLevel="0" collapsed="false">
      <c r="A85" s="18" t="n">
        <f aca="false">Plantilla!A85</f>
        <v>79</v>
      </c>
      <c r="B85" s="11" t="str">
        <f aca="false">Asistencia!B85</f>
        <v/>
      </c>
      <c r="C85" s="23" t="n">
        <f aca="false">IF(Plantilla!H85="",0,Plantilla!H85)</f>
        <v>0</v>
      </c>
      <c r="D85" s="18" t="n">
        <f aca="false">MIN(6,Asistencia!L85)</f>
        <v>0</v>
      </c>
      <c r="E85" s="23" t="n">
        <f aca="false">C85*D85</f>
        <v>0</v>
      </c>
      <c r="F85" s="23" t="n">
        <f aca="false">C85*D85/6</f>
        <v>0</v>
      </c>
      <c r="G85" s="23" t="n">
        <f aca="false">C85/Datos!$B$9*(2*Asistencia!N85+3*Asistencia!O85)</f>
        <v>0</v>
      </c>
      <c r="H85" s="15"/>
      <c r="I85" s="23" t="n">
        <f aca="false">SUM(E85:H85)</f>
        <v>0</v>
      </c>
      <c r="J85" s="15"/>
      <c r="K85" s="15"/>
      <c r="L85" s="15"/>
      <c r="M85" s="23" t="n">
        <f aca="false">I85-J85-K85-L85</f>
        <v>0</v>
      </c>
      <c r="N85" s="23" t="n">
        <f aca="false">(E85+F85)*Datos!$B$11+G85+H85</f>
        <v>0</v>
      </c>
      <c r="O85" s="11"/>
    </row>
    <row r="86" customFormat="false" ht="15" hidden="false" customHeight="false" outlineLevel="0" collapsed="false">
      <c r="A86" s="18" t="n">
        <f aca="false">Plantilla!A86</f>
        <v>80</v>
      </c>
      <c r="B86" s="11" t="str">
        <f aca="false">Asistencia!B86</f>
        <v/>
      </c>
      <c r="C86" s="23" t="n">
        <f aca="false">IF(Plantilla!H86="",0,Plantilla!H86)</f>
        <v>0</v>
      </c>
      <c r="D86" s="18" t="n">
        <f aca="false">MIN(6,Asistencia!L86)</f>
        <v>0</v>
      </c>
      <c r="E86" s="23" t="n">
        <f aca="false">C86*D86</f>
        <v>0</v>
      </c>
      <c r="F86" s="23" t="n">
        <f aca="false">C86*D86/6</f>
        <v>0</v>
      </c>
      <c r="G86" s="23" t="n">
        <f aca="false">C86/Datos!$B$9*(2*Asistencia!N86+3*Asistencia!O86)</f>
        <v>0</v>
      </c>
      <c r="H86" s="15"/>
      <c r="I86" s="23" t="n">
        <f aca="false">SUM(E86:H86)</f>
        <v>0</v>
      </c>
      <c r="J86" s="15"/>
      <c r="K86" s="15"/>
      <c r="L86" s="15"/>
      <c r="M86" s="23" t="n">
        <f aca="false">I86-J86-K86-L86</f>
        <v>0</v>
      </c>
      <c r="N86" s="23" t="n">
        <f aca="false">(E86+F86)*Datos!$B$11+G86+H86</f>
        <v>0</v>
      </c>
      <c r="O86" s="11"/>
    </row>
    <row r="87" customFormat="false" ht="15" hidden="false" customHeight="false" outlineLevel="0" collapsed="false">
      <c r="A87" s="24"/>
      <c r="B87" s="24" t="s">
        <v>83</v>
      </c>
      <c r="C87" s="24"/>
      <c r="D87" s="24"/>
      <c r="E87" s="25" t="n">
        <f aca="false">SUM(E7:E86)</f>
        <v>23790</v>
      </c>
      <c r="F87" s="25" t="n">
        <f aca="false">SUM(F7:F86)</f>
        <v>3965</v>
      </c>
      <c r="G87" s="25" t="n">
        <f aca="false">SUM(G7:G86)</f>
        <v>2973.75</v>
      </c>
      <c r="H87" s="25" t="n">
        <f aca="false">SUM(H7:H86)</f>
        <v>0</v>
      </c>
      <c r="I87" s="25" t="n">
        <f aca="false">SUM(I7:I86)</f>
        <v>30728.75</v>
      </c>
      <c r="J87" s="25" t="n">
        <f aca="false">SUM(J7:J86)</f>
        <v>0</v>
      </c>
      <c r="K87" s="25" t="n">
        <f aca="false">SUM(K7:K86)</f>
        <v>0</v>
      </c>
      <c r="L87" s="25" t="n">
        <f aca="false">SUM(L7:L86)</f>
        <v>0</v>
      </c>
      <c r="M87" s="25" t="n">
        <f aca="false">SUM(M7:M86)</f>
        <v>30728.75</v>
      </c>
      <c r="N87" s="25" t="n">
        <f aca="false">SUM(N7:N86)</f>
        <v>47936.85</v>
      </c>
      <c r="O87" s="24"/>
    </row>
    <row r="88" customFormat="false" ht="15" hidden="false" customHeight="false" outlineLevel="0" collapsed="false">
      <c r="B88" s="26" t="s">
        <v>84</v>
      </c>
    </row>
    <row r="91" customFormat="false" ht="15" hidden="false" customHeight="false" outlineLevel="0" collapsed="false">
      <c r="B91" s="10" t="s">
        <v>85</v>
      </c>
      <c r="H91" s="10" t="s">
        <v>85</v>
      </c>
    </row>
    <row r="92" customFormat="false" ht="15" hidden="false" customHeight="false" outlineLevel="0" collapsed="false">
      <c r="B92" s="9" t="s">
        <v>86</v>
      </c>
      <c r="H92" s="9" t="s">
        <v>87</v>
      </c>
    </row>
  </sheetData>
  <mergeCells count="2">
    <mergeCell ref="A1:O1"/>
    <mergeCell ref="A2:O2"/>
  </mergeCells>
  <printOptions headings="false" gridLines="false" gridLinesSet="true" horizontalCentered="tru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8" min="6" style="0" width="8"/>
    <col collapsed="false" customWidth="true" hidden="false" outlineLevel="0" max="9" min="9" style="0" width="9"/>
    <col collapsed="false" customWidth="true" hidden="false" outlineLevel="0" max="17" min="10" style="0" width="8"/>
    <col collapsed="false" customWidth="true" hidden="false" outlineLevel="0" max="18" min="18" style="0" width="16"/>
    <col collapsed="false" customWidth="true" hidden="false" outlineLevel="0" max="19" min="19" style="0" width="24"/>
  </cols>
  <sheetData>
    <row r="1" customFormat="false" ht="16.15" hidden="false" customHeight="false" outlineLevel="0" collapsed="false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customFormat="false" ht="15" hidden="false" customHeight="false" outlineLevel="0" collapsed="false">
      <c r="A2" s="8" t="s">
        <v>88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customFormat="false" ht="15" hidden="false" customHeight="false" outlineLevel="0" collapsed="false">
      <c r="A3" s="9" t="s">
        <v>17</v>
      </c>
      <c r="B3" s="10"/>
    </row>
    <row r="4" customFormat="false" ht="15" hidden="false" customHeight="false" outlineLevel="0" collapsed="false">
      <c r="A4" s="9" t="s">
        <v>18</v>
      </c>
      <c r="B4" s="10"/>
    </row>
    <row r="6" customFormat="false" ht="30" hidden="false" customHeight="true" outlineLevel="0" collapsed="false">
      <c r="A6" s="17" t="s">
        <v>89</v>
      </c>
      <c r="B6" s="17" t="s">
        <v>90</v>
      </c>
      <c r="C6" s="17" t="s">
        <v>91</v>
      </c>
      <c r="D6" s="17" t="s">
        <v>92</v>
      </c>
      <c r="E6" s="17" t="s">
        <v>93</v>
      </c>
      <c r="F6" s="17" t="s">
        <v>94</v>
      </c>
      <c r="G6" s="17" t="s">
        <v>95</v>
      </c>
      <c r="H6" s="17" t="s">
        <v>96</v>
      </c>
      <c r="I6" s="17" t="s">
        <v>97</v>
      </c>
      <c r="J6" s="17" t="s">
        <v>98</v>
      </c>
      <c r="K6" s="17" t="s">
        <v>99</v>
      </c>
      <c r="L6" s="17" t="s">
        <v>100</v>
      </c>
      <c r="M6" s="17" t="s">
        <v>101</v>
      </c>
      <c r="N6" s="17" t="s">
        <v>102</v>
      </c>
      <c r="O6" s="17" t="s">
        <v>103</v>
      </c>
      <c r="P6" s="17" t="s">
        <v>104</v>
      </c>
      <c r="Q6" s="17" t="s">
        <v>105</v>
      </c>
      <c r="R6" s="17" t="s">
        <v>106</v>
      </c>
      <c r="S6" s="17" t="s">
        <v>107</v>
      </c>
    </row>
    <row r="7" customFormat="false" ht="15" hidden="false" customHeight="false" outlineLevel="0" collapsed="false">
      <c r="A7" s="19" t="s">
        <v>108</v>
      </c>
      <c r="B7" s="19"/>
      <c r="C7" s="19" t="s">
        <v>109</v>
      </c>
      <c r="D7" s="19" t="s">
        <v>110</v>
      </c>
      <c r="E7" s="12" t="n">
        <v>46714</v>
      </c>
      <c r="F7" s="18" t="n">
        <f aca="true">IF(E7="","",E7-TODAY())</f>
        <v>400</v>
      </c>
      <c r="G7" s="19" t="n">
        <v>6</v>
      </c>
      <c r="H7" s="19" t="s">
        <v>46</v>
      </c>
      <c r="I7" s="19" t="s">
        <v>111</v>
      </c>
      <c r="J7" s="19" t="s">
        <v>46</v>
      </c>
      <c r="K7" s="19" t="s">
        <v>46</v>
      </c>
      <c r="L7" s="19" t="s">
        <v>46</v>
      </c>
      <c r="M7" s="19" t="s">
        <v>46</v>
      </c>
      <c r="N7" s="19" t="s">
        <v>46</v>
      </c>
      <c r="O7" s="19" t="s">
        <v>46</v>
      </c>
      <c r="P7" s="19" t="s">
        <v>46</v>
      </c>
      <c r="Q7" s="19" t="s">
        <v>46</v>
      </c>
      <c r="R7" s="11" t="str">
        <f aca="false">IF(A7="","",IF(OR(D7="",AND(ISNUMBER(F7),F7&lt;0),COUNTIF(H7:Q7,"No")&gt;0),"RETENER PAGO",IF(AND(ISNUMBER(F7),F7&lt;=30),"Renovar REPSE","OK")))</f>
        <v>OK</v>
      </c>
      <c r="S7" s="19"/>
    </row>
    <row r="8" customFormat="false" ht="15" hidden="false" customHeight="false" outlineLevel="0" collapsed="false">
      <c r="A8" s="19" t="s">
        <v>112</v>
      </c>
      <c r="B8" s="19"/>
      <c r="C8" s="19" t="s">
        <v>113</v>
      </c>
      <c r="D8" s="19" t="s">
        <v>114</v>
      </c>
      <c r="E8" s="12" t="n">
        <v>46334</v>
      </c>
      <c r="F8" s="18" t="n">
        <f aca="true">IF(E8="","",E8-TODAY())</f>
        <v>20</v>
      </c>
      <c r="G8" s="19" t="n">
        <v>8</v>
      </c>
      <c r="H8" s="19" t="s">
        <v>46</v>
      </c>
      <c r="I8" s="19" t="s">
        <v>111</v>
      </c>
      <c r="J8" s="19" t="s">
        <v>46</v>
      </c>
      <c r="K8" s="19" t="s">
        <v>56</v>
      </c>
      <c r="L8" s="19" t="s">
        <v>46</v>
      </c>
      <c r="M8" s="19" t="s">
        <v>46</v>
      </c>
      <c r="N8" s="19" t="s">
        <v>46</v>
      </c>
      <c r="O8" s="19" t="s">
        <v>46</v>
      </c>
      <c r="P8" s="19" t="s">
        <v>46</v>
      </c>
      <c r="Q8" s="19" t="s">
        <v>46</v>
      </c>
      <c r="R8" s="11" t="str">
        <f aca="false">IF(A8="","",IF(OR(D8="",AND(ISNUMBER(F8),F8&lt;0),COUNTIF(H8:Q8,"No")&gt;0),"RETENER PAGO",IF(AND(ISNUMBER(F8),F8&lt;=30),"Renovar REPSE","OK")))</f>
        <v>RETENER PAGO</v>
      </c>
      <c r="S8" s="19"/>
    </row>
    <row r="9" customFormat="false" ht="15" hidden="false" customHeight="false" outlineLevel="0" collapsed="false">
      <c r="A9" s="19"/>
      <c r="B9" s="19"/>
      <c r="C9" s="19"/>
      <c r="D9" s="19"/>
      <c r="E9" s="12"/>
      <c r="F9" s="18" t="str">
        <f aca="true">IF(E9="","",E9-TODAY())</f>
        <v/>
      </c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1" t="str">
        <f aca="false">IF(A9="","",IF(OR(D9="",AND(ISNUMBER(F9),F9&lt;0),COUNTIF(H9:Q9,"No")&gt;0),"RETENER PAGO",IF(AND(ISNUMBER(F9),F9&lt;=30),"Renovar REPSE","OK")))</f>
        <v/>
      </c>
      <c r="S9" s="19"/>
    </row>
    <row r="10" customFormat="false" ht="15" hidden="false" customHeight="false" outlineLevel="0" collapsed="false">
      <c r="A10" s="19"/>
      <c r="B10" s="19"/>
      <c r="C10" s="19"/>
      <c r="D10" s="19"/>
      <c r="E10" s="12"/>
      <c r="F10" s="18" t="str">
        <f aca="true">IF(E10="","",E10-TODAY())</f>
        <v/>
      </c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1" t="str">
        <f aca="false">IF(A10="","",IF(OR(D10="",AND(ISNUMBER(F10),F10&lt;0),COUNTIF(H10:Q10,"No")&gt;0),"RETENER PAGO",IF(AND(ISNUMBER(F10),F10&lt;=30),"Renovar REPSE","OK")))</f>
        <v/>
      </c>
      <c r="S10" s="19"/>
    </row>
    <row r="11" customFormat="false" ht="15" hidden="false" customHeight="false" outlineLevel="0" collapsed="false">
      <c r="A11" s="19"/>
      <c r="B11" s="19"/>
      <c r="C11" s="19"/>
      <c r="D11" s="19"/>
      <c r="E11" s="12"/>
      <c r="F11" s="18" t="str">
        <f aca="true">IF(E11="","",E11-TODAY())</f>
        <v/>
      </c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1" t="str">
        <f aca="false">IF(A11="","",IF(OR(D11="",AND(ISNUMBER(F11),F11&lt;0),COUNTIF(H11:Q11,"No")&gt;0),"RETENER PAGO",IF(AND(ISNUMBER(F11),F11&lt;=30),"Renovar REPSE","OK")))</f>
        <v/>
      </c>
      <c r="S11" s="19"/>
    </row>
    <row r="12" customFormat="false" ht="15" hidden="false" customHeight="false" outlineLevel="0" collapsed="false">
      <c r="A12" s="19"/>
      <c r="B12" s="19"/>
      <c r="C12" s="19"/>
      <c r="D12" s="19"/>
      <c r="E12" s="12"/>
      <c r="F12" s="18" t="str">
        <f aca="true">IF(E12="","",E12-TODAY())</f>
        <v/>
      </c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1" t="str">
        <f aca="false">IF(A12="","",IF(OR(D12="",AND(ISNUMBER(F12),F12&lt;0),COUNTIF(H12:Q12,"No")&gt;0),"RETENER PAGO",IF(AND(ISNUMBER(F12),F12&lt;=30),"Renovar REPSE","OK")))</f>
        <v/>
      </c>
      <c r="S12" s="19"/>
    </row>
    <row r="13" customFormat="false" ht="15" hidden="false" customHeight="false" outlineLevel="0" collapsed="false">
      <c r="A13" s="19"/>
      <c r="B13" s="19"/>
      <c r="C13" s="19"/>
      <c r="D13" s="19"/>
      <c r="E13" s="12"/>
      <c r="F13" s="18" t="str">
        <f aca="true">IF(E13="","",E13-TODAY())</f>
        <v/>
      </c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1" t="str">
        <f aca="false">IF(A13="","",IF(OR(D13="",AND(ISNUMBER(F13),F13&lt;0),COUNTIF(H13:Q13,"No")&gt;0),"RETENER PAGO",IF(AND(ISNUMBER(F13),F13&lt;=30),"Renovar REPSE","OK")))</f>
        <v/>
      </c>
      <c r="S13" s="19"/>
    </row>
    <row r="14" customFormat="false" ht="15" hidden="false" customHeight="false" outlineLevel="0" collapsed="false">
      <c r="A14" s="19"/>
      <c r="B14" s="19"/>
      <c r="C14" s="19"/>
      <c r="D14" s="19"/>
      <c r="E14" s="12"/>
      <c r="F14" s="18" t="str">
        <f aca="true">IF(E14="","",E14-TODAY())</f>
        <v/>
      </c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1" t="str">
        <f aca="false">IF(A14="","",IF(OR(D14="",AND(ISNUMBER(F14),F14&lt;0),COUNTIF(H14:Q14,"No")&gt;0),"RETENER PAGO",IF(AND(ISNUMBER(F14),F14&lt;=30),"Renovar REPSE","OK")))</f>
        <v/>
      </c>
      <c r="S14" s="19"/>
    </row>
    <row r="15" customFormat="false" ht="15" hidden="false" customHeight="false" outlineLevel="0" collapsed="false">
      <c r="A15" s="19"/>
      <c r="B15" s="19"/>
      <c r="C15" s="19"/>
      <c r="D15" s="19"/>
      <c r="E15" s="12"/>
      <c r="F15" s="18" t="str">
        <f aca="true">IF(E15="","",E15-TODAY())</f>
        <v/>
      </c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1" t="str">
        <f aca="false">IF(A15="","",IF(OR(D15="",AND(ISNUMBER(F15),F15&lt;0),COUNTIF(H15:Q15,"No")&gt;0),"RETENER PAGO",IF(AND(ISNUMBER(F15),F15&lt;=30),"Renovar REPSE","OK")))</f>
        <v/>
      </c>
      <c r="S15" s="19"/>
    </row>
    <row r="16" customFormat="false" ht="15" hidden="false" customHeight="false" outlineLevel="0" collapsed="false">
      <c r="A16" s="19"/>
      <c r="B16" s="19"/>
      <c r="C16" s="19"/>
      <c r="D16" s="19"/>
      <c r="E16" s="12"/>
      <c r="F16" s="18" t="str">
        <f aca="true">IF(E16="","",E16-TODAY())</f>
        <v/>
      </c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1" t="str">
        <f aca="false">IF(A16="","",IF(OR(D16="",AND(ISNUMBER(F16),F16&lt;0),COUNTIF(H16:Q16,"No")&gt;0),"RETENER PAGO",IF(AND(ISNUMBER(F16),F16&lt;=30),"Renovar REPSE","OK")))</f>
        <v/>
      </c>
      <c r="S16" s="19"/>
    </row>
    <row r="17" customFormat="false" ht="15" hidden="false" customHeight="false" outlineLevel="0" collapsed="false">
      <c r="A17" s="19"/>
      <c r="B17" s="19"/>
      <c r="C17" s="19"/>
      <c r="D17" s="19"/>
      <c r="E17" s="12"/>
      <c r="F17" s="18" t="str">
        <f aca="true">IF(E17="","",E17-TODAY())</f>
        <v/>
      </c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1" t="str">
        <f aca="false">IF(A17="","",IF(OR(D17="",AND(ISNUMBER(F17),F17&lt;0),COUNTIF(H17:Q17,"No")&gt;0),"RETENER PAGO",IF(AND(ISNUMBER(F17),F17&lt;=30),"Renovar REPSE","OK")))</f>
        <v/>
      </c>
      <c r="S17" s="19"/>
    </row>
    <row r="18" customFormat="false" ht="15" hidden="false" customHeight="false" outlineLevel="0" collapsed="false">
      <c r="A18" s="19"/>
      <c r="B18" s="19"/>
      <c r="C18" s="19"/>
      <c r="D18" s="19"/>
      <c r="E18" s="12"/>
      <c r="F18" s="18" t="str">
        <f aca="true">IF(E18="","",E18-TODAY())</f>
        <v/>
      </c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1" t="str">
        <f aca="false">IF(A18="","",IF(OR(D18="",AND(ISNUMBER(F18),F18&lt;0),COUNTIF(H18:Q18,"No")&gt;0),"RETENER PAGO",IF(AND(ISNUMBER(F18),F18&lt;=30),"Renovar REPSE","OK")))</f>
        <v/>
      </c>
      <c r="S18" s="19"/>
    </row>
    <row r="19" customFormat="false" ht="15" hidden="false" customHeight="false" outlineLevel="0" collapsed="false">
      <c r="A19" s="19"/>
      <c r="B19" s="19"/>
      <c r="C19" s="19"/>
      <c r="D19" s="19"/>
      <c r="E19" s="12"/>
      <c r="F19" s="18" t="str">
        <f aca="true">IF(E19="","",E19-TODAY())</f>
        <v/>
      </c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1" t="str">
        <f aca="false">IF(A19="","",IF(OR(D19="",AND(ISNUMBER(F19),F19&lt;0),COUNTIF(H19:Q19,"No")&gt;0),"RETENER PAGO",IF(AND(ISNUMBER(F19),F19&lt;=30),"Renovar REPSE","OK")))</f>
        <v/>
      </c>
      <c r="S19" s="19"/>
    </row>
    <row r="20" customFormat="false" ht="15" hidden="false" customHeight="false" outlineLevel="0" collapsed="false">
      <c r="A20" s="19"/>
      <c r="B20" s="19"/>
      <c r="C20" s="19"/>
      <c r="D20" s="19"/>
      <c r="E20" s="12"/>
      <c r="F20" s="18" t="str">
        <f aca="true">IF(E20="","",E20-TODAY())</f>
        <v/>
      </c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1" t="str">
        <f aca="false">IF(A20="","",IF(OR(D20="",AND(ISNUMBER(F20),F20&lt;0),COUNTIF(H20:Q20,"No")&gt;0),"RETENER PAGO",IF(AND(ISNUMBER(F20),F20&lt;=30),"Renovar REPSE","OK")))</f>
        <v/>
      </c>
      <c r="S20" s="19"/>
    </row>
    <row r="21" customFormat="false" ht="15" hidden="false" customHeight="false" outlineLevel="0" collapsed="false">
      <c r="A21" s="19"/>
      <c r="B21" s="19"/>
      <c r="C21" s="19"/>
      <c r="D21" s="19"/>
      <c r="E21" s="12"/>
      <c r="F21" s="18" t="str">
        <f aca="true">IF(E21="","",E21-TODAY())</f>
        <v/>
      </c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1" t="str">
        <f aca="false">IF(A21="","",IF(OR(D21="",AND(ISNUMBER(F21),F21&lt;0),COUNTIF(H21:Q21,"No")&gt;0),"RETENER PAGO",IF(AND(ISNUMBER(F21),F21&lt;=30),"Renovar REPSE","OK")))</f>
        <v/>
      </c>
      <c r="S21" s="19"/>
    </row>
    <row r="22" customFormat="false" ht="15" hidden="false" customHeight="false" outlineLevel="0" collapsed="false">
      <c r="A22" s="19"/>
      <c r="B22" s="19"/>
      <c r="C22" s="19"/>
      <c r="D22" s="19"/>
      <c r="E22" s="12"/>
      <c r="F22" s="18" t="str">
        <f aca="true">IF(E22="","",E22-TODAY())</f>
        <v/>
      </c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1" t="str">
        <f aca="false">IF(A22="","",IF(OR(D22="",AND(ISNUMBER(F22),F22&lt;0),COUNTIF(H22:Q22,"No")&gt;0),"RETENER PAGO",IF(AND(ISNUMBER(F22),F22&lt;=30),"Renovar REPSE","OK")))</f>
        <v/>
      </c>
      <c r="S22" s="19"/>
    </row>
    <row r="23" customFormat="false" ht="15" hidden="false" customHeight="false" outlineLevel="0" collapsed="false">
      <c r="A23" s="19"/>
      <c r="B23" s="19"/>
      <c r="C23" s="19"/>
      <c r="D23" s="19"/>
      <c r="E23" s="12"/>
      <c r="F23" s="18" t="str">
        <f aca="true">IF(E23="","",E23-TODAY())</f>
        <v/>
      </c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1" t="str">
        <f aca="false">IF(A23="","",IF(OR(D23="",AND(ISNUMBER(F23),F23&lt;0),COUNTIF(H23:Q23,"No")&gt;0),"RETENER PAGO",IF(AND(ISNUMBER(F23),F23&lt;=30),"Renovar REPSE","OK")))</f>
        <v/>
      </c>
      <c r="S23" s="19"/>
    </row>
    <row r="24" customFormat="false" ht="15" hidden="false" customHeight="false" outlineLevel="0" collapsed="false">
      <c r="A24" s="19"/>
      <c r="B24" s="19"/>
      <c r="C24" s="19"/>
      <c r="D24" s="19"/>
      <c r="E24" s="12"/>
      <c r="F24" s="18" t="str">
        <f aca="true">IF(E24="","",E24-TODAY())</f>
        <v/>
      </c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1" t="str">
        <f aca="false">IF(A24="","",IF(OR(D24="",AND(ISNUMBER(F24),F24&lt;0),COUNTIF(H24:Q24,"No")&gt;0),"RETENER PAGO",IF(AND(ISNUMBER(F24),F24&lt;=30),"Renovar REPSE","OK")))</f>
        <v/>
      </c>
      <c r="S24" s="19"/>
    </row>
    <row r="25" customFormat="false" ht="15" hidden="false" customHeight="false" outlineLevel="0" collapsed="false">
      <c r="A25" s="19"/>
      <c r="B25" s="19"/>
      <c r="C25" s="19"/>
      <c r="D25" s="19"/>
      <c r="E25" s="12"/>
      <c r="F25" s="18" t="str">
        <f aca="true">IF(E25="","",E25-TODAY())</f>
        <v/>
      </c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1" t="str">
        <f aca="false">IF(A25="","",IF(OR(D25="",AND(ISNUMBER(F25),F25&lt;0),COUNTIF(H25:Q25,"No")&gt;0),"RETENER PAGO",IF(AND(ISNUMBER(F25),F25&lt;=30),"Renovar REPSE","OK")))</f>
        <v/>
      </c>
      <c r="S25" s="19"/>
    </row>
    <row r="26" customFormat="false" ht="15" hidden="false" customHeight="false" outlineLevel="0" collapsed="false">
      <c r="A26" s="19"/>
      <c r="B26" s="19"/>
      <c r="C26" s="19"/>
      <c r="D26" s="19"/>
      <c r="E26" s="12"/>
      <c r="F26" s="18" t="str">
        <f aca="true">IF(E26="","",E26-TODAY())</f>
        <v/>
      </c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1" t="str">
        <f aca="false">IF(A26="","",IF(OR(D26="",AND(ISNUMBER(F26),F26&lt;0),COUNTIF(H26:Q26,"No")&gt;0),"RETENER PAGO",IF(AND(ISNUMBER(F26),F26&lt;=30),"Renovar REPSE","OK")))</f>
        <v/>
      </c>
      <c r="S26" s="19"/>
    </row>
    <row r="27" customFormat="false" ht="15" hidden="false" customHeight="false" outlineLevel="0" collapsed="false">
      <c r="A27" s="19"/>
      <c r="B27" s="19"/>
      <c r="C27" s="19"/>
      <c r="D27" s="19"/>
      <c r="E27" s="12"/>
      <c r="F27" s="18" t="str">
        <f aca="true">IF(E27="","",E27-TODAY())</f>
        <v/>
      </c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1" t="str">
        <f aca="false">IF(A27="","",IF(OR(D27="",AND(ISNUMBER(F27),F27&lt;0),COUNTIF(H27:Q27,"No")&gt;0),"RETENER PAGO",IF(AND(ISNUMBER(F27),F27&lt;=30),"Renovar REPSE","OK")))</f>
        <v/>
      </c>
      <c r="S27" s="19"/>
    </row>
    <row r="28" customFormat="false" ht="15" hidden="false" customHeight="false" outlineLevel="0" collapsed="false">
      <c r="A28" s="19"/>
      <c r="B28" s="19"/>
      <c r="C28" s="19"/>
      <c r="D28" s="19"/>
      <c r="E28" s="12"/>
      <c r="F28" s="18" t="str">
        <f aca="true">IF(E28="","",E28-TODAY())</f>
        <v/>
      </c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1" t="str">
        <f aca="false">IF(A28="","",IF(OR(D28="",AND(ISNUMBER(F28),F28&lt;0),COUNTIF(H28:Q28,"No")&gt;0),"RETENER PAGO",IF(AND(ISNUMBER(F28),F28&lt;=30),"Renovar REPSE","OK")))</f>
        <v/>
      </c>
      <c r="S28" s="19"/>
    </row>
    <row r="29" customFormat="false" ht="15" hidden="false" customHeight="false" outlineLevel="0" collapsed="false">
      <c r="A29" s="19"/>
      <c r="B29" s="19"/>
      <c r="C29" s="19"/>
      <c r="D29" s="19"/>
      <c r="E29" s="12"/>
      <c r="F29" s="18" t="str">
        <f aca="true">IF(E29="","",E29-TODAY())</f>
        <v/>
      </c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1" t="str">
        <f aca="false">IF(A29="","",IF(OR(D29="",AND(ISNUMBER(F29),F29&lt;0),COUNTIF(H29:Q29,"No")&gt;0),"RETENER PAGO",IF(AND(ISNUMBER(F29),F29&lt;=30),"Renovar REPSE","OK")))</f>
        <v/>
      </c>
      <c r="S29" s="19"/>
    </row>
    <row r="30" customFormat="false" ht="15" hidden="false" customHeight="false" outlineLevel="0" collapsed="false">
      <c r="A30" s="19"/>
      <c r="B30" s="19"/>
      <c r="C30" s="19"/>
      <c r="D30" s="19"/>
      <c r="E30" s="12"/>
      <c r="F30" s="18" t="str">
        <f aca="true">IF(E30="","",E30-TODAY())</f>
        <v/>
      </c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1" t="str">
        <f aca="false">IF(A30="","",IF(OR(D30="",AND(ISNUMBER(F30),F30&lt;0),COUNTIF(H30:Q30,"No")&gt;0),"RETENER PAGO",IF(AND(ISNUMBER(F30),F30&lt;=30),"Renovar REPSE","OK")))</f>
        <v/>
      </c>
      <c r="S30" s="19"/>
    </row>
    <row r="31" customFormat="false" ht="15" hidden="false" customHeight="false" outlineLevel="0" collapsed="false">
      <c r="A31" s="19"/>
      <c r="B31" s="19"/>
      <c r="C31" s="19"/>
      <c r="D31" s="19"/>
      <c r="E31" s="12"/>
      <c r="F31" s="18" t="str">
        <f aca="true">IF(E31="","",E31-TODAY())</f>
        <v/>
      </c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1" t="str">
        <f aca="false">IF(A31="","",IF(OR(D31="",AND(ISNUMBER(F31),F31&lt;0),COUNTIF(H31:Q31,"No")&gt;0),"RETENER PAGO",IF(AND(ISNUMBER(F31),F31&lt;=30),"Renovar REPSE","OK")))</f>
        <v/>
      </c>
      <c r="S31" s="19"/>
    </row>
    <row r="32" customFormat="false" ht="15" hidden="false" customHeight="false" outlineLevel="0" collapsed="false">
      <c r="A32" s="19"/>
      <c r="B32" s="19"/>
      <c r="C32" s="19"/>
      <c r="D32" s="19"/>
      <c r="E32" s="12"/>
      <c r="F32" s="18" t="str">
        <f aca="true">IF(E32="","",E32-TODAY())</f>
        <v/>
      </c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1" t="str">
        <f aca="false">IF(A32="","",IF(OR(D32="",AND(ISNUMBER(F32),F32&lt;0),COUNTIF(H32:Q32,"No")&gt;0),"RETENER PAGO",IF(AND(ISNUMBER(F32),F32&lt;=30),"Renovar REPSE","OK")))</f>
        <v/>
      </c>
      <c r="S32" s="19"/>
    </row>
    <row r="33" customFormat="false" ht="15" hidden="false" customHeight="false" outlineLevel="0" collapsed="false">
      <c r="A33" s="19"/>
      <c r="B33" s="19"/>
      <c r="C33" s="19"/>
      <c r="D33" s="19"/>
      <c r="E33" s="12"/>
      <c r="F33" s="18" t="str">
        <f aca="true">IF(E33="","",E33-TODAY())</f>
        <v/>
      </c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1" t="str">
        <f aca="false">IF(A33="","",IF(OR(D33="",AND(ISNUMBER(F33),F33&lt;0),COUNTIF(H33:Q33,"No")&gt;0),"RETENER PAGO",IF(AND(ISNUMBER(F33),F33&lt;=30),"Renovar REPSE","OK")))</f>
        <v/>
      </c>
      <c r="S33" s="19"/>
    </row>
    <row r="34" customFormat="false" ht="15" hidden="false" customHeight="false" outlineLevel="0" collapsed="false">
      <c r="A34" s="19"/>
      <c r="B34" s="19"/>
      <c r="C34" s="19"/>
      <c r="D34" s="19"/>
      <c r="E34" s="12"/>
      <c r="F34" s="18" t="str">
        <f aca="true">IF(E34="","",E34-TODAY())</f>
        <v/>
      </c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1" t="str">
        <f aca="false">IF(A34="","",IF(OR(D34="",AND(ISNUMBER(F34),F34&lt;0),COUNTIF(H34:Q34,"No")&gt;0),"RETENER PAGO",IF(AND(ISNUMBER(F34),F34&lt;=30),"Renovar REPSE","OK")))</f>
        <v/>
      </c>
      <c r="S34" s="19"/>
    </row>
    <row r="35" customFormat="false" ht="15" hidden="false" customHeight="false" outlineLevel="0" collapsed="false">
      <c r="A35" s="19"/>
      <c r="B35" s="19"/>
      <c r="C35" s="19"/>
      <c r="D35" s="19"/>
      <c r="E35" s="12"/>
      <c r="F35" s="18" t="str">
        <f aca="true">IF(E35="","",E35-TODAY())</f>
        <v/>
      </c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1" t="str">
        <f aca="false">IF(A35="","",IF(OR(D35="",AND(ISNUMBER(F35),F35&lt;0),COUNTIF(H35:Q35,"No")&gt;0),"RETENER PAGO",IF(AND(ISNUMBER(F35),F35&lt;=30),"Renovar REPSE","OK")))</f>
        <v/>
      </c>
      <c r="S35" s="19"/>
    </row>
    <row r="36" customFormat="false" ht="15" hidden="false" customHeight="false" outlineLevel="0" collapsed="false">
      <c r="A36" s="19"/>
      <c r="B36" s="19"/>
      <c r="C36" s="19"/>
      <c r="D36" s="19"/>
      <c r="E36" s="12"/>
      <c r="F36" s="18" t="str">
        <f aca="true">IF(E36="","",E36-TODAY())</f>
        <v/>
      </c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1" t="str">
        <f aca="false">IF(A36="","",IF(OR(D36="",AND(ISNUMBER(F36),F36&lt;0),COUNTIF(H36:Q36,"No")&gt;0),"RETENER PAGO",IF(AND(ISNUMBER(F36),F36&lt;=30),"Renovar REPSE","OK")))</f>
        <v/>
      </c>
      <c r="S36" s="19"/>
    </row>
    <row r="37" customFormat="false" ht="15" hidden="false" customHeight="false" outlineLevel="0" collapsed="false">
      <c r="A37" s="19"/>
      <c r="B37" s="19"/>
      <c r="C37" s="19"/>
      <c r="D37" s="19"/>
      <c r="E37" s="12"/>
      <c r="F37" s="18" t="str">
        <f aca="true">IF(E37="","",E37-TODAY())</f>
        <v/>
      </c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1" t="str">
        <f aca="false">IF(A37="","",IF(OR(D37="",AND(ISNUMBER(F37),F37&lt;0),COUNTIF(H37:Q37,"No")&gt;0),"RETENER PAGO",IF(AND(ISNUMBER(F37),F37&lt;=30),"Renovar REPSE","OK")))</f>
        <v/>
      </c>
      <c r="S37" s="19"/>
    </row>
    <row r="38" customFormat="false" ht="15" hidden="false" customHeight="false" outlineLevel="0" collapsed="false">
      <c r="A38" s="19"/>
      <c r="B38" s="19"/>
      <c r="C38" s="19"/>
      <c r="D38" s="19"/>
      <c r="E38" s="12"/>
      <c r="F38" s="18" t="str">
        <f aca="true">IF(E38="","",E38-TODAY())</f>
        <v/>
      </c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1" t="str">
        <f aca="false">IF(A38="","",IF(OR(D38="",AND(ISNUMBER(F38),F38&lt;0),COUNTIF(H38:Q38,"No")&gt;0),"RETENER PAGO",IF(AND(ISNUMBER(F38),F38&lt;=30),"Renovar REPSE","OK")))</f>
        <v/>
      </c>
      <c r="S38" s="19"/>
    </row>
    <row r="39" customFormat="false" ht="15" hidden="false" customHeight="false" outlineLevel="0" collapsed="false">
      <c r="A39" s="19"/>
      <c r="B39" s="19"/>
      <c r="C39" s="19"/>
      <c r="D39" s="19"/>
      <c r="E39" s="12"/>
      <c r="F39" s="18" t="str">
        <f aca="true">IF(E39="","",E39-TODAY())</f>
        <v/>
      </c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1" t="str">
        <f aca="false">IF(A39="","",IF(OR(D39="",AND(ISNUMBER(F39),F39&lt;0),COUNTIF(H39:Q39,"No")&gt;0),"RETENER PAGO",IF(AND(ISNUMBER(F39),F39&lt;=30),"Renovar REPSE","OK")))</f>
        <v/>
      </c>
      <c r="S39" s="19"/>
    </row>
    <row r="40" customFormat="false" ht="15" hidden="false" customHeight="false" outlineLevel="0" collapsed="false">
      <c r="A40" s="19"/>
      <c r="B40" s="19"/>
      <c r="C40" s="19"/>
      <c r="D40" s="19"/>
      <c r="E40" s="12"/>
      <c r="F40" s="18" t="str">
        <f aca="true">IF(E40="","",E40-TODAY())</f>
        <v/>
      </c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1" t="str">
        <f aca="false">IF(A40="","",IF(OR(D40="",AND(ISNUMBER(F40),F40&lt;0),COUNTIF(H40:Q40,"No")&gt;0),"RETENER PAGO",IF(AND(ISNUMBER(F40),F40&lt;=30),"Renovar REPSE","OK")))</f>
        <v/>
      </c>
      <c r="S40" s="19"/>
    </row>
    <row r="41" customFormat="false" ht="15" hidden="false" customHeight="false" outlineLevel="0" collapsed="false">
      <c r="A41" s="19"/>
      <c r="B41" s="19"/>
      <c r="C41" s="19"/>
      <c r="D41" s="19"/>
      <c r="E41" s="12"/>
      <c r="F41" s="18" t="str">
        <f aca="true">IF(E41="","",E41-TODAY())</f>
        <v/>
      </c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1" t="str">
        <f aca="false">IF(A41="","",IF(OR(D41="",AND(ISNUMBER(F41),F41&lt;0),COUNTIF(H41:Q41,"No")&gt;0),"RETENER PAGO",IF(AND(ISNUMBER(F41),F41&lt;=30),"Renovar REPSE","OK")))</f>
        <v/>
      </c>
      <c r="S41" s="19"/>
    </row>
    <row r="42" customFormat="false" ht="15" hidden="false" customHeight="false" outlineLevel="0" collapsed="false">
      <c r="A42" s="19"/>
      <c r="B42" s="19"/>
      <c r="C42" s="19"/>
      <c r="D42" s="19"/>
      <c r="E42" s="12"/>
      <c r="F42" s="18" t="str">
        <f aca="true">IF(E42="","",E42-TODAY())</f>
        <v/>
      </c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1" t="str">
        <f aca="false">IF(A42="","",IF(OR(D42="",AND(ISNUMBER(F42),F42&lt;0),COUNTIF(H42:Q42,"No")&gt;0),"RETENER PAGO",IF(AND(ISNUMBER(F42),F42&lt;=30),"Renovar REPSE","OK")))</f>
        <v/>
      </c>
      <c r="S42" s="19"/>
    </row>
    <row r="43" customFormat="false" ht="15" hidden="false" customHeight="false" outlineLevel="0" collapsed="false">
      <c r="A43" s="19"/>
      <c r="B43" s="19"/>
      <c r="C43" s="19"/>
      <c r="D43" s="19"/>
      <c r="E43" s="12"/>
      <c r="F43" s="18" t="str">
        <f aca="true">IF(E43="","",E43-TODAY())</f>
        <v/>
      </c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1" t="str">
        <f aca="false">IF(A43="","",IF(OR(D43="",AND(ISNUMBER(F43),F43&lt;0),COUNTIF(H43:Q43,"No")&gt;0),"RETENER PAGO",IF(AND(ISNUMBER(F43),F43&lt;=30),"Renovar REPSE","OK")))</f>
        <v/>
      </c>
      <c r="S43" s="19"/>
    </row>
    <row r="44" customFormat="false" ht="15" hidden="false" customHeight="false" outlineLevel="0" collapsed="false">
      <c r="A44" s="19"/>
      <c r="B44" s="19"/>
      <c r="C44" s="19"/>
      <c r="D44" s="19"/>
      <c r="E44" s="12"/>
      <c r="F44" s="18" t="str">
        <f aca="true">IF(E44="","",E44-TODAY())</f>
        <v/>
      </c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1" t="str">
        <f aca="false">IF(A44="","",IF(OR(D44="",AND(ISNUMBER(F44),F44&lt;0),COUNTIF(H44:Q44,"No")&gt;0),"RETENER PAGO",IF(AND(ISNUMBER(F44),F44&lt;=30),"Renovar REPSE","OK")))</f>
        <v/>
      </c>
      <c r="S44" s="19"/>
    </row>
    <row r="45" customFormat="false" ht="15" hidden="false" customHeight="false" outlineLevel="0" collapsed="false">
      <c r="A45" s="19"/>
      <c r="B45" s="19"/>
      <c r="C45" s="19"/>
      <c r="D45" s="19"/>
      <c r="E45" s="12"/>
      <c r="F45" s="18" t="str">
        <f aca="true">IF(E45="","",E45-TODAY())</f>
        <v/>
      </c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1" t="str">
        <f aca="false">IF(A45="","",IF(OR(D45="",AND(ISNUMBER(F45),F45&lt;0),COUNTIF(H45:Q45,"No")&gt;0),"RETENER PAGO",IF(AND(ISNUMBER(F45),F45&lt;=30),"Renovar REPSE","OK")))</f>
        <v/>
      </c>
      <c r="S45" s="19"/>
    </row>
    <row r="46" customFormat="false" ht="15" hidden="false" customHeight="false" outlineLevel="0" collapsed="false">
      <c r="A46" s="19"/>
      <c r="B46" s="19"/>
      <c r="C46" s="19"/>
      <c r="D46" s="19"/>
      <c r="E46" s="12"/>
      <c r="F46" s="18" t="str">
        <f aca="true">IF(E46="","",E46-TODAY())</f>
        <v/>
      </c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1" t="str">
        <f aca="false">IF(A46="","",IF(OR(D46="",AND(ISNUMBER(F46),F46&lt;0),COUNTIF(H46:Q46,"No")&gt;0),"RETENER PAGO",IF(AND(ISNUMBER(F46),F46&lt;=30),"Renovar REPSE","OK")))</f>
        <v/>
      </c>
      <c r="S46" s="19"/>
    </row>
    <row r="48" customFormat="false" ht="15" hidden="false" customHeight="false" outlineLevel="0" collapsed="false">
      <c r="A48" s="26" t="s">
        <v>115</v>
      </c>
    </row>
  </sheetData>
  <mergeCells count="2">
    <mergeCell ref="A1:S1"/>
    <mergeCell ref="A2:S2"/>
  </mergeCells>
  <conditionalFormatting sqref="R7:R46">
    <cfRule type="expression" priority="2" aboveAverage="0" equalAverage="0" bottom="0" percent="0" rank="0" text="" dxfId="0">
      <formula>R7="RETENER PAGO"</formula>
    </cfRule>
    <cfRule type="expression" priority="3" aboveAverage="0" equalAverage="0" bottom="0" percent="0" rank="0" text="" dxfId="1">
      <formula>R7="Renovar REPSE"</formula>
    </cfRule>
    <cfRule type="expression" priority="4" aboveAverage="0" equalAverage="0" bottom="0" percent="0" rank="0" text="" dxfId="2">
      <formula>R7="OK"</formula>
    </cfRule>
  </conditionalFormatting>
  <dataValidations count="1">
    <dataValidation allowBlank="true" errorStyle="stop" operator="between" showDropDown="false" showErrorMessage="false" showInputMessage="false" sqref="H7:Q46" type="list">
      <formula1>"Sí,No,N/A"</formula1>
      <formula2>0</formula2>
    </dataValidation>
  </dataValidations>
  <printOptions headings="false" gridLines="false" gridLinesSet="true" horizontalCentered="tru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2026-10-19T09:06:04Z</dcterms:created>
  <dc:creator>openpyxl</dc:creator>
  <dc:description/>
  <dc:language>en-US</dc:language>
  <cp:lastModifiedBy/>
  <dcterms:modified xsi:type="dcterms:W3CDTF">2026-10-19T09:06:05Z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