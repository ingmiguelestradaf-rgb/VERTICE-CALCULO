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Avance" sheetId="2" state="visible" r:id="rId4"/>
    <sheet name="Reporte diario" sheetId="3" state="visible" r:id="rId5"/>
    <sheet name="Órdenes de cambio" sheetId="4" state="visible" r:id="rId6"/>
    <sheet name="Pendientes y RFI" sheetId="5" state="visible" r:id="rId7"/>
    <sheet name="Liberaciones y prueb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<sst xmlns="http://schemas.openxmlformats.org/spreadsheetml/2006/main" count="154" uniqueCount="133">
  <si>
    <t xml:space="preserve">VÉRTICE  ·  Ingeniería, Arquitectura y Proyectos</t>
  </si>
  <si>
    <t xml:space="preserve">CONTROL DE OBRA</t>
  </si>
  <si>
    <t xml:space="preserve">Captura</t>
  </si>
  <si>
    <t xml:space="preserve">Celdas amarillas con texto azul = datos que capturas. Texto negro = fórmulas: no escribas encima. La fila de ejemplo muestra el formato esperado; sustitúyela por tus datos.</t>
  </si>
  <si>
    <t xml:space="preserve">Para qué sirve:</t>
  </si>
  <si>
    <t xml:space="preserve">Lleva el avance físico-financiero con curva S y valor ganado, el reporte diario, las órdenes de cambio, los pendientes y RFI, y las liberaciones y pruebas de calidad de la obra.</t>
  </si>
  <si>
    <t xml:space="preserve">Hojas:</t>
  </si>
  <si>
    <t xml:space="preserve">Avance: captura el importe de cada partida y su % de avance real; abajo, cada semana, el % programado (de tu programa) y el real. Calcula SPI y CPI como la calculadora de valor ganado de ObraLab (SPI = EV/PV, CPI = EV/AC).</t>
  </si>
  <si>
    <t xml:space="preserve">Reporte diario: una fila por día. Es tu respaldo para la bitácora oficial que exige el Reglamento de la Ley de Edificaciones para el Municipio de Tijuana (art. 17); anota el número de asiento.</t>
  </si>
  <si>
    <t xml:space="preserve">Órdenes de cambio: ningún trabajo extra se ejecuta sin orden firmada (cláusula de ÓRDENES DE CAMBIO). El total autorizado se suma al contrato.</t>
  </si>
  <si>
    <t xml:space="preserve">Pendientes y RFI: el estatus y los días vencidos se calculan solos contra la fecha de hoy.</t>
  </si>
  <si>
    <t xml:space="preserve">Liberaciones y pruebas: para concreto captura f'c de proyecto y resistencia obtenida; marca automáticamente si cumple. Para la liberación de colados usa también los checklists de ObraLab (Liberación de colado, Cimentación, Estructura).</t>
  </si>
  <si>
    <t xml:space="preserve">AVANCE FÍSICO-FINANCIERO Y VALOR GANADO</t>
  </si>
  <si>
    <t xml:space="preserve">Obra:</t>
  </si>
  <si>
    <t xml:space="preserve">Contrato:</t>
  </si>
  <si>
    <t xml:space="preserve">Partida</t>
  </si>
  <si>
    <t xml:space="preserve">Importe contratado</t>
  </si>
  <si>
    <t xml:space="preserve">Peso</t>
  </si>
  <si>
    <t xml:space="preserve">% avance real</t>
  </si>
  <si>
    <t xml:space="preserve">Avance ponderado</t>
  </si>
  <si>
    <t xml:space="preserve">Importe ejecutado</t>
  </si>
  <si>
    <t xml:space="preserve">Preliminares y demoliciones</t>
  </si>
  <si>
    <t xml:space="preserve">Albañilería y tablaroca</t>
  </si>
  <si>
    <t xml:space="preserve">Plafones</t>
  </si>
  <si>
    <t xml:space="preserve">Instalación eléctrica</t>
  </si>
  <si>
    <t xml:space="preserve">Instalación hidrosanitaria</t>
  </si>
  <si>
    <t xml:space="preserve">Pisos y recubrimientos</t>
  </si>
  <si>
    <t xml:space="preserve">Pintura y acabados</t>
  </si>
  <si>
    <t xml:space="preserve">Limpieza y entrega</t>
  </si>
  <si>
    <t xml:space="preserve">TOTAL</t>
  </si>
  <si>
    <t xml:space="preserve">Seguimiento semanal</t>
  </si>
  <si>
    <t xml:space="preserve">Semana</t>
  </si>
  <si>
    <t xml:space="preserve">Fecha de corte</t>
  </si>
  <si>
    <t xml:space="preserve">% programado acumulado</t>
  </si>
  <si>
    <t xml:space="preserve">% real acumulado</t>
  </si>
  <si>
    <t xml:space="preserve">Desviación</t>
  </si>
  <si>
    <t xml:space="preserve">Valor planeado PV</t>
  </si>
  <si>
    <t xml:space="preserve">Valor ganado EV</t>
  </si>
  <si>
    <t xml:space="preserve">Costo real AC</t>
  </si>
  <si>
    <t xml:space="preserve">SPI</t>
  </si>
  <si>
    <t xml:space="preserve">CPI</t>
  </si>
  <si>
    <t xml:space="preserve">SPI / CPI: ≥ 1.00 verde, 0.90–0.99 ámbar, &lt; 0.90 rojo. SPI &lt; 1 = vas atrasado; CPI &lt; 1 = gastas más de lo que ganas. El costo real AC es costo, sin utilidad.</t>
  </si>
  <si>
    <t xml:space="preserve">REPORTE DIARIO DE OBRA</t>
  </si>
  <si>
    <t xml:space="preserve">Fecha</t>
  </si>
  <si>
    <t xml:space="preserve">Clima</t>
  </si>
  <si>
    <t xml:space="preserve">Personal propio</t>
  </si>
  <si>
    <t xml:space="preserve">Personal subcontratistas</t>
  </si>
  <si>
    <t xml:space="preserve">Equipo activo</t>
  </si>
  <si>
    <t xml:space="preserve">Actividades realizadas (frente / eje / nivel)</t>
  </si>
  <si>
    <t xml:space="preserve">Cantidades ejecutadas</t>
  </si>
  <si>
    <t xml:space="preserve">Incidencias / retrasos y causa</t>
  </si>
  <si>
    <t xml:space="preserve">Instrucciones recibidas</t>
  </si>
  <si>
    <t xml:space="preserve">Asiento de bitácora No.</t>
  </si>
  <si>
    <t xml:space="preserve">Fotos (carpeta)</t>
  </si>
  <si>
    <t xml:space="preserve">Elaboró</t>
  </si>
  <si>
    <t xml:space="preserve">Despejado</t>
  </si>
  <si>
    <t xml:space="preserve">Andamio (4 cuerpos)</t>
  </si>
  <si>
    <t xml:space="preserve">Trazo y bastidor de muros de tablaroca ejes B-D / 2</t>
  </si>
  <si>
    <t xml:space="preserve">38 m² de bastidor</t>
  </si>
  <si>
    <t xml:space="preserve">Llegó tarde el material de canal (2 h)</t>
  </si>
  <si>
    <t xml:space="preserve">Supervisión pide cambiar altura de plafón en baños a 2.70 m</t>
  </si>
  <si>
    <t xml:space="preserve">RD-001</t>
  </si>
  <si>
    <t xml:space="preserve">Superintendente</t>
  </si>
  <si>
    <t xml:space="preserve">Lluvia ligera</t>
  </si>
  <si>
    <t xml:space="preserve">Forrado de muros 1 cara; ranurado para salidas eléctricas</t>
  </si>
  <si>
    <t xml:space="preserve">52 m² forrado</t>
  </si>
  <si>
    <t xml:space="preserve">Ninguna</t>
  </si>
  <si>
    <t xml:space="preserve">RD-002</t>
  </si>
  <si>
    <t xml:space="preserve">REGISTRO DE ÓRDENES DE CAMBIO</t>
  </si>
  <si>
    <t xml:space="preserve">No.</t>
  </si>
  <si>
    <t xml:space="preserve">Descripción del cambio</t>
  </si>
  <si>
    <t xml:space="preserve">Origen</t>
  </si>
  <si>
    <t xml:space="preserve">Importe (+/-) sin IVA</t>
  </si>
  <si>
    <t xml:space="preserve">Días de plazo (+/-)</t>
  </si>
  <si>
    <t xml:space="preserve">Estatus</t>
  </si>
  <si>
    <t xml:space="preserve">Fecha de autorización</t>
  </si>
  <si>
    <t xml:space="preserve">Autorizó</t>
  </si>
  <si>
    <t xml:space="preserve">Asiento de bitácora</t>
  </si>
  <si>
    <t xml:space="preserve">OC-01</t>
  </si>
  <si>
    <t xml:space="preserve">Cambio de altura de plafón en baños de 3.00 a 2.70 m con registro</t>
  </si>
  <si>
    <t xml:space="preserve">Propietario</t>
  </si>
  <si>
    <t xml:space="preserve">Autorizada</t>
  </si>
  <si>
    <t xml:space="preserve">Representante del propietario</t>
  </si>
  <si>
    <t xml:space="preserve">Importe autorizado</t>
  </si>
  <si>
    <t xml:space="preserve">OC-02</t>
  </si>
  <si>
    <t xml:space="preserve">Cuatro contactos adicionales en área de cajas</t>
  </si>
  <si>
    <t xml:space="preserve">Proyecto</t>
  </si>
  <si>
    <t xml:space="preserve">Propuesta</t>
  </si>
  <si>
    <t xml:space="preserve">Importe en trámite</t>
  </si>
  <si>
    <t xml:space="preserve">Días de prórroga autorizados</t>
  </si>
  <si>
    <t xml:space="preserve">Monto original del contrato</t>
  </si>
  <si>
    <t xml:space="preserve">Monto vigente (original + autorizadas)</t>
  </si>
  <si>
    <t xml:space="preserve">Variación sobre el original</t>
  </si>
  <si>
    <t xml:space="preserve">Sin orden firmada no se ejecuta ni se cobra (cláusula de ÓRDENES DE CAMBIO; art. 2500 CC B.C. en precio alzado).</t>
  </si>
  <si>
    <t xml:space="preserve">PENDIENTES, MINUTAS Y CONSULTAS TÉCNICAS (RFI)</t>
  </si>
  <si>
    <t xml:space="preserve">Tipo</t>
  </si>
  <si>
    <t xml:space="preserve">Tema / pregunta</t>
  </si>
  <si>
    <t xml:space="preserve">Responsable</t>
  </si>
  <si>
    <t xml:space="preserve">Fecha compromiso</t>
  </si>
  <si>
    <t xml:space="preserve">Fecha de cierre</t>
  </si>
  <si>
    <t xml:space="preserve">Días vencido</t>
  </si>
  <si>
    <t xml:space="preserve">Respuesta / acuerdo</t>
  </si>
  <si>
    <t xml:space="preserve">RFI-01</t>
  </si>
  <si>
    <t xml:space="preserve">RFI</t>
  </si>
  <si>
    <t xml:space="preserve">Confirmar modelo de luminaria en área de cajas</t>
  </si>
  <si>
    <t xml:space="preserve">Proyectista</t>
  </si>
  <si>
    <t xml:space="preserve">Se confirma luminaria 60×60 4000 K</t>
  </si>
  <si>
    <t xml:space="preserve">P-01</t>
  </si>
  <si>
    <t xml:space="preserve">Pendiente</t>
  </si>
  <si>
    <t xml:space="preserve">Entrega de planos de cocineta por el propietario</t>
  </si>
  <si>
    <t xml:space="preserve">LIBERACIONES DE CALIDAD Y PRUEBAS DE LABORATORIO</t>
  </si>
  <si>
    <t xml:space="preserve">Elemento</t>
  </si>
  <si>
    <t xml:space="preserve">Eje / nivel</t>
  </si>
  <si>
    <t xml:space="preserve">Tipo de liberación o prueba</t>
  </si>
  <si>
    <t xml:space="preserve">Especificación (p. ej. f'c kg/cm²)</t>
  </si>
  <si>
    <t xml:space="preserve">Resultado obtenido</t>
  </si>
  <si>
    <t xml:space="preserve">% de cumplimiento</t>
  </si>
  <si>
    <t xml:space="preserve">¿Cumple?</t>
  </si>
  <si>
    <t xml:space="preserve">Laboratorio / informe</t>
  </si>
  <si>
    <t xml:space="preserve">Liberó</t>
  </si>
  <si>
    <t xml:space="preserve">Asiento bitácora</t>
  </si>
  <si>
    <t xml:space="preserve">Observaciones</t>
  </si>
  <si>
    <t xml:space="preserve">Losa de entrepiso</t>
  </si>
  <si>
    <t xml:space="preserve">Ejes 1-3 / A-C, N1</t>
  </si>
  <si>
    <t xml:space="preserve">Resistencia de concreto 28 días</t>
  </si>
  <si>
    <t xml:space="preserve">Lab. ejemplo / INF-118</t>
  </si>
  <si>
    <t xml:space="preserve">DRO</t>
  </si>
  <si>
    <t xml:space="preserve">Relleno compactado</t>
  </si>
  <si>
    <t xml:space="preserve">Rampa de acceso</t>
  </si>
  <si>
    <t xml:space="preserve">Compactación Proctor</t>
  </si>
  <si>
    <t xml:space="preserve">Lab. ejemplo / INF-097</t>
  </si>
  <si>
    <t xml:space="preserve">Supervisión</t>
  </si>
  <si>
    <t xml:space="preserve">Recompactar y volver a probar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</si>
</sst>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(0.0%\);\-"/>
    <numFmt numFmtId="167" formatCode="0"/>
    <numFmt numFmtId="168" formatCode="dd/mm/yyyy"/>
    <numFmt numFmtId="169" formatCode="0.00"/>
    <numFmt numFmtId="170" formatCode="0%"/>
    <numFmt numFmtId="171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D2328"/>
      <name val="Arial"/>
      <family val="0"/>
      <charset val="1"/>
    </font>
    <font>
      <b val="true"/>
      <sz val="11"/>
      <color rgb="FFB23B2E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CE8C3"/>
      </patternFill>
    </fill>
    <fill>
      <patternFill patternType="solid">
        <fgColor rgb="FF1D2328"/>
        <bgColor rgb="FF333300"/>
      </patternFill>
    </fill>
    <fill>
      <patternFill patternType="solid">
        <fgColor rgb="FFE3E6E8"/>
        <bgColor rgb="FFD9EDD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23B2E"/>
      </bottom>
      <diagonal/>
    </border>
    <border diagonalUp="false" diagonalDown="false">
      <left style="thin">
        <color rgb="FFBFC5CA"/>
      </left>
      <right style="thin">
        <color rgb="FFBFC5CA"/>
      </right>
      <top style="thin">
        <color rgb="FFBFC5CA"/>
      </top>
      <bottom style="thin">
        <color rgb="FFBFC5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7D3"/>
        </patternFill>
      </fill>
    </dxf>
    <dxf>
      <fill>
        <patternFill>
          <bgColor rgb="FFFCE8C3"/>
        </patternFill>
      </fill>
    </dxf>
    <dxf>
      <fill>
        <patternFill>
          <bgColor rgb="FFD9ED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A"/>
      <rgbColor rgb="FF878787"/>
      <rgbColor rgb="FF9999FF"/>
      <rgbColor rgb="FFBE4B48"/>
      <rgbColor rgb="FFFFF2CC"/>
      <rgbColor rgb="FFE3E6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DDF"/>
      <rgbColor rgb="FFFCE8C3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B23B2E"/>
      <rgbColor rgb="FF993366"/>
      <rgbColor rgb="FF333399"/>
      <rgbColor rgb="FF1D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S: programado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Avance!C25</c:f>
              <c:strCache>
                <c:ptCount val="1"/>
                <c:pt idx="0">
                  <c:v>% programado acumulado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Avance!$A$26:$A$55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Avance!$C$26:$C$55</c:f>
              <c:numCache>
                <c:formatCode>0.0%;\(0.0%\);\-</c:formatCode>
                <c:ptCount val="30"/>
                <c:pt idx="0">
                  <c:v>0.03</c:v>
                </c:pt>
                <c:pt idx="1">
                  <c:v>0.1</c:v>
                </c:pt>
                <c:pt idx="2">
                  <c:v>0.21</c:v>
                </c:pt>
                <c:pt idx="3">
                  <c:v>0.35</c:v>
                </c:pt>
                <c:pt idx="4">
                  <c:v>0.5</c:v>
                </c:pt>
                <c:pt idx="5">
                  <c:v>0.65</c:v>
                </c:pt>
                <c:pt idx="6">
                  <c:v>0.78</c:v>
                </c:pt>
                <c:pt idx="7">
                  <c:v>0.88</c:v>
                </c:pt>
                <c:pt idx="8">
                  <c:v>0.95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Avance!D25</c:f>
              <c:strCache>
                <c:ptCount val="1"/>
                <c:pt idx="0">
                  <c:v>% real acumulado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Avance!$A$26:$A$55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Avance!$D$26:$D$55</c:f>
              <c:numCache>
                <c:formatCode>0.0%;\(0.0%\);\-</c:formatCode>
                <c:ptCount val="30"/>
                <c:pt idx="0">
                  <c:v>0.02</c:v>
                </c:pt>
                <c:pt idx="1">
                  <c:v>0.08</c:v>
                </c:pt>
                <c:pt idx="2">
                  <c:v>0.18</c:v>
                </c:pt>
                <c:pt idx="3">
                  <c:v>0.31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919659"/>
        <c:axId val="22155012"/>
      </c:lineChart>
      <c:catAx>
        <c:axId val="4091965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55012"/>
        <c:crosses val="autoZero"/>
        <c:auto val="1"/>
        <c:lblAlgn val="ctr"/>
        <c:lblOffset val="100"/>
        <c:noMultiLvlLbl val="0"/>
      </c:catAx>
      <c:valAx>
        <c:axId val="2215501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196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176040</xdr:rowOff>
    </xdr:from>
    <xdr:to>
      <xdr:col>16</xdr:col>
      <xdr:colOff>38880</xdr:colOff>
      <xdr:row>19</xdr:row>
      <xdr:rowOff>7560</xdr:rowOff>
    </xdr:to>
    <xdr:graphicFrame>
      <xdr:nvGraphicFramePr>
        <xdr:cNvPr id="0" name="Chart 1"/>
        <xdr:cNvGraphicFramePr/>
      </xdr:nvGraphicFramePr>
      <xdr:xfrm>
        <a:off x="6696000" y="952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2.35" hidden="false" customHeight="false" outlineLevel="0" collapsed="false">
      <c r="A5" s="4" t="s">
        <v>3</v>
      </c>
    </row>
    <row r="7" customFormat="false" ht="15" hidden="false" customHeight="false" outlineLevel="0" collapsed="false">
      <c r="A7" s="5" t="s">
        <v>4</v>
      </c>
    </row>
    <row r="8" customFormat="false" ht="22.35" hidden="false" customHeight="false" outlineLevel="0" collapsed="false">
      <c r="A8" s="6" t="s">
        <v>5</v>
      </c>
    </row>
    <row r="9" customFormat="false" ht="15" hidden="false" customHeight="false" outlineLevel="0" collapsed="false">
      <c r="A9" s="5" t="s">
        <v>6</v>
      </c>
    </row>
    <row r="10" customFormat="false" ht="22.35" hidden="false" customHeight="false" outlineLevel="0" collapsed="false">
      <c r="A10" s="6" t="s">
        <v>7</v>
      </c>
    </row>
    <row r="11" customFormat="false" ht="22.35" hidden="false" customHeight="false" outlineLevel="0" collapsed="false">
      <c r="A11" s="6" t="s">
        <v>8</v>
      </c>
    </row>
    <row r="12" customFormat="false" ht="22.3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6" t="s">
        <v>10</v>
      </c>
    </row>
    <row r="14" customFormat="false" ht="22.35" hidden="false" customHeight="false" outlineLevel="0" collapsed="false">
      <c r="A14" s="6" t="s">
        <v>11</v>
      </c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15"/>
    <col collapsed="false" customWidth="true" hidden="false" outlineLevel="0" max="7" min="7" style="0" width="3"/>
    <col collapsed="false" customWidth="true" hidden="false" outlineLevel="0" max="9" min="8" style="0" width="14"/>
    <col collapsed="false" customWidth="true" hidden="false" outlineLevel="0" max="11" min="10" style="0" width="10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5" hidden="false" customHeight="false" outlineLevel="0" collapsed="false">
      <c r="A2" s="8" t="s">
        <v>12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customFormat="false" ht="15" hidden="false" customHeight="false" outlineLevel="0" collapsed="false">
      <c r="A3" s="9" t="s">
        <v>13</v>
      </c>
      <c r="B3" s="10"/>
    </row>
    <row r="4" customFormat="false" ht="15" hidden="false" customHeight="false" outlineLevel="0" collapsed="false">
      <c r="A4" s="9" t="s">
        <v>14</v>
      </c>
      <c r="B4" s="10"/>
    </row>
    <row r="6" customFormat="false" ht="30" hidden="false" customHeight="true" outlineLevel="0" collapsed="false">
      <c r="A6" s="11" t="s">
        <v>15</v>
      </c>
      <c r="B6" s="11" t="s">
        <v>16</v>
      </c>
      <c r="C6" s="11" t="s">
        <v>17</v>
      </c>
      <c r="D6" s="11" t="s">
        <v>18</v>
      </c>
      <c r="E6" s="11" t="s">
        <v>19</v>
      </c>
      <c r="F6" s="11" t="s">
        <v>20</v>
      </c>
    </row>
    <row r="7" customFormat="false" ht="15" hidden="false" customHeight="false" outlineLevel="0" collapsed="false">
      <c r="A7" s="12" t="s">
        <v>21</v>
      </c>
      <c r="B7" s="13" t="n">
        <v>40000</v>
      </c>
      <c r="C7" s="14" t="n">
        <f aca="false">IF($B$22=0,0,B7/$B$22)</f>
        <v>0.04</v>
      </c>
      <c r="D7" s="15" t="n">
        <v>1</v>
      </c>
      <c r="E7" s="14" t="n">
        <f aca="false">C7*D7</f>
        <v>0.04</v>
      </c>
      <c r="F7" s="16" t="n">
        <f aca="false">B7*D7</f>
        <v>40000</v>
      </c>
    </row>
    <row r="8" customFormat="false" ht="15" hidden="false" customHeight="false" outlineLevel="0" collapsed="false">
      <c r="A8" s="12" t="s">
        <v>22</v>
      </c>
      <c r="B8" s="13" t="n">
        <v>220000</v>
      </c>
      <c r="C8" s="14" t="n">
        <f aca="false">IF($B$22=0,0,B8/$B$22)</f>
        <v>0.22</v>
      </c>
      <c r="D8" s="15" t="n">
        <v>0.65</v>
      </c>
      <c r="E8" s="14" t="n">
        <f aca="false">C8*D8</f>
        <v>0.143</v>
      </c>
      <c r="F8" s="16" t="n">
        <f aca="false">B8*D8</f>
        <v>143000</v>
      </c>
    </row>
    <row r="9" customFormat="false" ht="15" hidden="false" customHeight="false" outlineLevel="0" collapsed="false">
      <c r="A9" s="12" t="s">
        <v>23</v>
      </c>
      <c r="B9" s="13" t="n">
        <v>140000</v>
      </c>
      <c r="C9" s="14" t="n">
        <f aca="false">IF($B$22=0,0,B9/$B$22)</f>
        <v>0.14</v>
      </c>
      <c r="D9" s="15" t="n">
        <v>0.4</v>
      </c>
      <c r="E9" s="14" t="n">
        <f aca="false">C9*D9</f>
        <v>0.056</v>
      </c>
      <c r="F9" s="16" t="n">
        <f aca="false">B9*D9</f>
        <v>56000</v>
      </c>
    </row>
    <row r="10" customFormat="false" ht="15" hidden="false" customHeight="false" outlineLevel="0" collapsed="false">
      <c r="A10" s="12" t="s">
        <v>24</v>
      </c>
      <c r="B10" s="13" t="n">
        <v>200000</v>
      </c>
      <c r="C10" s="14" t="n">
        <f aca="false">IF($B$22=0,0,B10/$B$22)</f>
        <v>0.2</v>
      </c>
      <c r="D10" s="15" t="n">
        <v>0.35</v>
      </c>
      <c r="E10" s="14" t="n">
        <f aca="false">C10*D10</f>
        <v>0.07</v>
      </c>
      <c r="F10" s="16" t="n">
        <f aca="false">B10*D10</f>
        <v>70000</v>
      </c>
    </row>
    <row r="11" customFormat="false" ht="15" hidden="false" customHeight="false" outlineLevel="0" collapsed="false">
      <c r="A11" s="12" t="s">
        <v>25</v>
      </c>
      <c r="B11" s="13" t="n">
        <v>60000</v>
      </c>
      <c r="C11" s="14" t="n">
        <f aca="false">IF($B$22=0,0,B11/$B$22)</f>
        <v>0.06</v>
      </c>
      <c r="D11" s="15" t="n">
        <v>0.5</v>
      </c>
      <c r="E11" s="14" t="n">
        <f aca="false">C11*D11</f>
        <v>0.03</v>
      </c>
      <c r="F11" s="16" t="n">
        <f aca="false">B11*D11</f>
        <v>30000</v>
      </c>
    </row>
    <row r="12" customFormat="false" ht="15" hidden="false" customHeight="false" outlineLevel="0" collapsed="false">
      <c r="A12" s="12" t="s">
        <v>26</v>
      </c>
      <c r="B12" s="13" t="n">
        <v>160000</v>
      </c>
      <c r="C12" s="14" t="n">
        <f aca="false">IF($B$22=0,0,B12/$B$22)</f>
        <v>0.16</v>
      </c>
      <c r="D12" s="15" t="n">
        <v>0</v>
      </c>
      <c r="E12" s="14" t="n">
        <f aca="false">C12*D12</f>
        <v>0</v>
      </c>
      <c r="F12" s="16" t="n">
        <f aca="false">B12*D12</f>
        <v>0</v>
      </c>
    </row>
    <row r="13" customFormat="false" ht="15" hidden="false" customHeight="false" outlineLevel="0" collapsed="false">
      <c r="A13" s="12" t="s">
        <v>27</v>
      </c>
      <c r="B13" s="13" t="n">
        <v>100000</v>
      </c>
      <c r="C13" s="14" t="n">
        <f aca="false">IF($B$22=0,0,B13/$B$22)</f>
        <v>0.1</v>
      </c>
      <c r="D13" s="15" t="n">
        <v>0</v>
      </c>
      <c r="E13" s="14" t="n">
        <f aca="false">C13*D13</f>
        <v>0</v>
      </c>
      <c r="F13" s="16" t="n">
        <f aca="false">B13*D13</f>
        <v>0</v>
      </c>
    </row>
    <row r="14" customFormat="false" ht="15" hidden="false" customHeight="false" outlineLevel="0" collapsed="false">
      <c r="A14" s="12" t="s">
        <v>28</v>
      </c>
      <c r="B14" s="13" t="n">
        <v>80000</v>
      </c>
      <c r="C14" s="14" t="n">
        <f aca="false">IF($B$22=0,0,B14/$B$22)</f>
        <v>0.08</v>
      </c>
      <c r="D14" s="15" t="n">
        <v>0</v>
      </c>
      <c r="E14" s="14" t="n">
        <f aca="false">C14*D14</f>
        <v>0</v>
      </c>
      <c r="F14" s="16" t="n">
        <f aca="false">B14*D14</f>
        <v>0</v>
      </c>
    </row>
    <row r="15" customFormat="false" ht="15" hidden="false" customHeight="false" outlineLevel="0" collapsed="false">
      <c r="A15" s="12"/>
      <c r="B15" s="13"/>
      <c r="C15" s="14" t="n">
        <f aca="false">IF($B$22=0,0,B15/$B$22)</f>
        <v>0</v>
      </c>
      <c r="D15" s="15"/>
      <c r="E15" s="14" t="n">
        <f aca="false">C15*D15</f>
        <v>0</v>
      </c>
      <c r="F15" s="16" t="n">
        <f aca="false">B15*D15</f>
        <v>0</v>
      </c>
    </row>
    <row r="16" customFormat="false" ht="15" hidden="false" customHeight="false" outlineLevel="0" collapsed="false">
      <c r="A16" s="12"/>
      <c r="B16" s="13"/>
      <c r="C16" s="14" t="n">
        <f aca="false">IF($B$22=0,0,B16/$B$22)</f>
        <v>0</v>
      </c>
      <c r="D16" s="15"/>
      <c r="E16" s="14" t="n">
        <f aca="false">C16*D16</f>
        <v>0</v>
      </c>
      <c r="F16" s="16" t="n">
        <f aca="false">B16*D16</f>
        <v>0</v>
      </c>
    </row>
    <row r="17" customFormat="false" ht="15" hidden="false" customHeight="false" outlineLevel="0" collapsed="false">
      <c r="A17" s="12"/>
      <c r="B17" s="13"/>
      <c r="C17" s="14" t="n">
        <f aca="false">IF($B$22=0,0,B17/$B$22)</f>
        <v>0</v>
      </c>
      <c r="D17" s="15"/>
      <c r="E17" s="14" t="n">
        <f aca="false">C17*D17</f>
        <v>0</v>
      </c>
      <c r="F17" s="16" t="n">
        <f aca="false">B17*D17</f>
        <v>0</v>
      </c>
    </row>
    <row r="18" customFormat="false" ht="15" hidden="false" customHeight="false" outlineLevel="0" collapsed="false">
      <c r="A18" s="12"/>
      <c r="B18" s="13"/>
      <c r="C18" s="14" t="n">
        <f aca="false">IF($B$22=0,0,B18/$B$22)</f>
        <v>0</v>
      </c>
      <c r="D18" s="15"/>
      <c r="E18" s="14" t="n">
        <f aca="false">C18*D18</f>
        <v>0</v>
      </c>
      <c r="F18" s="16" t="n">
        <f aca="false">B18*D18</f>
        <v>0</v>
      </c>
    </row>
    <row r="19" customFormat="false" ht="15" hidden="false" customHeight="false" outlineLevel="0" collapsed="false">
      <c r="A19" s="12"/>
      <c r="B19" s="13"/>
      <c r="C19" s="14" t="n">
        <f aca="false">IF($B$22=0,0,B19/$B$22)</f>
        <v>0</v>
      </c>
      <c r="D19" s="15"/>
      <c r="E19" s="14" t="n">
        <f aca="false">C19*D19</f>
        <v>0</v>
      </c>
      <c r="F19" s="16" t="n">
        <f aca="false">B19*D19</f>
        <v>0</v>
      </c>
    </row>
    <row r="20" customFormat="false" ht="15" hidden="false" customHeight="false" outlineLevel="0" collapsed="false">
      <c r="A20" s="12"/>
      <c r="B20" s="13"/>
      <c r="C20" s="14" t="n">
        <f aca="false">IF($B$22=0,0,B20/$B$22)</f>
        <v>0</v>
      </c>
      <c r="D20" s="15"/>
      <c r="E20" s="14" t="n">
        <f aca="false">C20*D20</f>
        <v>0</v>
      </c>
      <c r="F20" s="16" t="n">
        <f aca="false">B20*D20</f>
        <v>0</v>
      </c>
    </row>
    <row r="21" customFormat="false" ht="15" hidden="false" customHeight="false" outlineLevel="0" collapsed="false">
      <c r="A21" s="12"/>
      <c r="B21" s="13"/>
      <c r="C21" s="14" t="n">
        <f aca="false">IF($B$22=0,0,B21/$B$22)</f>
        <v>0</v>
      </c>
      <c r="D21" s="15"/>
      <c r="E21" s="14" t="n">
        <f aca="false">C21*D21</f>
        <v>0</v>
      </c>
      <c r="F21" s="16" t="n">
        <f aca="false">B21*D21</f>
        <v>0</v>
      </c>
    </row>
    <row r="22" customFormat="false" ht="15" hidden="false" customHeight="false" outlineLevel="0" collapsed="false">
      <c r="A22" s="17" t="s">
        <v>29</v>
      </c>
      <c r="B22" s="18" t="n">
        <f aca="false">SUM(B7:B21)</f>
        <v>1000000</v>
      </c>
      <c r="C22" s="19" t="n">
        <f aca="false">SUM(C7:C21)</f>
        <v>1</v>
      </c>
      <c r="D22" s="17"/>
      <c r="E22" s="19" t="n">
        <f aca="false">SUM(E7:E21)</f>
        <v>0.339</v>
      </c>
      <c r="F22" s="18" t="n">
        <f aca="false">SUM(F7:F21)</f>
        <v>339000</v>
      </c>
    </row>
    <row r="24" customFormat="false" ht="15" hidden="false" customHeight="false" outlineLevel="0" collapsed="false">
      <c r="A24" s="2" t="s">
        <v>30</v>
      </c>
    </row>
    <row r="25" customFormat="false" ht="30" hidden="false" customHeight="true" outlineLevel="0" collapsed="false">
      <c r="A25" s="11" t="s">
        <v>31</v>
      </c>
      <c r="B25" s="11" t="s">
        <v>32</v>
      </c>
      <c r="C25" s="11" t="s">
        <v>33</v>
      </c>
      <c r="D25" s="11" t="s">
        <v>34</v>
      </c>
      <c r="E25" s="11" t="s">
        <v>35</v>
      </c>
      <c r="F25" s="11" t="s">
        <v>36</v>
      </c>
      <c r="G25" s="20"/>
      <c r="H25" s="11" t="s">
        <v>37</v>
      </c>
      <c r="I25" s="11" t="s">
        <v>38</v>
      </c>
      <c r="J25" s="11" t="s">
        <v>39</v>
      </c>
      <c r="K25" s="11" t="s">
        <v>40</v>
      </c>
    </row>
    <row r="26" customFormat="false" ht="15" hidden="false" customHeight="false" outlineLevel="0" collapsed="false">
      <c r="A26" s="21" t="n">
        <v>1</v>
      </c>
      <c r="B26" s="22" t="n">
        <v>46319</v>
      </c>
      <c r="C26" s="15" t="n">
        <v>0.03</v>
      </c>
      <c r="D26" s="15" t="n">
        <v>0.02</v>
      </c>
      <c r="E26" s="14" t="n">
        <f aca="false">IF(D26="","",D26-C26)</f>
        <v>-0.01</v>
      </c>
      <c r="F26" s="16" t="n">
        <f aca="false">IF(C26="","",C26*$B$22)</f>
        <v>30000</v>
      </c>
      <c r="H26" s="16" t="n">
        <f aca="false">IF(D26="","",D26*$B$22)</f>
        <v>20000</v>
      </c>
      <c r="I26" s="13" t="n">
        <v>16600</v>
      </c>
      <c r="J26" s="23" t="n">
        <f aca="false">IF(OR(D26="",F26="",F26=0),"",H26/F26)</f>
        <v>0.666666666666667</v>
      </c>
      <c r="K26" s="23" t="n">
        <f aca="false">IF(OR(H26="",I26="",I26=0),"",H26/I26)</f>
        <v>1.20481927710843</v>
      </c>
    </row>
    <row r="27" customFormat="false" ht="15" hidden="false" customHeight="false" outlineLevel="0" collapsed="false">
      <c r="A27" s="21" t="n">
        <v>2</v>
      </c>
      <c r="B27" s="22" t="n">
        <v>46326</v>
      </c>
      <c r="C27" s="15" t="n">
        <v>0.1</v>
      </c>
      <c r="D27" s="15" t="n">
        <v>0.08</v>
      </c>
      <c r="E27" s="14" t="n">
        <f aca="false">IF(D27="","",D27-C27)</f>
        <v>-0.02</v>
      </c>
      <c r="F27" s="16" t="n">
        <f aca="false">IF(C27="","",C27*$B$22)</f>
        <v>100000</v>
      </c>
      <c r="H27" s="16" t="n">
        <f aca="false">IF(D27="","",D27*$B$22)</f>
        <v>80000</v>
      </c>
      <c r="I27" s="13" t="n">
        <v>66400</v>
      </c>
      <c r="J27" s="23" t="n">
        <f aca="false">IF(OR(D27="",F27="",F27=0),"",H27/F27)</f>
        <v>0.8</v>
      </c>
      <c r="K27" s="23" t="n">
        <f aca="false">IF(OR(H27="",I27="",I27=0),"",H27/I27)</f>
        <v>1.20481927710843</v>
      </c>
    </row>
    <row r="28" customFormat="false" ht="15" hidden="false" customHeight="false" outlineLevel="0" collapsed="false">
      <c r="A28" s="21" t="n">
        <v>3</v>
      </c>
      <c r="B28" s="22" t="n">
        <v>46333</v>
      </c>
      <c r="C28" s="15" t="n">
        <v>0.21</v>
      </c>
      <c r="D28" s="15" t="n">
        <v>0.18</v>
      </c>
      <c r="E28" s="14" t="n">
        <f aca="false">IF(D28="","",D28-C28)</f>
        <v>-0.03</v>
      </c>
      <c r="F28" s="16" t="n">
        <f aca="false">IF(C28="","",C28*$B$22)</f>
        <v>210000</v>
      </c>
      <c r="H28" s="16" t="n">
        <f aca="false">IF(D28="","",D28*$B$22)</f>
        <v>180000</v>
      </c>
      <c r="I28" s="13" t="n">
        <v>149400</v>
      </c>
      <c r="J28" s="23" t="n">
        <f aca="false">IF(OR(D28="",F28="",F28=0),"",H28/F28)</f>
        <v>0.857142857142857</v>
      </c>
      <c r="K28" s="23" t="n">
        <f aca="false">IF(OR(H28="",I28="",I28=0),"",H28/I28)</f>
        <v>1.20481927710843</v>
      </c>
    </row>
    <row r="29" customFormat="false" ht="15" hidden="false" customHeight="false" outlineLevel="0" collapsed="false">
      <c r="A29" s="21" t="n">
        <v>4</v>
      </c>
      <c r="B29" s="22" t="n">
        <v>46340</v>
      </c>
      <c r="C29" s="15" t="n">
        <v>0.35</v>
      </c>
      <c r="D29" s="15" t="n">
        <v>0.31</v>
      </c>
      <c r="E29" s="14" t="n">
        <f aca="false">IF(D29="","",D29-C29)</f>
        <v>-0.04</v>
      </c>
      <c r="F29" s="16" t="n">
        <f aca="false">IF(C29="","",C29*$B$22)</f>
        <v>350000</v>
      </c>
      <c r="H29" s="16" t="n">
        <f aca="false">IF(D29="","",D29*$B$22)</f>
        <v>310000</v>
      </c>
      <c r="I29" s="13" t="n">
        <v>257300</v>
      </c>
      <c r="J29" s="23" t="n">
        <f aca="false">IF(OR(D29="",F29="",F29=0),"",H29/F29)</f>
        <v>0.885714285714286</v>
      </c>
      <c r="K29" s="23" t="n">
        <f aca="false">IF(OR(H29="",I29="",I29=0),"",H29/I29)</f>
        <v>1.20481927710843</v>
      </c>
    </row>
    <row r="30" customFormat="false" ht="15" hidden="false" customHeight="false" outlineLevel="0" collapsed="false">
      <c r="A30" s="21" t="n">
        <v>5</v>
      </c>
      <c r="B30" s="22" t="n">
        <v>46347</v>
      </c>
      <c r="C30" s="15" t="n">
        <v>0.5</v>
      </c>
      <c r="D30" s="15"/>
      <c r="E30" s="14" t="str">
        <f aca="false">IF(D30="","",D30-C30)</f>
        <v/>
      </c>
      <c r="F30" s="16" t="n">
        <f aca="false">IF(C30="","",C30*$B$22)</f>
        <v>500000</v>
      </c>
      <c r="H30" s="16" t="str">
        <f aca="false">IF(D30="","",D30*$B$22)</f>
        <v/>
      </c>
      <c r="I30" s="13"/>
      <c r="J30" s="23" t="str">
        <f aca="false">IF(OR(D30="",F30="",F30=0),"",H30/F30)</f>
        <v/>
      </c>
      <c r="K30" s="23" t="str">
        <f aca="false">IF(OR(H30="",I30="",I30=0),"",H30/I30)</f>
        <v/>
      </c>
    </row>
    <row r="31" customFormat="false" ht="15" hidden="false" customHeight="false" outlineLevel="0" collapsed="false">
      <c r="A31" s="21" t="n">
        <v>6</v>
      </c>
      <c r="B31" s="22" t="n">
        <v>46354</v>
      </c>
      <c r="C31" s="15" t="n">
        <v>0.65</v>
      </c>
      <c r="D31" s="15"/>
      <c r="E31" s="14" t="str">
        <f aca="false">IF(D31="","",D31-C31)</f>
        <v/>
      </c>
      <c r="F31" s="16" t="n">
        <f aca="false">IF(C31="","",C31*$B$22)</f>
        <v>650000</v>
      </c>
      <c r="H31" s="16" t="str">
        <f aca="false">IF(D31="","",D31*$B$22)</f>
        <v/>
      </c>
      <c r="I31" s="13"/>
      <c r="J31" s="23" t="str">
        <f aca="false">IF(OR(D31="",F31="",F31=0),"",H31/F31)</f>
        <v/>
      </c>
      <c r="K31" s="23" t="str">
        <f aca="false">IF(OR(H31="",I31="",I31=0),"",H31/I31)</f>
        <v/>
      </c>
    </row>
    <row r="32" customFormat="false" ht="15" hidden="false" customHeight="false" outlineLevel="0" collapsed="false">
      <c r="A32" s="21" t="n">
        <v>7</v>
      </c>
      <c r="B32" s="22" t="n">
        <v>46361</v>
      </c>
      <c r="C32" s="15" t="n">
        <v>0.78</v>
      </c>
      <c r="D32" s="15"/>
      <c r="E32" s="14" t="str">
        <f aca="false">IF(D32="","",D32-C32)</f>
        <v/>
      </c>
      <c r="F32" s="16" t="n">
        <f aca="false">IF(C32="","",C32*$B$22)</f>
        <v>780000</v>
      </c>
      <c r="H32" s="16" t="str">
        <f aca="false">IF(D32="","",D32*$B$22)</f>
        <v/>
      </c>
      <c r="I32" s="13"/>
      <c r="J32" s="23" t="str">
        <f aca="false">IF(OR(D32="",F32="",F32=0),"",H32/F32)</f>
        <v/>
      </c>
      <c r="K32" s="23" t="str">
        <f aca="false">IF(OR(H32="",I32="",I32=0),"",H32/I32)</f>
        <v/>
      </c>
    </row>
    <row r="33" customFormat="false" ht="15" hidden="false" customHeight="false" outlineLevel="0" collapsed="false">
      <c r="A33" s="21" t="n">
        <v>8</v>
      </c>
      <c r="B33" s="22" t="n">
        <v>46368</v>
      </c>
      <c r="C33" s="15" t="n">
        <v>0.88</v>
      </c>
      <c r="D33" s="15"/>
      <c r="E33" s="14" t="str">
        <f aca="false">IF(D33="","",D33-C33)</f>
        <v/>
      </c>
      <c r="F33" s="16" t="n">
        <f aca="false">IF(C33="","",C33*$B$22)</f>
        <v>880000</v>
      </c>
      <c r="H33" s="16" t="str">
        <f aca="false">IF(D33="","",D33*$B$22)</f>
        <v/>
      </c>
      <c r="I33" s="13"/>
      <c r="J33" s="23" t="str">
        <f aca="false">IF(OR(D33="",F33="",F33=0),"",H33/F33)</f>
        <v/>
      </c>
      <c r="K33" s="23" t="str">
        <f aca="false">IF(OR(H33="",I33="",I33=0),"",H33/I33)</f>
        <v/>
      </c>
    </row>
    <row r="34" customFormat="false" ht="15" hidden="false" customHeight="false" outlineLevel="0" collapsed="false">
      <c r="A34" s="21" t="n">
        <v>9</v>
      </c>
      <c r="B34" s="22" t="n">
        <v>46375</v>
      </c>
      <c r="C34" s="15" t="n">
        <v>0.95</v>
      </c>
      <c r="D34" s="15"/>
      <c r="E34" s="14" t="str">
        <f aca="false">IF(D34="","",D34-C34)</f>
        <v/>
      </c>
      <c r="F34" s="16" t="n">
        <f aca="false">IF(C34="","",C34*$B$22)</f>
        <v>950000</v>
      </c>
      <c r="H34" s="16" t="str">
        <f aca="false">IF(D34="","",D34*$B$22)</f>
        <v/>
      </c>
      <c r="I34" s="13"/>
      <c r="J34" s="23" t="str">
        <f aca="false">IF(OR(D34="",F34="",F34=0),"",H34/F34)</f>
        <v/>
      </c>
      <c r="K34" s="23" t="str">
        <f aca="false">IF(OR(H34="",I34="",I34=0),"",H34/I34)</f>
        <v/>
      </c>
    </row>
    <row r="35" customFormat="false" ht="15" hidden="false" customHeight="false" outlineLevel="0" collapsed="false">
      <c r="A35" s="21" t="n">
        <v>10</v>
      </c>
      <c r="B35" s="22" t="n">
        <v>46382</v>
      </c>
      <c r="C35" s="15" t="n">
        <v>1</v>
      </c>
      <c r="D35" s="15"/>
      <c r="E35" s="14" t="str">
        <f aca="false">IF(D35="","",D35-C35)</f>
        <v/>
      </c>
      <c r="F35" s="16" t="n">
        <f aca="false">IF(C35="","",C35*$B$22)</f>
        <v>1000000</v>
      </c>
      <c r="H35" s="16" t="str">
        <f aca="false">IF(D35="","",D35*$B$22)</f>
        <v/>
      </c>
      <c r="I35" s="13"/>
      <c r="J35" s="23" t="str">
        <f aca="false">IF(OR(D35="",F35="",F35=0),"",H35/F35)</f>
        <v/>
      </c>
      <c r="K35" s="23" t="str">
        <f aca="false">IF(OR(H35="",I35="",I35=0),"",H35/I35)</f>
        <v/>
      </c>
    </row>
    <row r="36" customFormat="false" ht="15" hidden="false" customHeight="false" outlineLevel="0" collapsed="false">
      <c r="A36" s="21" t="n">
        <v>11</v>
      </c>
      <c r="B36" s="22" t="n">
        <v>46389</v>
      </c>
      <c r="C36" s="15" t="n">
        <v>1</v>
      </c>
      <c r="D36" s="15"/>
      <c r="E36" s="14" t="str">
        <f aca="false">IF(D36="","",D36-C36)</f>
        <v/>
      </c>
      <c r="F36" s="16" t="n">
        <f aca="false">IF(C36="","",C36*$B$22)</f>
        <v>1000000</v>
      </c>
      <c r="H36" s="16" t="str">
        <f aca="false">IF(D36="","",D36*$B$22)</f>
        <v/>
      </c>
      <c r="I36" s="13"/>
      <c r="J36" s="23" t="str">
        <f aca="false">IF(OR(D36="",F36="",F36=0),"",H36/F36)</f>
        <v/>
      </c>
      <c r="K36" s="23" t="str">
        <f aca="false">IF(OR(H36="",I36="",I36=0),"",H36/I36)</f>
        <v/>
      </c>
    </row>
    <row r="37" customFormat="false" ht="15" hidden="false" customHeight="false" outlineLevel="0" collapsed="false">
      <c r="A37" s="21" t="n">
        <v>12</v>
      </c>
      <c r="B37" s="22" t="n">
        <v>46396</v>
      </c>
      <c r="C37" s="15" t="n">
        <v>1</v>
      </c>
      <c r="D37" s="15"/>
      <c r="E37" s="14" t="str">
        <f aca="false">IF(D37="","",D37-C37)</f>
        <v/>
      </c>
      <c r="F37" s="16" t="n">
        <f aca="false">IF(C37="","",C37*$B$22)</f>
        <v>1000000</v>
      </c>
      <c r="H37" s="16" t="str">
        <f aca="false">IF(D37="","",D37*$B$22)</f>
        <v/>
      </c>
      <c r="I37" s="13"/>
      <c r="J37" s="23" t="str">
        <f aca="false">IF(OR(D37="",F37="",F37=0),"",H37/F37)</f>
        <v/>
      </c>
      <c r="K37" s="23" t="str">
        <f aca="false">IF(OR(H37="",I37="",I37=0),"",H37/I37)</f>
        <v/>
      </c>
    </row>
    <row r="38" customFormat="false" ht="15" hidden="false" customHeight="false" outlineLevel="0" collapsed="false">
      <c r="A38" s="21" t="n">
        <v>13</v>
      </c>
      <c r="B38" s="22" t="n">
        <v>46403</v>
      </c>
      <c r="C38" s="15"/>
      <c r="D38" s="15"/>
      <c r="E38" s="14" t="str">
        <f aca="false">IF(D38="","",D38-C38)</f>
        <v/>
      </c>
      <c r="F38" s="16" t="str">
        <f aca="false">IF(C38="","",C38*$B$22)</f>
        <v/>
      </c>
      <c r="H38" s="16" t="str">
        <f aca="false">IF(D38="","",D38*$B$22)</f>
        <v/>
      </c>
      <c r="I38" s="13"/>
      <c r="J38" s="23" t="str">
        <f aca="false">IF(OR(D38="",F38="",F38=0),"",H38/F38)</f>
        <v/>
      </c>
      <c r="K38" s="23" t="str">
        <f aca="false">IF(OR(H38="",I38="",I38=0),"",H38/I38)</f>
        <v/>
      </c>
    </row>
    <row r="39" customFormat="false" ht="15" hidden="false" customHeight="false" outlineLevel="0" collapsed="false">
      <c r="A39" s="21" t="n">
        <v>14</v>
      </c>
      <c r="B39" s="22" t="n">
        <v>46410</v>
      </c>
      <c r="C39" s="15"/>
      <c r="D39" s="15"/>
      <c r="E39" s="14" t="str">
        <f aca="false">IF(D39="","",D39-C39)</f>
        <v/>
      </c>
      <c r="F39" s="16" t="str">
        <f aca="false">IF(C39="","",C39*$B$22)</f>
        <v/>
      </c>
      <c r="H39" s="16" t="str">
        <f aca="false">IF(D39="","",D39*$B$22)</f>
        <v/>
      </c>
      <c r="I39" s="13"/>
      <c r="J39" s="23" t="str">
        <f aca="false">IF(OR(D39="",F39="",F39=0),"",H39/F39)</f>
        <v/>
      </c>
      <c r="K39" s="23" t="str">
        <f aca="false">IF(OR(H39="",I39="",I39=0),"",H39/I39)</f>
        <v/>
      </c>
    </row>
    <row r="40" customFormat="false" ht="15" hidden="false" customHeight="false" outlineLevel="0" collapsed="false">
      <c r="A40" s="21" t="n">
        <v>15</v>
      </c>
      <c r="B40" s="22" t="n">
        <v>46417</v>
      </c>
      <c r="C40" s="15"/>
      <c r="D40" s="15"/>
      <c r="E40" s="14" t="str">
        <f aca="false">IF(D40="","",D40-C40)</f>
        <v/>
      </c>
      <c r="F40" s="16" t="str">
        <f aca="false">IF(C40="","",C40*$B$22)</f>
        <v/>
      </c>
      <c r="H40" s="16" t="str">
        <f aca="false">IF(D40="","",D40*$B$22)</f>
        <v/>
      </c>
      <c r="I40" s="13"/>
      <c r="J40" s="23" t="str">
        <f aca="false">IF(OR(D40="",F40="",F40=0),"",H40/F40)</f>
        <v/>
      </c>
      <c r="K40" s="23" t="str">
        <f aca="false">IF(OR(H40="",I40="",I40=0),"",H40/I40)</f>
        <v/>
      </c>
    </row>
    <row r="41" customFormat="false" ht="15" hidden="false" customHeight="false" outlineLevel="0" collapsed="false">
      <c r="A41" s="21" t="n">
        <v>16</v>
      </c>
      <c r="B41" s="22" t="n">
        <v>46424</v>
      </c>
      <c r="C41" s="15"/>
      <c r="D41" s="15"/>
      <c r="E41" s="14" t="str">
        <f aca="false">IF(D41="","",D41-C41)</f>
        <v/>
      </c>
      <c r="F41" s="16" t="str">
        <f aca="false">IF(C41="","",C41*$B$22)</f>
        <v/>
      </c>
      <c r="H41" s="16" t="str">
        <f aca="false">IF(D41="","",D41*$B$22)</f>
        <v/>
      </c>
      <c r="I41" s="13"/>
      <c r="J41" s="23" t="str">
        <f aca="false">IF(OR(D41="",F41="",F41=0),"",H41/F41)</f>
        <v/>
      </c>
      <c r="K41" s="23" t="str">
        <f aca="false">IF(OR(H41="",I41="",I41=0),"",H41/I41)</f>
        <v/>
      </c>
    </row>
    <row r="42" customFormat="false" ht="15" hidden="false" customHeight="false" outlineLevel="0" collapsed="false">
      <c r="A42" s="21" t="n">
        <v>17</v>
      </c>
      <c r="B42" s="22" t="n">
        <v>46431</v>
      </c>
      <c r="C42" s="15"/>
      <c r="D42" s="15"/>
      <c r="E42" s="14" t="str">
        <f aca="false">IF(D42="","",D42-C42)</f>
        <v/>
      </c>
      <c r="F42" s="16" t="str">
        <f aca="false">IF(C42="","",C42*$B$22)</f>
        <v/>
      </c>
      <c r="H42" s="16" t="str">
        <f aca="false">IF(D42="","",D42*$B$22)</f>
        <v/>
      </c>
      <c r="I42" s="13"/>
      <c r="J42" s="23" t="str">
        <f aca="false">IF(OR(D42="",F42="",F42=0),"",H42/F42)</f>
        <v/>
      </c>
      <c r="K42" s="23" t="str">
        <f aca="false">IF(OR(H42="",I42="",I42=0),"",H42/I42)</f>
        <v/>
      </c>
    </row>
    <row r="43" customFormat="false" ht="15" hidden="false" customHeight="false" outlineLevel="0" collapsed="false">
      <c r="A43" s="21" t="n">
        <v>18</v>
      </c>
      <c r="B43" s="22" t="n">
        <v>46438</v>
      </c>
      <c r="C43" s="15"/>
      <c r="D43" s="15"/>
      <c r="E43" s="14" t="str">
        <f aca="false">IF(D43="","",D43-C43)</f>
        <v/>
      </c>
      <c r="F43" s="16" t="str">
        <f aca="false">IF(C43="","",C43*$B$22)</f>
        <v/>
      </c>
      <c r="H43" s="16" t="str">
        <f aca="false">IF(D43="","",D43*$B$22)</f>
        <v/>
      </c>
      <c r="I43" s="13"/>
      <c r="J43" s="23" t="str">
        <f aca="false">IF(OR(D43="",F43="",F43=0),"",H43/F43)</f>
        <v/>
      </c>
      <c r="K43" s="23" t="str">
        <f aca="false">IF(OR(H43="",I43="",I43=0),"",H43/I43)</f>
        <v/>
      </c>
    </row>
    <row r="44" customFormat="false" ht="15" hidden="false" customHeight="false" outlineLevel="0" collapsed="false">
      <c r="A44" s="21" t="n">
        <v>19</v>
      </c>
      <c r="B44" s="22" t="n">
        <v>46445</v>
      </c>
      <c r="C44" s="15"/>
      <c r="D44" s="15"/>
      <c r="E44" s="14" t="str">
        <f aca="false">IF(D44="","",D44-C44)</f>
        <v/>
      </c>
      <c r="F44" s="16" t="str">
        <f aca="false">IF(C44="","",C44*$B$22)</f>
        <v/>
      </c>
      <c r="H44" s="16" t="str">
        <f aca="false">IF(D44="","",D44*$B$22)</f>
        <v/>
      </c>
      <c r="I44" s="13"/>
      <c r="J44" s="23" t="str">
        <f aca="false">IF(OR(D44="",F44="",F44=0),"",H44/F44)</f>
        <v/>
      </c>
      <c r="K44" s="23" t="str">
        <f aca="false">IF(OR(H44="",I44="",I44=0),"",H44/I44)</f>
        <v/>
      </c>
    </row>
    <row r="45" customFormat="false" ht="15" hidden="false" customHeight="false" outlineLevel="0" collapsed="false">
      <c r="A45" s="21" t="n">
        <v>20</v>
      </c>
      <c r="B45" s="22" t="n">
        <v>46452</v>
      </c>
      <c r="C45" s="15"/>
      <c r="D45" s="15"/>
      <c r="E45" s="14" t="str">
        <f aca="false">IF(D45="","",D45-C45)</f>
        <v/>
      </c>
      <c r="F45" s="16" t="str">
        <f aca="false">IF(C45="","",C45*$B$22)</f>
        <v/>
      </c>
      <c r="H45" s="16" t="str">
        <f aca="false">IF(D45="","",D45*$B$22)</f>
        <v/>
      </c>
      <c r="I45" s="13"/>
      <c r="J45" s="23" t="str">
        <f aca="false">IF(OR(D45="",F45="",F45=0),"",H45/F45)</f>
        <v/>
      </c>
      <c r="K45" s="23" t="str">
        <f aca="false">IF(OR(H45="",I45="",I45=0),"",H45/I45)</f>
        <v/>
      </c>
    </row>
    <row r="46" customFormat="false" ht="15" hidden="false" customHeight="false" outlineLevel="0" collapsed="false">
      <c r="A46" s="21" t="n">
        <v>21</v>
      </c>
      <c r="B46" s="22" t="n">
        <v>46459</v>
      </c>
      <c r="C46" s="15"/>
      <c r="D46" s="15"/>
      <c r="E46" s="14" t="str">
        <f aca="false">IF(D46="","",D46-C46)</f>
        <v/>
      </c>
      <c r="F46" s="16" t="str">
        <f aca="false">IF(C46="","",C46*$B$22)</f>
        <v/>
      </c>
      <c r="H46" s="16" t="str">
        <f aca="false">IF(D46="","",D46*$B$22)</f>
        <v/>
      </c>
      <c r="I46" s="13"/>
      <c r="J46" s="23" t="str">
        <f aca="false">IF(OR(D46="",F46="",F46=0),"",H46/F46)</f>
        <v/>
      </c>
      <c r="K46" s="23" t="str">
        <f aca="false">IF(OR(H46="",I46="",I46=0),"",H46/I46)</f>
        <v/>
      </c>
    </row>
    <row r="47" customFormat="false" ht="15" hidden="false" customHeight="false" outlineLevel="0" collapsed="false">
      <c r="A47" s="21" t="n">
        <v>22</v>
      </c>
      <c r="B47" s="22" t="n">
        <v>46466</v>
      </c>
      <c r="C47" s="15"/>
      <c r="D47" s="15"/>
      <c r="E47" s="14" t="str">
        <f aca="false">IF(D47="","",D47-C47)</f>
        <v/>
      </c>
      <c r="F47" s="16" t="str">
        <f aca="false">IF(C47="","",C47*$B$22)</f>
        <v/>
      </c>
      <c r="H47" s="16" t="str">
        <f aca="false">IF(D47="","",D47*$B$22)</f>
        <v/>
      </c>
      <c r="I47" s="13"/>
      <c r="J47" s="23" t="str">
        <f aca="false">IF(OR(D47="",F47="",F47=0),"",H47/F47)</f>
        <v/>
      </c>
      <c r="K47" s="23" t="str">
        <f aca="false">IF(OR(H47="",I47="",I47=0),"",H47/I47)</f>
        <v/>
      </c>
    </row>
    <row r="48" customFormat="false" ht="15" hidden="false" customHeight="false" outlineLevel="0" collapsed="false">
      <c r="A48" s="21" t="n">
        <v>23</v>
      </c>
      <c r="B48" s="22" t="n">
        <v>46473</v>
      </c>
      <c r="C48" s="15"/>
      <c r="D48" s="15"/>
      <c r="E48" s="14" t="str">
        <f aca="false">IF(D48="","",D48-C48)</f>
        <v/>
      </c>
      <c r="F48" s="16" t="str">
        <f aca="false">IF(C48="","",C48*$B$22)</f>
        <v/>
      </c>
      <c r="H48" s="16" t="str">
        <f aca="false">IF(D48="","",D48*$B$22)</f>
        <v/>
      </c>
      <c r="I48" s="13"/>
      <c r="J48" s="23" t="str">
        <f aca="false">IF(OR(D48="",F48="",F48=0),"",H48/F48)</f>
        <v/>
      </c>
      <c r="K48" s="23" t="str">
        <f aca="false">IF(OR(H48="",I48="",I48=0),"",H48/I48)</f>
        <v/>
      </c>
    </row>
    <row r="49" customFormat="false" ht="15" hidden="false" customHeight="false" outlineLevel="0" collapsed="false">
      <c r="A49" s="21" t="n">
        <v>24</v>
      </c>
      <c r="B49" s="22" t="n">
        <v>46480</v>
      </c>
      <c r="C49" s="15"/>
      <c r="D49" s="15"/>
      <c r="E49" s="14" t="str">
        <f aca="false">IF(D49="","",D49-C49)</f>
        <v/>
      </c>
      <c r="F49" s="16" t="str">
        <f aca="false">IF(C49="","",C49*$B$22)</f>
        <v/>
      </c>
      <c r="H49" s="16" t="str">
        <f aca="false">IF(D49="","",D49*$B$22)</f>
        <v/>
      </c>
      <c r="I49" s="13"/>
      <c r="J49" s="23" t="str">
        <f aca="false">IF(OR(D49="",F49="",F49=0),"",H49/F49)</f>
        <v/>
      </c>
      <c r="K49" s="23" t="str">
        <f aca="false">IF(OR(H49="",I49="",I49=0),"",H49/I49)</f>
        <v/>
      </c>
    </row>
    <row r="50" customFormat="false" ht="15" hidden="false" customHeight="false" outlineLevel="0" collapsed="false">
      <c r="A50" s="21" t="n">
        <v>25</v>
      </c>
      <c r="B50" s="22" t="n">
        <v>46487</v>
      </c>
      <c r="C50" s="15"/>
      <c r="D50" s="15"/>
      <c r="E50" s="14" t="str">
        <f aca="false">IF(D50="","",D50-C50)</f>
        <v/>
      </c>
      <c r="F50" s="16" t="str">
        <f aca="false">IF(C50="","",C50*$B$22)</f>
        <v/>
      </c>
      <c r="H50" s="16" t="str">
        <f aca="false">IF(D50="","",D50*$B$22)</f>
        <v/>
      </c>
      <c r="I50" s="13"/>
      <c r="J50" s="23" t="str">
        <f aca="false">IF(OR(D50="",F50="",F50=0),"",H50/F50)</f>
        <v/>
      </c>
      <c r="K50" s="23" t="str">
        <f aca="false">IF(OR(H50="",I50="",I50=0),"",H50/I50)</f>
        <v/>
      </c>
    </row>
    <row r="51" customFormat="false" ht="15" hidden="false" customHeight="false" outlineLevel="0" collapsed="false">
      <c r="A51" s="21" t="n">
        <v>26</v>
      </c>
      <c r="B51" s="22" t="n">
        <v>46494</v>
      </c>
      <c r="C51" s="15"/>
      <c r="D51" s="15"/>
      <c r="E51" s="14" t="str">
        <f aca="false">IF(D51="","",D51-C51)</f>
        <v/>
      </c>
      <c r="F51" s="16" t="str">
        <f aca="false">IF(C51="","",C51*$B$22)</f>
        <v/>
      </c>
      <c r="H51" s="16" t="str">
        <f aca="false">IF(D51="","",D51*$B$22)</f>
        <v/>
      </c>
      <c r="I51" s="13"/>
      <c r="J51" s="23" t="str">
        <f aca="false">IF(OR(D51="",F51="",F51=0),"",H51/F51)</f>
        <v/>
      </c>
      <c r="K51" s="23" t="str">
        <f aca="false">IF(OR(H51="",I51="",I51=0),"",H51/I51)</f>
        <v/>
      </c>
    </row>
    <row r="52" customFormat="false" ht="15" hidden="false" customHeight="false" outlineLevel="0" collapsed="false">
      <c r="A52" s="21" t="n">
        <v>27</v>
      </c>
      <c r="B52" s="22" t="n">
        <v>46501</v>
      </c>
      <c r="C52" s="15"/>
      <c r="D52" s="15"/>
      <c r="E52" s="14" t="str">
        <f aca="false">IF(D52="","",D52-C52)</f>
        <v/>
      </c>
      <c r="F52" s="16" t="str">
        <f aca="false">IF(C52="","",C52*$B$22)</f>
        <v/>
      </c>
      <c r="H52" s="16" t="str">
        <f aca="false">IF(D52="","",D52*$B$22)</f>
        <v/>
      </c>
      <c r="I52" s="13"/>
      <c r="J52" s="23" t="str">
        <f aca="false">IF(OR(D52="",F52="",F52=0),"",H52/F52)</f>
        <v/>
      </c>
      <c r="K52" s="23" t="str">
        <f aca="false">IF(OR(H52="",I52="",I52=0),"",H52/I52)</f>
        <v/>
      </c>
    </row>
    <row r="53" customFormat="false" ht="15" hidden="false" customHeight="false" outlineLevel="0" collapsed="false">
      <c r="A53" s="21" t="n">
        <v>28</v>
      </c>
      <c r="B53" s="22" t="n">
        <v>46508</v>
      </c>
      <c r="C53" s="15"/>
      <c r="D53" s="15"/>
      <c r="E53" s="14" t="str">
        <f aca="false">IF(D53="","",D53-C53)</f>
        <v/>
      </c>
      <c r="F53" s="16" t="str">
        <f aca="false">IF(C53="","",C53*$B$22)</f>
        <v/>
      </c>
      <c r="H53" s="16" t="str">
        <f aca="false">IF(D53="","",D53*$B$22)</f>
        <v/>
      </c>
      <c r="I53" s="13"/>
      <c r="J53" s="23" t="str">
        <f aca="false">IF(OR(D53="",F53="",F53=0),"",H53/F53)</f>
        <v/>
      </c>
      <c r="K53" s="23" t="str">
        <f aca="false">IF(OR(H53="",I53="",I53=0),"",H53/I53)</f>
        <v/>
      </c>
    </row>
    <row r="54" customFormat="false" ht="15" hidden="false" customHeight="false" outlineLevel="0" collapsed="false">
      <c r="A54" s="21" t="n">
        <v>29</v>
      </c>
      <c r="B54" s="22" t="n">
        <v>46515</v>
      </c>
      <c r="C54" s="15"/>
      <c r="D54" s="15"/>
      <c r="E54" s="14" t="str">
        <f aca="false">IF(D54="","",D54-C54)</f>
        <v/>
      </c>
      <c r="F54" s="16" t="str">
        <f aca="false">IF(C54="","",C54*$B$22)</f>
        <v/>
      </c>
      <c r="H54" s="16" t="str">
        <f aca="false">IF(D54="","",D54*$B$22)</f>
        <v/>
      </c>
      <c r="I54" s="13"/>
      <c r="J54" s="23" t="str">
        <f aca="false">IF(OR(D54="",F54="",F54=0),"",H54/F54)</f>
        <v/>
      </c>
      <c r="K54" s="23" t="str">
        <f aca="false">IF(OR(H54="",I54="",I54=0),"",H54/I54)</f>
        <v/>
      </c>
    </row>
    <row r="55" customFormat="false" ht="15" hidden="false" customHeight="false" outlineLevel="0" collapsed="false">
      <c r="A55" s="21" t="n">
        <v>30</v>
      </c>
      <c r="B55" s="22" t="n">
        <v>46522</v>
      </c>
      <c r="C55" s="15"/>
      <c r="D55" s="15"/>
      <c r="E55" s="14" t="str">
        <f aca="false">IF(D55="","",D55-C55)</f>
        <v/>
      </c>
      <c r="F55" s="16" t="str">
        <f aca="false">IF(C55="","",C55*$B$22)</f>
        <v/>
      </c>
      <c r="H55" s="16" t="str">
        <f aca="false">IF(D55="","",D55*$B$22)</f>
        <v/>
      </c>
      <c r="I55" s="13"/>
      <c r="J55" s="23" t="str">
        <f aca="false">IF(OR(D55="",F55="",F55=0),"",H55/F55)</f>
        <v/>
      </c>
      <c r="K55" s="23" t="str">
        <f aca="false">IF(OR(H55="",I55="",I55=0),"",H55/I55)</f>
        <v/>
      </c>
    </row>
    <row r="57" customFormat="false" ht="15" hidden="false" customHeight="false" outlineLevel="0" collapsed="false">
      <c r="A57" s="24" t="s">
        <v>41</v>
      </c>
    </row>
  </sheetData>
  <mergeCells count="2">
    <mergeCell ref="A1:K1"/>
    <mergeCell ref="A2:K2"/>
  </mergeCells>
  <conditionalFormatting sqref="J26:J55">
    <cfRule type="expression" priority="2" aboveAverage="0" equalAverage="0" bottom="0" percent="0" rank="0" text="" dxfId="0">
      <formula>AND(ISNUMBER(J26),J26&lt;0.9)</formula>
    </cfRule>
    <cfRule type="expression" priority="3" aboveAverage="0" equalAverage="0" bottom="0" percent="0" rank="0" text="" dxfId="1">
      <formula>AND(ISNUMBER(J26),J26&gt;=0.9,J26&lt;1)</formula>
    </cfRule>
    <cfRule type="expression" priority="4" aboveAverage="0" equalAverage="0" bottom="0" percent="0" rank="0" text="" dxfId="2">
      <formula>AND(ISNUMBER(J26),J26&gt;=1)</formula>
    </cfRule>
  </conditionalFormatting>
  <conditionalFormatting sqref="K26:K55">
    <cfRule type="expression" priority="5" aboveAverage="0" equalAverage="0" bottom="0" percent="0" rank="0" text="" dxfId="0">
      <formula>AND(ISNUMBER(K26),K26&lt;0.9)</formula>
    </cfRule>
    <cfRule type="expression" priority="6" aboveAverage="0" equalAverage="0" bottom="0" percent="0" rank="0" text="" dxfId="1">
      <formula>AND(ISNUMBER(K26),K26&gt;=0.9,K26&lt;1)</formula>
    </cfRule>
    <cfRule type="expression" priority="7" aboveAverage="0" equalAverage="0" bottom="0" percent="0" rank="0" text="" dxfId="2">
      <formula>AND(ISNUMBER(K26),K26&gt;=1)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44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26"/>
    <col collapsed="false" customWidth="true" hidden="false" outlineLevel="0" max="10" min="10" style="0" width="10"/>
    <col collapsed="false" customWidth="true" hidden="false" outlineLevel="0" max="12" min="11" style="0" width="14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5" hidden="false" customHeight="false" outlineLevel="0" collapsed="false">
      <c r="A2" s="8" t="s">
        <v>42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15" hidden="false" customHeight="false" outlineLevel="0" collapsed="false">
      <c r="A3" s="9" t="s">
        <v>13</v>
      </c>
      <c r="B3" s="10"/>
    </row>
    <row r="4" customFormat="false" ht="15" hidden="false" customHeight="false" outlineLevel="0" collapsed="false">
      <c r="A4" s="9" t="s">
        <v>14</v>
      </c>
      <c r="B4" s="10"/>
    </row>
    <row r="6" customFormat="false" ht="30" hidden="false" customHeight="true" outlineLevel="0" collapsed="false">
      <c r="A6" s="11" t="s">
        <v>43</v>
      </c>
      <c r="B6" s="11" t="s">
        <v>44</v>
      </c>
      <c r="C6" s="11" t="s">
        <v>45</v>
      </c>
      <c r="D6" s="11" t="s">
        <v>46</v>
      </c>
      <c r="E6" s="11" t="s">
        <v>47</v>
      </c>
      <c r="F6" s="11" t="s">
        <v>48</v>
      </c>
      <c r="G6" s="11" t="s">
        <v>49</v>
      </c>
      <c r="H6" s="11" t="s">
        <v>50</v>
      </c>
      <c r="I6" s="11" t="s">
        <v>51</v>
      </c>
      <c r="J6" s="11" t="s">
        <v>52</v>
      </c>
      <c r="K6" s="11" t="s">
        <v>53</v>
      </c>
      <c r="L6" s="11" t="s">
        <v>54</v>
      </c>
    </row>
    <row r="7" customFormat="false" ht="22.35" hidden="false" customHeight="false" outlineLevel="0" collapsed="false">
      <c r="A7" s="25" t="n">
        <v>46314</v>
      </c>
      <c r="B7" s="26" t="s">
        <v>55</v>
      </c>
      <c r="C7" s="27" t="n">
        <v>8</v>
      </c>
      <c r="D7" s="27" t="n">
        <v>6</v>
      </c>
      <c r="E7" s="26" t="s">
        <v>56</v>
      </c>
      <c r="F7" s="26" t="s">
        <v>57</v>
      </c>
      <c r="G7" s="26" t="s">
        <v>58</v>
      </c>
      <c r="H7" s="26" t="s">
        <v>59</v>
      </c>
      <c r="I7" s="26" t="s">
        <v>60</v>
      </c>
      <c r="J7" s="27" t="n">
        <v>12</v>
      </c>
      <c r="K7" s="26" t="s">
        <v>61</v>
      </c>
      <c r="L7" s="26" t="s">
        <v>62</v>
      </c>
    </row>
    <row r="8" customFormat="false" ht="15" hidden="false" customHeight="false" outlineLevel="0" collapsed="false">
      <c r="A8" s="25" t="n">
        <v>46315</v>
      </c>
      <c r="B8" s="26" t="s">
        <v>63</v>
      </c>
      <c r="C8" s="27" t="n">
        <v>8</v>
      </c>
      <c r="D8" s="27" t="n">
        <v>6</v>
      </c>
      <c r="E8" s="26" t="s">
        <v>56</v>
      </c>
      <c r="F8" s="26" t="s">
        <v>64</v>
      </c>
      <c r="G8" s="26" t="s">
        <v>65</v>
      </c>
      <c r="H8" s="26" t="s">
        <v>66</v>
      </c>
      <c r="I8" s="26"/>
      <c r="J8" s="27" t="n">
        <v>13</v>
      </c>
      <c r="K8" s="26" t="s">
        <v>67</v>
      </c>
      <c r="L8" s="26" t="s">
        <v>62</v>
      </c>
    </row>
    <row r="9" customFormat="false" ht="15" hidden="false" customHeight="false" outlineLevel="0" collapsed="false">
      <c r="A9" s="25"/>
      <c r="B9" s="26"/>
      <c r="C9" s="27"/>
      <c r="D9" s="27"/>
      <c r="E9" s="26"/>
      <c r="F9" s="26"/>
      <c r="G9" s="26"/>
      <c r="H9" s="26"/>
      <c r="I9" s="26"/>
      <c r="J9" s="27"/>
      <c r="K9" s="26"/>
      <c r="L9" s="26"/>
    </row>
    <row r="10" customFormat="false" ht="15" hidden="false" customHeight="false" outlineLevel="0" collapsed="false">
      <c r="A10" s="25"/>
      <c r="B10" s="26"/>
      <c r="C10" s="27"/>
      <c r="D10" s="27"/>
      <c r="E10" s="26"/>
      <c r="F10" s="26"/>
      <c r="G10" s="26"/>
      <c r="H10" s="26"/>
      <c r="I10" s="26"/>
      <c r="J10" s="27"/>
      <c r="K10" s="26"/>
      <c r="L10" s="26"/>
    </row>
    <row r="11" customFormat="false" ht="15" hidden="false" customHeight="false" outlineLevel="0" collapsed="false">
      <c r="A11" s="25"/>
      <c r="B11" s="26"/>
      <c r="C11" s="27"/>
      <c r="D11" s="27"/>
      <c r="E11" s="26"/>
      <c r="F11" s="26"/>
      <c r="G11" s="26"/>
      <c r="H11" s="26"/>
      <c r="I11" s="26"/>
      <c r="J11" s="27"/>
      <c r="K11" s="26"/>
      <c r="L11" s="26"/>
    </row>
    <row r="12" customFormat="false" ht="15" hidden="false" customHeight="false" outlineLevel="0" collapsed="false">
      <c r="A12" s="25"/>
      <c r="B12" s="26"/>
      <c r="C12" s="27"/>
      <c r="D12" s="27"/>
      <c r="E12" s="26"/>
      <c r="F12" s="26"/>
      <c r="G12" s="26"/>
      <c r="H12" s="26"/>
      <c r="I12" s="26"/>
      <c r="J12" s="27"/>
      <c r="K12" s="26"/>
      <c r="L12" s="26"/>
    </row>
    <row r="13" customFormat="false" ht="15" hidden="false" customHeight="false" outlineLevel="0" collapsed="false">
      <c r="A13" s="25"/>
      <c r="B13" s="26"/>
      <c r="C13" s="27"/>
      <c r="D13" s="27"/>
      <c r="E13" s="26"/>
      <c r="F13" s="26"/>
      <c r="G13" s="26"/>
      <c r="H13" s="26"/>
      <c r="I13" s="26"/>
      <c r="J13" s="27"/>
      <c r="K13" s="26"/>
      <c r="L13" s="26"/>
    </row>
    <row r="14" customFormat="false" ht="15" hidden="false" customHeight="false" outlineLevel="0" collapsed="false">
      <c r="A14" s="25"/>
      <c r="B14" s="26"/>
      <c r="C14" s="27"/>
      <c r="D14" s="27"/>
      <c r="E14" s="26"/>
      <c r="F14" s="26"/>
      <c r="G14" s="26"/>
      <c r="H14" s="26"/>
      <c r="I14" s="26"/>
      <c r="J14" s="27"/>
      <c r="K14" s="26"/>
      <c r="L14" s="26"/>
    </row>
    <row r="15" customFormat="false" ht="15" hidden="false" customHeight="false" outlineLevel="0" collapsed="false">
      <c r="A15" s="25"/>
      <c r="B15" s="26"/>
      <c r="C15" s="27"/>
      <c r="D15" s="27"/>
      <c r="E15" s="26"/>
      <c r="F15" s="26"/>
      <c r="G15" s="26"/>
      <c r="H15" s="26"/>
      <c r="I15" s="26"/>
      <c r="J15" s="27"/>
      <c r="K15" s="26"/>
      <c r="L15" s="26"/>
    </row>
    <row r="16" customFormat="false" ht="15" hidden="false" customHeight="false" outlineLevel="0" collapsed="false">
      <c r="A16" s="25"/>
      <c r="B16" s="26"/>
      <c r="C16" s="27"/>
      <c r="D16" s="27"/>
      <c r="E16" s="26"/>
      <c r="F16" s="26"/>
      <c r="G16" s="26"/>
      <c r="H16" s="26"/>
      <c r="I16" s="26"/>
      <c r="J16" s="27"/>
      <c r="K16" s="26"/>
      <c r="L16" s="26"/>
    </row>
    <row r="17" customFormat="false" ht="15" hidden="false" customHeight="false" outlineLevel="0" collapsed="false">
      <c r="A17" s="25"/>
      <c r="B17" s="26"/>
      <c r="C17" s="27"/>
      <c r="D17" s="27"/>
      <c r="E17" s="26"/>
      <c r="F17" s="26"/>
      <c r="G17" s="26"/>
      <c r="H17" s="26"/>
      <c r="I17" s="26"/>
      <c r="J17" s="27"/>
      <c r="K17" s="26"/>
      <c r="L17" s="26"/>
    </row>
    <row r="18" customFormat="false" ht="15" hidden="false" customHeight="false" outlineLevel="0" collapsed="false">
      <c r="A18" s="25"/>
      <c r="B18" s="26"/>
      <c r="C18" s="27"/>
      <c r="D18" s="27"/>
      <c r="E18" s="26"/>
      <c r="F18" s="26"/>
      <c r="G18" s="26"/>
      <c r="H18" s="26"/>
      <c r="I18" s="26"/>
      <c r="J18" s="27"/>
      <c r="K18" s="26"/>
      <c r="L18" s="26"/>
    </row>
    <row r="19" customFormat="false" ht="15" hidden="false" customHeight="false" outlineLevel="0" collapsed="false">
      <c r="A19" s="25"/>
      <c r="B19" s="26"/>
      <c r="C19" s="27"/>
      <c r="D19" s="27"/>
      <c r="E19" s="26"/>
      <c r="F19" s="26"/>
      <c r="G19" s="26"/>
      <c r="H19" s="26"/>
      <c r="I19" s="26"/>
      <c r="J19" s="27"/>
      <c r="K19" s="26"/>
      <c r="L19" s="26"/>
    </row>
    <row r="20" customFormat="false" ht="15" hidden="false" customHeight="false" outlineLevel="0" collapsed="false">
      <c r="A20" s="25"/>
      <c r="B20" s="26"/>
      <c r="C20" s="27"/>
      <c r="D20" s="27"/>
      <c r="E20" s="26"/>
      <c r="F20" s="26"/>
      <c r="G20" s="26"/>
      <c r="H20" s="26"/>
      <c r="I20" s="26"/>
      <c r="J20" s="27"/>
      <c r="K20" s="26"/>
      <c r="L20" s="26"/>
    </row>
    <row r="21" customFormat="false" ht="15" hidden="false" customHeight="false" outlineLevel="0" collapsed="false">
      <c r="A21" s="25"/>
      <c r="B21" s="26"/>
      <c r="C21" s="27"/>
      <c r="D21" s="27"/>
      <c r="E21" s="26"/>
      <c r="F21" s="26"/>
      <c r="G21" s="26"/>
      <c r="H21" s="26"/>
      <c r="I21" s="26"/>
      <c r="J21" s="27"/>
      <c r="K21" s="26"/>
      <c r="L21" s="26"/>
    </row>
    <row r="22" customFormat="false" ht="15" hidden="false" customHeight="false" outlineLevel="0" collapsed="false">
      <c r="A22" s="25"/>
      <c r="B22" s="26"/>
      <c r="C22" s="27"/>
      <c r="D22" s="27"/>
      <c r="E22" s="26"/>
      <c r="F22" s="26"/>
      <c r="G22" s="26"/>
      <c r="H22" s="26"/>
      <c r="I22" s="26"/>
      <c r="J22" s="27"/>
      <c r="K22" s="26"/>
      <c r="L22" s="26"/>
    </row>
    <row r="23" customFormat="false" ht="15" hidden="false" customHeight="false" outlineLevel="0" collapsed="false">
      <c r="A23" s="25"/>
      <c r="B23" s="26"/>
      <c r="C23" s="27"/>
      <c r="D23" s="27"/>
      <c r="E23" s="26"/>
      <c r="F23" s="26"/>
      <c r="G23" s="26"/>
      <c r="H23" s="26"/>
      <c r="I23" s="26"/>
      <c r="J23" s="27"/>
      <c r="K23" s="26"/>
      <c r="L23" s="26"/>
    </row>
    <row r="24" customFormat="false" ht="15" hidden="false" customHeight="false" outlineLevel="0" collapsed="false">
      <c r="A24" s="25"/>
      <c r="B24" s="26"/>
      <c r="C24" s="27"/>
      <c r="D24" s="27"/>
      <c r="E24" s="26"/>
      <c r="F24" s="26"/>
      <c r="G24" s="26"/>
      <c r="H24" s="26"/>
      <c r="I24" s="26"/>
      <c r="J24" s="27"/>
      <c r="K24" s="26"/>
      <c r="L24" s="26"/>
    </row>
    <row r="25" customFormat="false" ht="15" hidden="false" customHeight="false" outlineLevel="0" collapsed="false">
      <c r="A25" s="25"/>
      <c r="B25" s="26"/>
      <c r="C25" s="27"/>
      <c r="D25" s="27"/>
      <c r="E25" s="26"/>
      <c r="F25" s="26"/>
      <c r="G25" s="26"/>
      <c r="H25" s="26"/>
      <c r="I25" s="26"/>
      <c r="J25" s="27"/>
      <c r="K25" s="26"/>
      <c r="L25" s="26"/>
    </row>
    <row r="26" customFormat="false" ht="15" hidden="false" customHeight="false" outlineLevel="0" collapsed="false">
      <c r="A26" s="25"/>
      <c r="B26" s="26"/>
      <c r="C26" s="27"/>
      <c r="D26" s="27"/>
      <c r="E26" s="26"/>
      <c r="F26" s="26"/>
      <c r="G26" s="26"/>
      <c r="H26" s="26"/>
      <c r="I26" s="26"/>
      <c r="J26" s="27"/>
      <c r="K26" s="26"/>
      <c r="L26" s="26"/>
    </row>
    <row r="27" customFormat="false" ht="15" hidden="false" customHeight="false" outlineLevel="0" collapsed="false">
      <c r="A27" s="25"/>
      <c r="B27" s="26"/>
      <c r="C27" s="27"/>
      <c r="D27" s="27"/>
      <c r="E27" s="26"/>
      <c r="F27" s="26"/>
      <c r="G27" s="26"/>
      <c r="H27" s="26"/>
      <c r="I27" s="26"/>
      <c r="J27" s="27"/>
      <c r="K27" s="26"/>
      <c r="L27" s="26"/>
    </row>
    <row r="28" customFormat="false" ht="15" hidden="false" customHeight="false" outlineLevel="0" collapsed="false">
      <c r="A28" s="25"/>
      <c r="B28" s="26"/>
      <c r="C28" s="27"/>
      <c r="D28" s="27"/>
      <c r="E28" s="26"/>
      <c r="F28" s="26"/>
      <c r="G28" s="26"/>
      <c r="H28" s="26"/>
      <c r="I28" s="26"/>
      <c r="J28" s="27"/>
      <c r="K28" s="26"/>
      <c r="L28" s="26"/>
    </row>
    <row r="29" customFormat="false" ht="15" hidden="false" customHeight="false" outlineLevel="0" collapsed="false">
      <c r="A29" s="25"/>
      <c r="B29" s="26"/>
      <c r="C29" s="27"/>
      <c r="D29" s="27"/>
      <c r="E29" s="26"/>
      <c r="F29" s="26"/>
      <c r="G29" s="26"/>
      <c r="H29" s="26"/>
      <c r="I29" s="26"/>
      <c r="J29" s="27"/>
      <c r="K29" s="26"/>
      <c r="L29" s="26"/>
    </row>
    <row r="30" customFormat="false" ht="15" hidden="false" customHeight="false" outlineLevel="0" collapsed="false">
      <c r="A30" s="25"/>
      <c r="B30" s="26"/>
      <c r="C30" s="27"/>
      <c r="D30" s="27"/>
      <c r="E30" s="26"/>
      <c r="F30" s="26"/>
      <c r="G30" s="26"/>
      <c r="H30" s="26"/>
      <c r="I30" s="26"/>
      <c r="J30" s="27"/>
      <c r="K30" s="26"/>
      <c r="L30" s="26"/>
    </row>
    <row r="31" customFormat="false" ht="15" hidden="false" customHeight="false" outlineLevel="0" collapsed="false">
      <c r="A31" s="25"/>
      <c r="B31" s="26"/>
      <c r="C31" s="27"/>
      <c r="D31" s="27"/>
      <c r="E31" s="26"/>
      <c r="F31" s="26"/>
      <c r="G31" s="26"/>
      <c r="H31" s="26"/>
      <c r="I31" s="26"/>
      <c r="J31" s="27"/>
      <c r="K31" s="26"/>
      <c r="L31" s="26"/>
    </row>
    <row r="32" customFormat="false" ht="15" hidden="false" customHeight="false" outlineLevel="0" collapsed="false">
      <c r="A32" s="25"/>
      <c r="B32" s="26"/>
      <c r="C32" s="27"/>
      <c r="D32" s="27"/>
      <c r="E32" s="26"/>
      <c r="F32" s="26"/>
      <c r="G32" s="26"/>
      <c r="H32" s="26"/>
      <c r="I32" s="26"/>
      <c r="J32" s="27"/>
      <c r="K32" s="26"/>
      <c r="L32" s="26"/>
    </row>
    <row r="33" customFormat="false" ht="15" hidden="false" customHeight="false" outlineLevel="0" collapsed="false">
      <c r="A33" s="25"/>
      <c r="B33" s="26"/>
      <c r="C33" s="27"/>
      <c r="D33" s="27"/>
      <c r="E33" s="26"/>
      <c r="F33" s="26"/>
      <c r="G33" s="26"/>
      <c r="H33" s="26"/>
      <c r="I33" s="26"/>
      <c r="J33" s="27"/>
      <c r="K33" s="26"/>
      <c r="L33" s="26"/>
    </row>
    <row r="34" customFormat="false" ht="15" hidden="false" customHeight="false" outlineLevel="0" collapsed="false">
      <c r="A34" s="25"/>
      <c r="B34" s="26"/>
      <c r="C34" s="27"/>
      <c r="D34" s="27"/>
      <c r="E34" s="26"/>
      <c r="F34" s="26"/>
      <c r="G34" s="26"/>
      <c r="H34" s="26"/>
      <c r="I34" s="26"/>
      <c r="J34" s="27"/>
      <c r="K34" s="26"/>
      <c r="L34" s="26"/>
    </row>
    <row r="35" customFormat="false" ht="15" hidden="false" customHeight="false" outlineLevel="0" collapsed="false">
      <c r="A35" s="25"/>
      <c r="B35" s="26"/>
      <c r="C35" s="27"/>
      <c r="D35" s="27"/>
      <c r="E35" s="26"/>
      <c r="F35" s="26"/>
      <c r="G35" s="26"/>
      <c r="H35" s="26"/>
      <c r="I35" s="26"/>
      <c r="J35" s="27"/>
      <c r="K35" s="26"/>
      <c r="L35" s="26"/>
    </row>
    <row r="36" customFormat="false" ht="15" hidden="false" customHeight="false" outlineLevel="0" collapsed="false">
      <c r="A36" s="25"/>
      <c r="B36" s="26"/>
      <c r="C36" s="27"/>
      <c r="D36" s="27"/>
      <c r="E36" s="26"/>
      <c r="F36" s="26"/>
      <c r="G36" s="26"/>
      <c r="H36" s="26"/>
      <c r="I36" s="26"/>
      <c r="J36" s="27"/>
      <c r="K36" s="26"/>
      <c r="L36" s="26"/>
    </row>
    <row r="37" customFormat="false" ht="15" hidden="false" customHeight="false" outlineLevel="0" collapsed="false">
      <c r="A37" s="25"/>
      <c r="B37" s="26"/>
      <c r="C37" s="27"/>
      <c r="D37" s="27"/>
      <c r="E37" s="26"/>
      <c r="F37" s="26"/>
      <c r="G37" s="26"/>
      <c r="H37" s="26"/>
      <c r="I37" s="26"/>
      <c r="J37" s="27"/>
      <c r="K37" s="26"/>
      <c r="L37" s="26"/>
    </row>
    <row r="38" customFormat="false" ht="15" hidden="false" customHeight="false" outlineLevel="0" collapsed="false">
      <c r="A38" s="25"/>
      <c r="B38" s="26"/>
      <c r="C38" s="27"/>
      <c r="D38" s="27"/>
      <c r="E38" s="26"/>
      <c r="F38" s="26"/>
      <c r="G38" s="26"/>
      <c r="H38" s="26"/>
      <c r="I38" s="26"/>
      <c r="J38" s="27"/>
      <c r="K38" s="26"/>
      <c r="L38" s="26"/>
    </row>
    <row r="39" customFormat="false" ht="15" hidden="false" customHeight="false" outlineLevel="0" collapsed="false">
      <c r="A39" s="25"/>
      <c r="B39" s="26"/>
      <c r="C39" s="27"/>
      <c r="D39" s="27"/>
      <c r="E39" s="26"/>
      <c r="F39" s="26"/>
      <c r="G39" s="26"/>
      <c r="H39" s="26"/>
      <c r="I39" s="26"/>
      <c r="J39" s="27"/>
      <c r="K39" s="26"/>
      <c r="L39" s="26"/>
    </row>
    <row r="40" customFormat="false" ht="15" hidden="false" customHeight="false" outlineLevel="0" collapsed="false">
      <c r="A40" s="25"/>
      <c r="B40" s="26"/>
      <c r="C40" s="27"/>
      <c r="D40" s="27"/>
      <c r="E40" s="26"/>
      <c r="F40" s="26"/>
      <c r="G40" s="26"/>
      <c r="H40" s="26"/>
      <c r="I40" s="26"/>
      <c r="J40" s="27"/>
      <c r="K40" s="26"/>
      <c r="L40" s="26"/>
    </row>
    <row r="41" customFormat="false" ht="15" hidden="false" customHeight="false" outlineLevel="0" collapsed="false">
      <c r="A41" s="25"/>
      <c r="B41" s="26"/>
      <c r="C41" s="27"/>
      <c r="D41" s="27"/>
      <c r="E41" s="26"/>
      <c r="F41" s="26"/>
      <c r="G41" s="26"/>
      <c r="H41" s="26"/>
      <c r="I41" s="26"/>
      <c r="J41" s="27"/>
      <c r="K41" s="26"/>
      <c r="L41" s="26"/>
    </row>
    <row r="42" customFormat="false" ht="15" hidden="false" customHeight="false" outlineLevel="0" collapsed="false">
      <c r="A42" s="25"/>
      <c r="B42" s="26"/>
      <c r="C42" s="27"/>
      <c r="D42" s="27"/>
      <c r="E42" s="26"/>
      <c r="F42" s="26"/>
      <c r="G42" s="26"/>
      <c r="H42" s="26"/>
      <c r="I42" s="26"/>
      <c r="J42" s="27"/>
      <c r="K42" s="26"/>
      <c r="L42" s="26"/>
    </row>
    <row r="43" customFormat="false" ht="15" hidden="false" customHeight="false" outlineLevel="0" collapsed="false">
      <c r="A43" s="25"/>
      <c r="B43" s="26"/>
      <c r="C43" s="27"/>
      <c r="D43" s="27"/>
      <c r="E43" s="26"/>
      <c r="F43" s="26"/>
      <c r="G43" s="26"/>
      <c r="H43" s="26"/>
      <c r="I43" s="26"/>
      <c r="J43" s="27"/>
      <c r="K43" s="26"/>
      <c r="L43" s="26"/>
    </row>
    <row r="44" customFormat="false" ht="15" hidden="false" customHeight="false" outlineLevel="0" collapsed="false">
      <c r="A44" s="25"/>
      <c r="B44" s="26"/>
      <c r="C44" s="27"/>
      <c r="D44" s="27"/>
      <c r="E44" s="26"/>
      <c r="F44" s="26"/>
      <c r="G44" s="26"/>
      <c r="H44" s="26"/>
      <c r="I44" s="26"/>
      <c r="J44" s="27"/>
      <c r="K44" s="26"/>
      <c r="L44" s="26"/>
    </row>
    <row r="45" customFormat="false" ht="15" hidden="false" customHeight="false" outlineLevel="0" collapsed="false">
      <c r="A45" s="25"/>
      <c r="B45" s="26"/>
      <c r="C45" s="27"/>
      <c r="D45" s="27"/>
      <c r="E45" s="26"/>
      <c r="F45" s="26"/>
      <c r="G45" s="26"/>
      <c r="H45" s="26"/>
      <c r="I45" s="26"/>
      <c r="J45" s="27"/>
      <c r="K45" s="26"/>
      <c r="L45" s="26"/>
    </row>
    <row r="46" customFormat="false" ht="15" hidden="false" customHeight="false" outlineLevel="0" collapsed="false">
      <c r="A46" s="25"/>
      <c r="B46" s="26"/>
      <c r="C46" s="27"/>
      <c r="D46" s="27"/>
      <c r="E46" s="26"/>
      <c r="F46" s="26"/>
      <c r="G46" s="26"/>
      <c r="H46" s="26"/>
      <c r="I46" s="26"/>
      <c r="J46" s="27"/>
      <c r="K46" s="26"/>
      <c r="L46" s="26"/>
    </row>
    <row r="47" customFormat="false" ht="15" hidden="false" customHeight="false" outlineLevel="0" collapsed="false">
      <c r="A47" s="25"/>
      <c r="B47" s="26"/>
      <c r="C47" s="27"/>
      <c r="D47" s="27"/>
      <c r="E47" s="26"/>
      <c r="F47" s="26"/>
      <c r="G47" s="26"/>
      <c r="H47" s="26"/>
      <c r="I47" s="26"/>
      <c r="J47" s="27"/>
      <c r="K47" s="26"/>
      <c r="L47" s="26"/>
    </row>
    <row r="48" customFormat="false" ht="15" hidden="false" customHeight="false" outlineLevel="0" collapsed="false">
      <c r="A48" s="25"/>
      <c r="B48" s="26"/>
      <c r="C48" s="27"/>
      <c r="D48" s="27"/>
      <c r="E48" s="26"/>
      <c r="F48" s="26"/>
      <c r="G48" s="26"/>
      <c r="H48" s="26"/>
      <c r="I48" s="26"/>
      <c r="J48" s="27"/>
      <c r="K48" s="26"/>
      <c r="L48" s="26"/>
    </row>
    <row r="49" customFormat="false" ht="15" hidden="false" customHeight="false" outlineLevel="0" collapsed="false">
      <c r="A49" s="25"/>
      <c r="B49" s="26"/>
      <c r="C49" s="27"/>
      <c r="D49" s="27"/>
      <c r="E49" s="26"/>
      <c r="F49" s="26"/>
      <c r="G49" s="26"/>
      <c r="H49" s="26"/>
      <c r="I49" s="26"/>
      <c r="J49" s="27"/>
      <c r="K49" s="26"/>
      <c r="L49" s="26"/>
    </row>
    <row r="50" customFormat="false" ht="15" hidden="false" customHeight="false" outlineLevel="0" collapsed="false">
      <c r="A50" s="25"/>
      <c r="B50" s="26"/>
      <c r="C50" s="27"/>
      <c r="D50" s="27"/>
      <c r="E50" s="26"/>
      <c r="F50" s="26"/>
      <c r="G50" s="26"/>
      <c r="H50" s="26"/>
      <c r="I50" s="26"/>
      <c r="J50" s="27"/>
      <c r="K50" s="26"/>
      <c r="L50" s="26"/>
    </row>
    <row r="51" customFormat="false" ht="15" hidden="false" customHeight="false" outlineLevel="0" collapsed="false">
      <c r="A51" s="25"/>
      <c r="B51" s="26"/>
      <c r="C51" s="27"/>
      <c r="D51" s="27"/>
      <c r="E51" s="26"/>
      <c r="F51" s="26"/>
      <c r="G51" s="26"/>
      <c r="H51" s="26"/>
      <c r="I51" s="26"/>
      <c r="J51" s="27"/>
      <c r="K51" s="26"/>
      <c r="L51" s="26"/>
    </row>
    <row r="52" customFormat="false" ht="15" hidden="false" customHeight="false" outlineLevel="0" collapsed="false">
      <c r="A52" s="25"/>
      <c r="B52" s="26"/>
      <c r="C52" s="27"/>
      <c r="D52" s="27"/>
      <c r="E52" s="26"/>
      <c r="F52" s="26"/>
      <c r="G52" s="26"/>
      <c r="H52" s="26"/>
      <c r="I52" s="26"/>
      <c r="J52" s="27"/>
      <c r="K52" s="26"/>
      <c r="L52" s="26"/>
    </row>
    <row r="53" customFormat="false" ht="15" hidden="false" customHeight="false" outlineLevel="0" collapsed="false">
      <c r="A53" s="25"/>
      <c r="B53" s="26"/>
      <c r="C53" s="27"/>
      <c r="D53" s="27"/>
      <c r="E53" s="26"/>
      <c r="F53" s="26"/>
      <c r="G53" s="26"/>
      <c r="H53" s="26"/>
      <c r="I53" s="26"/>
      <c r="J53" s="27"/>
      <c r="K53" s="26"/>
      <c r="L53" s="26"/>
    </row>
    <row r="54" customFormat="false" ht="15" hidden="false" customHeight="false" outlineLevel="0" collapsed="false">
      <c r="A54" s="25"/>
      <c r="B54" s="26"/>
      <c r="C54" s="27"/>
      <c r="D54" s="27"/>
      <c r="E54" s="26"/>
      <c r="F54" s="26"/>
      <c r="G54" s="26"/>
      <c r="H54" s="26"/>
      <c r="I54" s="26"/>
      <c r="J54" s="27"/>
      <c r="K54" s="26"/>
      <c r="L54" s="26"/>
    </row>
    <row r="55" customFormat="false" ht="15" hidden="false" customHeight="false" outlineLevel="0" collapsed="false">
      <c r="A55" s="25"/>
      <c r="B55" s="26"/>
      <c r="C55" s="27"/>
      <c r="D55" s="27"/>
      <c r="E55" s="26"/>
      <c r="F55" s="26"/>
      <c r="G55" s="26"/>
      <c r="H55" s="26"/>
      <c r="I55" s="26"/>
      <c r="J55" s="27"/>
      <c r="K55" s="26"/>
      <c r="L55" s="26"/>
    </row>
    <row r="56" customFormat="false" ht="15" hidden="false" customHeight="false" outlineLevel="0" collapsed="false">
      <c r="A56" s="25"/>
      <c r="B56" s="26"/>
      <c r="C56" s="27"/>
      <c r="D56" s="27"/>
      <c r="E56" s="26"/>
      <c r="F56" s="26"/>
      <c r="G56" s="26"/>
      <c r="H56" s="26"/>
      <c r="I56" s="26"/>
      <c r="J56" s="27"/>
      <c r="K56" s="26"/>
      <c r="L56" s="26"/>
    </row>
    <row r="57" customFormat="false" ht="15" hidden="false" customHeight="false" outlineLevel="0" collapsed="false">
      <c r="A57" s="25"/>
      <c r="B57" s="26"/>
      <c r="C57" s="27"/>
      <c r="D57" s="27"/>
      <c r="E57" s="26"/>
      <c r="F57" s="26"/>
      <c r="G57" s="26"/>
      <c r="H57" s="26"/>
      <c r="I57" s="26"/>
      <c r="J57" s="27"/>
      <c r="K57" s="26"/>
      <c r="L57" s="26"/>
    </row>
    <row r="58" customFormat="false" ht="15" hidden="false" customHeight="false" outlineLevel="0" collapsed="false">
      <c r="A58" s="25"/>
      <c r="B58" s="26"/>
      <c r="C58" s="27"/>
      <c r="D58" s="27"/>
      <c r="E58" s="26"/>
      <c r="F58" s="26"/>
      <c r="G58" s="26"/>
      <c r="H58" s="26"/>
      <c r="I58" s="26"/>
      <c r="J58" s="27"/>
      <c r="K58" s="26"/>
      <c r="L58" s="26"/>
    </row>
    <row r="59" customFormat="false" ht="15" hidden="false" customHeight="false" outlineLevel="0" collapsed="false">
      <c r="A59" s="25"/>
      <c r="B59" s="26"/>
      <c r="C59" s="27"/>
      <c r="D59" s="27"/>
      <c r="E59" s="26"/>
      <c r="F59" s="26"/>
      <c r="G59" s="26"/>
      <c r="H59" s="26"/>
      <c r="I59" s="26"/>
      <c r="J59" s="27"/>
      <c r="K59" s="26"/>
      <c r="L59" s="26"/>
    </row>
    <row r="60" customFormat="false" ht="15" hidden="false" customHeight="false" outlineLevel="0" collapsed="false">
      <c r="A60" s="25"/>
      <c r="B60" s="26"/>
      <c r="C60" s="27"/>
      <c r="D60" s="27"/>
      <c r="E60" s="26"/>
      <c r="F60" s="26"/>
      <c r="G60" s="26"/>
      <c r="H60" s="26"/>
      <c r="I60" s="26"/>
      <c r="J60" s="27"/>
      <c r="K60" s="26"/>
      <c r="L60" s="26"/>
    </row>
    <row r="61" customFormat="false" ht="15" hidden="false" customHeight="false" outlineLevel="0" collapsed="false">
      <c r="A61" s="25"/>
      <c r="B61" s="26"/>
      <c r="C61" s="27"/>
      <c r="D61" s="27"/>
      <c r="E61" s="26"/>
      <c r="F61" s="26"/>
      <c r="G61" s="26"/>
      <c r="H61" s="26"/>
      <c r="I61" s="26"/>
      <c r="J61" s="27"/>
      <c r="K61" s="26"/>
      <c r="L61" s="26"/>
    </row>
    <row r="62" customFormat="false" ht="15" hidden="false" customHeight="false" outlineLevel="0" collapsed="false">
      <c r="A62" s="25"/>
      <c r="B62" s="26"/>
      <c r="C62" s="27"/>
      <c r="D62" s="27"/>
      <c r="E62" s="26"/>
      <c r="F62" s="26"/>
      <c r="G62" s="26"/>
      <c r="H62" s="26"/>
      <c r="I62" s="26"/>
      <c r="J62" s="27"/>
      <c r="K62" s="26"/>
      <c r="L62" s="26"/>
    </row>
    <row r="63" customFormat="false" ht="15" hidden="false" customHeight="false" outlineLevel="0" collapsed="false">
      <c r="A63" s="25"/>
      <c r="B63" s="26"/>
      <c r="C63" s="27"/>
      <c r="D63" s="27"/>
      <c r="E63" s="26"/>
      <c r="F63" s="26"/>
      <c r="G63" s="26"/>
      <c r="H63" s="26"/>
      <c r="I63" s="26"/>
      <c r="J63" s="27"/>
      <c r="K63" s="26"/>
      <c r="L63" s="26"/>
    </row>
    <row r="64" customFormat="false" ht="15" hidden="false" customHeight="false" outlineLevel="0" collapsed="false">
      <c r="A64" s="25"/>
      <c r="B64" s="26"/>
      <c r="C64" s="27"/>
      <c r="D64" s="27"/>
      <c r="E64" s="26"/>
      <c r="F64" s="26"/>
      <c r="G64" s="26"/>
      <c r="H64" s="26"/>
      <c r="I64" s="26"/>
      <c r="J64" s="27"/>
      <c r="K64" s="26"/>
      <c r="L64" s="26"/>
    </row>
    <row r="65" customFormat="false" ht="15" hidden="false" customHeight="false" outlineLevel="0" collapsed="false">
      <c r="A65" s="25"/>
      <c r="B65" s="26"/>
      <c r="C65" s="27"/>
      <c r="D65" s="27"/>
      <c r="E65" s="26"/>
      <c r="F65" s="26"/>
      <c r="G65" s="26"/>
      <c r="H65" s="26"/>
      <c r="I65" s="26"/>
      <c r="J65" s="27"/>
      <c r="K65" s="26"/>
      <c r="L65" s="26"/>
    </row>
    <row r="66" customFormat="false" ht="15" hidden="false" customHeight="false" outlineLevel="0" collapsed="false">
      <c r="A66" s="25"/>
      <c r="B66" s="26"/>
      <c r="C66" s="27"/>
      <c r="D66" s="27"/>
      <c r="E66" s="26"/>
      <c r="F66" s="26"/>
      <c r="G66" s="26"/>
      <c r="H66" s="26"/>
      <c r="I66" s="26"/>
      <c r="J66" s="27"/>
      <c r="K66" s="26"/>
      <c r="L66" s="26"/>
    </row>
    <row r="67" customFormat="false" ht="15" hidden="false" customHeight="false" outlineLevel="0" collapsed="false">
      <c r="A67" s="25"/>
      <c r="B67" s="26"/>
      <c r="C67" s="27"/>
      <c r="D67" s="27"/>
      <c r="E67" s="26"/>
      <c r="F67" s="26"/>
      <c r="G67" s="26"/>
      <c r="H67" s="26"/>
      <c r="I67" s="26"/>
      <c r="J67" s="27"/>
      <c r="K67" s="26"/>
      <c r="L67" s="26"/>
    </row>
    <row r="68" customFormat="false" ht="15" hidden="false" customHeight="false" outlineLevel="0" collapsed="false">
      <c r="A68" s="25"/>
      <c r="B68" s="26"/>
      <c r="C68" s="27"/>
      <c r="D68" s="27"/>
      <c r="E68" s="26"/>
      <c r="F68" s="26"/>
      <c r="G68" s="26"/>
      <c r="H68" s="26"/>
      <c r="I68" s="26"/>
      <c r="J68" s="27"/>
      <c r="K68" s="26"/>
      <c r="L68" s="26"/>
    </row>
    <row r="69" customFormat="false" ht="15" hidden="false" customHeight="false" outlineLevel="0" collapsed="false">
      <c r="A69" s="25"/>
      <c r="B69" s="26"/>
      <c r="C69" s="27"/>
      <c r="D69" s="27"/>
      <c r="E69" s="26"/>
      <c r="F69" s="26"/>
      <c r="G69" s="26"/>
      <c r="H69" s="26"/>
      <c r="I69" s="26"/>
      <c r="J69" s="27"/>
      <c r="K69" s="26"/>
      <c r="L69" s="26"/>
    </row>
    <row r="70" customFormat="false" ht="15" hidden="false" customHeight="false" outlineLevel="0" collapsed="false">
      <c r="A70" s="25"/>
      <c r="B70" s="26"/>
      <c r="C70" s="27"/>
      <c r="D70" s="27"/>
      <c r="E70" s="26"/>
      <c r="F70" s="26"/>
      <c r="G70" s="26"/>
      <c r="H70" s="26"/>
      <c r="I70" s="26"/>
      <c r="J70" s="27"/>
      <c r="K70" s="26"/>
      <c r="L70" s="26"/>
    </row>
    <row r="71" customFormat="false" ht="15" hidden="false" customHeight="false" outlineLevel="0" collapsed="false">
      <c r="A71" s="25"/>
      <c r="B71" s="26"/>
      <c r="C71" s="27"/>
      <c r="D71" s="27"/>
      <c r="E71" s="26"/>
      <c r="F71" s="26"/>
      <c r="G71" s="26"/>
      <c r="H71" s="26"/>
      <c r="I71" s="26"/>
      <c r="J71" s="27"/>
      <c r="K71" s="26"/>
      <c r="L71" s="26"/>
    </row>
    <row r="72" customFormat="false" ht="15" hidden="false" customHeight="false" outlineLevel="0" collapsed="false">
      <c r="A72" s="25"/>
      <c r="B72" s="26"/>
      <c r="C72" s="27"/>
      <c r="D72" s="27"/>
      <c r="E72" s="26"/>
      <c r="F72" s="26"/>
      <c r="G72" s="26"/>
      <c r="H72" s="26"/>
      <c r="I72" s="26"/>
      <c r="J72" s="27"/>
      <c r="K72" s="26"/>
      <c r="L72" s="26"/>
    </row>
    <row r="73" customFormat="false" ht="15" hidden="false" customHeight="false" outlineLevel="0" collapsed="false">
      <c r="A73" s="25"/>
      <c r="B73" s="26"/>
      <c r="C73" s="27"/>
      <c r="D73" s="27"/>
      <c r="E73" s="26"/>
      <c r="F73" s="26"/>
      <c r="G73" s="26"/>
      <c r="H73" s="26"/>
      <c r="I73" s="26"/>
      <c r="J73" s="27"/>
      <c r="K73" s="26"/>
      <c r="L73" s="26"/>
    </row>
    <row r="74" customFormat="false" ht="15" hidden="false" customHeight="false" outlineLevel="0" collapsed="false">
      <c r="A74" s="25"/>
      <c r="B74" s="26"/>
      <c r="C74" s="27"/>
      <c r="D74" s="27"/>
      <c r="E74" s="26"/>
      <c r="F74" s="26"/>
      <c r="G74" s="26"/>
      <c r="H74" s="26"/>
      <c r="I74" s="26"/>
      <c r="J74" s="27"/>
      <c r="K74" s="26"/>
      <c r="L74" s="26"/>
    </row>
    <row r="75" customFormat="false" ht="15" hidden="false" customHeight="false" outlineLevel="0" collapsed="false">
      <c r="A75" s="25"/>
      <c r="B75" s="26"/>
      <c r="C75" s="27"/>
      <c r="D75" s="27"/>
      <c r="E75" s="26"/>
      <c r="F75" s="26"/>
      <c r="G75" s="26"/>
      <c r="H75" s="26"/>
      <c r="I75" s="26"/>
      <c r="J75" s="27"/>
      <c r="K75" s="26"/>
      <c r="L75" s="26"/>
    </row>
    <row r="76" customFormat="false" ht="15" hidden="false" customHeight="false" outlineLevel="0" collapsed="false">
      <c r="A76" s="25"/>
      <c r="B76" s="26"/>
      <c r="C76" s="27"/>
      <c r="D76" s="27"/>
      <c r="E76" s="26"/>
      <c r="F76" s="26"/>
      <c r="G76" s="26"/>
      <c r="H76" s="26"/>
      <c r="I76" s="26"/>
      <c r="J76" s="27"/>
      <c r="K76" s="26"/>
      <c r="L76" s="26"/>
    </row>
    <row r="77" customFormat="false" ht="15" hidden="false" customHeight="false" outlineLevel="0" collapsed="false">
      <c r="A77" s="25"/>
      <c r="B77" s="26"/>
      <c r="C77" s="27"/>
      <c r="D77" s="27"/>
      <c r="E77" s="26"/>
      <c r="F77" s="26"/>
      <c r="G77" s="26"/>
      <c r="H77" s="26"/>
      <c r="I77" s="26"/>
      <c r="J77" s="27"/>
      <c r="K77" s="26"/>
      <c r="L77" s="26"/>
    </row>
    <row r="78" customFormat="false" ht="15" hidden="false" customHeight="false" outlineLevel="0" collapsed="false">
      <c r="A78" s="25"/>
      <c r="B78" s="26"/>
      <c r="C78" s="27"/>
      <c r="D78" s="27"/>
      <c r="E78" s="26"/>
      <c r="F78" s="26"/>
      <c r="G78" s="26"/>
      <c r="H78" s="26"/>
      <c r="I78" s="26"/>
      <c r="J78" s="27"/>
      <c r="K78" s="26"/>
      <c r="L78" s="26"/>
    </row>
    <row r="79" customFormat="false" ht="15" hidden="false" customHeight="false" outlineLevel="0" collapsed="false">
      <c r="A79" s="25"/>
      <c r="B79" s="26"/>
      <c r="C79" s="27"/>
      <c r="D79" s="27"/>
      <c r="E79" s="26"/>
      <c r="F79" s="26"/>
      <c r="G79" s="26"/>
      <c r="H79" s="26"/>
      <c r="I79" s="26"/>
      <c r="J79" s="27"/>
      <c r="K79" s="26"/>
      <c r="L79" s="26"/>
    </row>
    <row r="80" customFormat="false" ht="15" hidden="false" customHeight="false" outlineLevel="0" collapsed="false">
      <c r="A80" s="25"/>
      <c r="B80" s="26"/>
      <c r="C80" s="27"/>
      <c r="D80" s="27"/>
      <c r="E80" s="26"/>
      <c r="F80" s="26"/>
      <c r="G80" s="26"/>
      <c r="H80" s="26"/>
      <c r="I80" s="26"/>
      <c r="J80" s="27"/>
      <c r="K80" s="26"/>
      <c r="L80" s="26"/>
    </row>
    <row r="81" customFormat="false" ht="15" hidden="false" customHeight="false" outlineLevel="0" collapsed="false">
      <c r="A81" s="25"/>
      <c r="B81" s="26"/>
      <c r="C81" s="27"/>
      <c r="D81" s="27"/>
      <c r="E81" s="26"/>
      <c r="F81" s="26"/>
      <c r="G81" s="26"/>
      <c r="H81" s="26"/>
      <c r="I81" s="26"/>
      <c r="J81" s="27"/>
      <c r="K81" s="26"/>
      <c r="L81" s="26"/>
    </row>
    <row r="82" customFormat="false" ht="15" hidden="false" customHeight="false" outlineLevel="0" collapsed="false">
      <c r="A82" s="25"/>
      <c r="B82" s="26"/>
      <c r="C82" s="27"/>
      <c r="D82" s="27"/>
      <c r="E82" s="26"/>
      <c r="F82" s="26"/>
      <c r="G82" s="26"/>
      <c r="H82" s="26"/>
      <c r="I82" s="26"/>
      <c r="J82" s="27"/>
      <c r="K82" s="26"/>
      <c r="L82" s="26"/>
    </row>
    <row r="83" customFormat="false" ht="15" hidden="false" customHeight="false" outlineLevel="0" collapsed="false">
      <c r="A83" s="25"/>
      <c r="B83" s="26"/>
      <c r="C83" s="27"/>
      <c r="D83" s="27"/>
      <c r="E83" s="26"/>
      <c r="F83" s="26"/>
      <c r="G83" s="26"/>
      <c r="H83" s="26"/>
      <c r="I83" s="26"/>
      <c r="J83" s="27"/>
      <c r="K83" s="26"/>
      <c r="L83" s="26"/>
    </row>
    <row r="84" customFormat="false" ht="15" hidden="false" customHeight="false" outlineLevel="0" collapsed="false">
      <c r="A84" s="25"/>
      <c r="B84" s="26"/>
      <c r="C84" s="27"/>
      <c r="D84" s="27"/>
      <c r="E84" s="26"/>
      <c r="F84" s="26"/>
      <c r="G84" s="26"/>
      <c r="H84" s="26"/>
      <c r="I84" s="26"/>
      <c r="J84" s="27"/>
      <c r="K84" s="26"/>
      <c r="L84" s="26"/>
    </row>
    <row r="85" customFormat="false" ht="15" hidden="false" customHeight="false" outlineLevel="0" collapsed="false">
      <c r="A85" s="25"/>
      <c r="B85" s="26"/>
      <c r="C85" s="27"/>
      <c r="D85" s="27"/>
      <c r="E85" s="26"/>
      <c r="F85" s="26"/>
      <c r="G85" s="26"/>
      <c r="H85" s="26"/>
      <c r="I85" s="26"/>
      <c r="J85" s="27"/>
      <c r="K85" s="26"/>
      <c r="L85" s="26"/>
    </row>
    <row r="86" customFormat="false" ht="15" hidden="false" customHeight="false" outlineLevel="0" collapsed="false">
      <c r="A86" s="25"/>
      <c r="B86" s="26"/>
      <c r="C86" s="27"/>
      <c r="D86" s="27"/>
      <c r="E86" s="26"/>
      <c r="F86" s="26"/>
      <c r="G86" s="26"/>
      <c r="H86" s="26"/>
      <c r="I86" s="26"/>
      <c r="J86" s="27"/>
      <c r="K86" s="26"/>
      <c r="L86" s="26"/>
    </row>
    <row r="87" customFormat="false" ht="15" hidden="false" customHeight="false" outlineLevel="0" collapsed="false">
      <c r="A87" s="25"/>
      <c r="B87" s="26"/>
      <c r="C87" s="27"/>
      <c r="D87" s="27"/>
      <c r="E87" s="26"/>
      <c r="F87" s="26"/>
      <c r="G87" s="26"/>
      <c r="H87" s="26"/>
      <c r="I87" s="26"/>
      <c r="J87" s="27"/>
      <c r="K87" s="26"/>
      <c r="L87" s="26"/>
    </row>
    <row r="88" customFormat="false" ht="15" hidden="false" customHeight="false" outlineLevel="0" collapsed="false">
      <c r="A88" s="25"/>
      <c r="B88" s="26"/>
      <c r="C88" s="27"/>
      <c r="D88" s="27"/>
      <c r="E88" s="26"/>
      <c r="F88" s="26"/>
      <c r="G88" s="26"/>
      <c r="H88" s="26"/>
      <c r="I88" s="26"/>
      <c r="J88" s="27"/>
      <c r="K88" s="26"/>
      <c r="L88" s="26"/>
    </row>
    <row r="89" customFormat="false" ht="15" hidden="false" customHeight="false" outlineLevel="0" collapsed="false">
      <c r="A89" s="25"/>
      <c r="B89" s="26"/>
      <c r="C89" s="27"/>
      <c r="D89" s="27"/>
      <c r="E89" s="26"/>
      <c r="F89" s="26"/>
      <c r="G89" s="26"/>
      <c r="H89" s="26"/>
      <c r="I89" s="26"/>
      <c r="J89" s="27"/>
      <c r="K89" s="26"/>
      <c r="L89" s="26"/>
    </row>
    <row r="90" customFormat="false" ht="15" hidden="false" customHeight="false" outlineLevel="0" collapsed="false">
      <c r="A90" s="25"/>
      <c r="B90" s="26"/>
      <c r="C90" s="27"/>
      <c r="D90" s="27"/>
      <c r="E90" s="26"/>
      <c r="F90" s="26"/>
      <c r="G90" s="26"/>
      <c r="H90" s="26"/>
      <c r="I90" s="26"/>
      <c r="J90" s="27"/>
      <c r="K90" s="26"/>
      <c r="L90" s="26"/>
    </row>
    <row r="91" customFormat="false" ht="15" hidden="false" customHeight="false" outlineLevel="0" collapsed="false">
      <c r="A91" s="25"/>
      <c r="B91" s="26"/>
      <c r="C91" s="27"/>
      <c r="D91" s="27"/>
      <c r="E91" s="26"/>
      <c r="F91" s="26"/>
      <c r="G91" s="26"/>
      <c r="H91" s="26"/>
      <c r="I91" s="26"/>
      <c r="J91" s="27"/>
      <c r="K91" s="26"/>
      <c r="L91" s="26"/>
    </row>
    <row r="92" customFormat="false" ht="15" hidden="false" customHeight="false" outlineLevel="0" collapsed="false">
      <c r="A92" s="25"/>
      <c r="B92" s="26"/>
      <c r="C92" s="27"/>
      <c r="D92" s="27"/>
      <c r="E92" s="26"/>
      <c r="F92" s="26"/>
      <c r="G92" s="26"/>
      <c r="H92" s="26"/>
      <c r="I92" s="26"/>
      <c r="J92" s="27"/>
      <c r="K92" s="26"/>
      <c r="L92" s="26"/>
    </row>
    <row r="93" customFormat="false" ht="15" hidden="false" customHeight="false" outlineLevel="0" collapsed="false">
      <c r="A93" s="25"/>
      <c r="B93" s="26"/>
      <c r="C93" s="27"/>
      <c r="D93" s="27"/>
      <c r="E93" s="26"/>
      <c r="F93" s="26"/>
      <c r="G93" s="26"/>
      <c r="H93" s="26"/>
      <c r="I93" s="26"/>
      <c r="J93" s="27"/>
      <c r="K93" s="26"/>
      <c r="L93" s="26"/>
    </row>
    <row r="94" customFormat="false" ht="15" hidden="false" customHeight="false" outlineLevel="0" collapsed="false">
      <c r="A94" s="25"/>
      <c r="B94" s="26"/>
      <c r="C94" s="27"/>
      <c r="D94" s="27"/>
      <c r="E94" s="26"/>
      <c r="F94" s="26"/>
      <c r="G94" s="26"/>
      <c r="H94" s="26"/>
      <c r="I94" s="26"/>
      <c r="J94" s="27"/>
      <c r="K94" s="26"/>
      <c r="L94" s="26"/>
    </row>
    <row r="95" customFormat="false" ht="15" hidden="false" customHeight="false" outlineLevel="0" collapsed="false">
      <c r="A95" s="25"/>
      <c r="B95" s="26"/>
      <c r="C95" s="27"/>
      <c r="D95" s="27"/>
      <c r="E95" s="26"/>
      <c r="F95" s="26"/>
      <c r="G95" s="26"/>
      <c r="H95" s="26"/>
      <c r="I95" s="26"/>
      <c r="J95" s="27"/>
      <c r="K95" s="26"/>
      <c r="L95" s="26"/>
    </row>
    <row r="96" customFormat="false" ht="15" hidden="false" customHeight="false" outlineLevel="0" collapsed="false">
      <c r="A96" s="25"/>
      <c r="B96" s="26"/>
      <c r="C96" s="27"/>
      <c r="D96" s="27"/>
      <c r="E96" s="26"/>
      <c r="F96" s="26"/>
      <c r="G96" s="26"/>
      <c r="H96" s="26"/>
      <c r="I96" s="26"/>
      <c r="J96" s="27"/>
      <c r="K96" s="26"/>
      <c r="L96" s="26"/>
    </row>
    <row r="97" customFormat="false" ht="15" hidden="false" customHeight="false" outlineLevel="0" collapsed="false">
      <c r="A97" s="25"/>
      <c r="B97" s="26"/>
      <c r="C97" s="27"/>
      <c r="D97" s="27"/>
      <c r="E97" s="26"/>
      <c r="F97" s="26"/>
      <c r="G97" s="26"/>
      <c r="H97" s="26"/>
      <c r="I97" s="26"/>
      <c r="J97" s="27"/>
      <c r="K97" s="26"/>
      <c r="L97" s="26"/>
    </row>
    <row r="98" customFormat="false" ht="15" hidden="false" customHeight="false" outlineLevel="0" collapsed="false">
      <c r="A98" s="25"/>
      <c r="B98" s="26"/>
      <c r="C98" s="27"/>
      <c r="D98" s="27"/>
      <c r="E98" s="26"/>
      <c r="F98" s="26"/>
      <c r="G98" s="26"/>
      <c r="H98" s="26"/>
      <c r="I98" s="26"/>
      <c r="J98" s="27"/>
      <c r="K98" s="26"/>
      <c r="L98" s="26"/>
    </row>
    <row r="99" customFormat="false" ht="15" hidden="false" customHeight="false" outlineLevel="0" collapsed="false">
      <c r="A99" s="25"/>
      <c r="B99" s="26"/>
      <c r="C99" s="27"/>
      <c r="D99" s="27"/>
      <c r="E99" s="26"/>
      <c r="F99" s="26"/>
      <c r="G99" s="26"/>
      <c r="H99" s="26"/>
      <c r="I99" s="26"/>
      <c r="J99" s="27"/>
      <c r="K99" s="26"/>
      <c r="L99" s="26"/>
    </row>
    <row r="100" customFormat="false" ht="15" hidden="false" customHeight="false" outlineLevel="0" collapsed="false">
      <c r="A100" s="25"/>
      <c r="B100" s="26"/>
      <c r="C100" s="27"/>
      <c r="D100" s="27"/>
      <c r="E100" s="26"/>
      <c r="F100" s="26"/>
      <c r="G100" s="26"/>
      <c r="H100" s="26"/>
      <c r="I100" s="26"/>
      <c r="J100" s="27"/>
      <c r="K100" s="26"/>
      <c r="L100" s="26"/>
    </row>
    <row r="101" customFormat="false" ht="15" hidden="false" customHeight="false" outlineLevel="0" collapsed="false">
      <c r="A101" s="25"/>
      <c r="B101" s="26"/>
      <c r="C101" s="27"/>
      <c r="D101" s="27"/>
      <c r="E101" s="26"/>
      <c r="F101" s="26"/>
      <c r="G101" s="26"/>
      <c r="H101" s="26"/>
      <c r="I101" s="26"/>
      <c r="J101" s="27"/>
      <c r="K101" s="26"/>
      <c r="L101" s="26"/>
    </row>
    <row r="102" customFormat="false" ht="15" hidden="false" customHeight="false" outlineLevel="0" collapsed="false">
      <c r="A102" s="25"/>
      <c r="B102" s="26"/>
      <c r="C102" s="27"/>
      <c r="D102" s="27"/>
      <c r="E102" s="26"/>
      <c r="F102" s="26"/>
      <c r="G102" s="26"/>
      <c r="H102" s="26"/>
      <c r="I102" s="26"/>
      <c r="J102" s="27"/>
      <c r="K102" s="26"/>
      <c r="L102" s="26"/>
    </row>
    <row r="103" customFormat="false" ht="15" hidden="false" customHeight="false" outlineLevel="0" collapsed="false">
      <c r="A103" s="25"/>
      <c r="B103" s="26"/>
      <c r="C103" s="27"/>
      <c r="D103" s="27"/>
      <c r="E103" s="26"/>
      <c r="F103" s="26"/>
      <c r="G103" s="26"/>
      <c r="H103" s="26"/>
      <c r="I103" s="26"/>
      <c r="J103" s="27"/>
      <c r="K103" s="26"/>
      <c r="L103" s="26"/>
    </row>
    <row r="104" customFormat="false" ht="15" hidden="false" customHeight="false" outlineLevel="0" collapsed="false">
      <c r="A104" s="25"/>
      <c r="B104" s="26"/>
      <c r="C104" s="27"/>
      <c r="D104" s="27"/>
      <c r="E104" s="26"/>
      <c r="F104" s="26"/>
      <c r="G104" s="26"/>
      <c r="H104" s="26"/>
      <c r="I104" s="26"/>
      <c r="J104" s="27"/>
      <c r="K104" s="26"/>
      <c r="L104" s="26"/>
    </row>
    <row r="105" customFormat="false" ht="15" hidden="false" customHeight="false" outlineLevel="0" collapsed="false">
      <c r="A105" s="25"/>
      <c r="B105" s="26"/>
      <c r="C105" s="27"/>
      <c r="D105" s="27"/>
      <c r="E105" s="26"/>
      <c r="F105" s="26"/>
      <c r="G105" s="26"/>
      <c r="H105" s="26"/>
      <c r="I105" s="26"/>
      <c r="J105" s="27"/>
      <c r="K105" s="26"/>
      <c r="L105" s="26"/>
    </row>
    <row r="106" customFormat="false" ht="15" hidden="false" customHeight="false" outlineLevel="0" collapsed="false">
      <c r="A106" s="25"/>
      <c r="B106" s="26"/>
      <c r="C106" s="27"/>
      <c r="D106" s="27"/>
      <c r="E106" s="26"/>
      <c r="F106" s="26"/>
      <c r="G106" s="26"/>
      <c r="H106" s="26"/>
      <c r="I106" s="26"/>
      <c r="J106" s="27"/>
      <c r="K106" s="26"/>
      <c r="L106" s="26"/>
    </row>
    <row r="107" customFormat="false" ht="15" hidden="false" customHeight="false" outlineLevel="0" collapsed="false">
      <c r="A107" s="25"/>
      <c r="B107" s="26"/>
      <c r="C107" s="27"/>
      <c r="D107" s="27"/>
      <c r="E107" s="26"/>
      <c r="F107" s="26"/>
      <c r="G107" s="26"/>
      <c r="H107" s="26"/>
      <c r="I107" s="26"/>
      <c r="J107" s="27"/>
      <c r="K107" s="26"/>
      <c r="L107" s="26"/>
    </row>
    <row r="108" customFormat="false" ht="15" hidden="false" customHeight="false" outlineLevel="0" collapsed="false">
      <c r="A108" s="25"/>
      <c r="B108" s="26"/>
      <c r="C108" s="27"/>
      <c r="D108" s="27"/>
      <c r="E108" s="26"/>
      <c r="F108" s="26"/>
      <c r="G108" s="26"/>
      <c r="H108" s="26"/>
      <c r="I108" s="26"/>
      <c r="J108" s="27"/>
      <c r="K108" s="26"/>
      <c r="L108" s="26"/>
    </row>
    <row r="109" customFormat="false" ht="15" hidden="false" customHeight="false" outlineLevel="0" collapsed="false">
      <c r="A109" s="25"/>
      <c r="B109" s="26"/>
      <c r="C109" s="27"/>
      <c r="D109" s="27"/>
      <c r="E109" s="26"/>
      <c r="F109" s="26"/>
      <c r="G109" s="26"/>
      <c r="H109" s="26"/>
      <c r="I109" s="26"/>
      <c r="J109" s="27"/>
      <c r="K109" s="26"/>
      <c r="L109" s="26"/>
    </row>
    <row r="110" customFormat="false" ht="15" hidden="false" customHeight="false" outlineLevel="0" collapsed="false">
      <c r="A110" s="25"/>
      <c r="B110" s="26"/>
      <c r="C110" s="27"/>
      <c r="D110" s="27"/>
      <c r="E110" s="26"/>
      <c r="F110" s="26"/>
      <c r="G110" s="26"/>
      <c r="H110" s="26"/>
      <c r="I110" s="26"/>
      <c r="J110" s="27"/>
      <c r="K110" s="26"/>
      <c r="L110" s="26"/>
    </row>
    <row r="111" customFormat="false" ht="15" hidden="false" customHeight="false" outlineLevel="0" collapsed="false">
      <c r="A111" s="25"/>
      <c r="B111" s="26"/>
      <c r="C111" s="27"/>
      <c r="D111" s="27"/>
      <c r="E111" s="26"/>
      <c r="F111" s="26"/>
      <c r="G111" s="26"/>
      <c r="H111" s="26"/>
      <c r="I111" s="26"/>
      <c r="J111" s="27"/>
      <c r="K111" s="26"/>
      <c r="L111" s="26"/>
    </row>
    <row r="112" customFormat="false" ht="15" hidden="false" customHeight="false" outlineLevel="0" collapsed="false">
      <c r="A112" s="25"/>
      <c r="B112" s="26"/>
      <c r="C112" s="27"/>
      <c r="D112" s="27"/>
      <c r="E112" s="26"/>
      <c r="F112" s="26"/>
      <c r="G112" s="26"/>
      <c r="H112" s="26"/>
      <c r="I112" s="26"/>
      <c r="J112" s="27"/>
      <c r="K112" s="26"/>
      <c r="L112" s="26"/>
    </row>
    <row r="113" customFormat="false" ht="15" hidden="false" customHeight="false" outlineLevel="0" collapsed="false">
      <c r="A113" s="25"/>
      <c r="B113" s="26"/>
      <c r="C113" s="27"/>
      <c r="D113" s="27"/>
      <c r="E113" s="26"/>
      <c r="F113" s="26"/>
      <c r="G113" s="26"/>
      <c r="H113" s="26"/>
      <c r="I113" s="26"/>
      <c r="J113" s="27"/>
      <c r="K113" s="26"/>
      <c r="L113" s="26"/>
    </row>
    <row r="114" customFormat="false" ht="15" hidden="false" customHeight="false" outlineLevel="0" collapsed="false">
      <c r="A114" s="25"/>
      <c r="B114" s="26"/>
      <c r="C114" s="27"/>
      <c r="D114" s="27"/>
      <c r="E114" s="26"/>
      <c r="F114" s="26"/>
      <c r="G114" s="26"/>
      <c r="H114" s="26"/>
      <c r="I114" s="26"/>
      <c r="J114" s="27"/>
      <c r="K114" s="26"/>
      <c r="L114" s="26"/>
    </row>
    <row r="115" customFormat="false" ht="15" hidden="false" customHeight="false" outlineLevel="0" collapsed="false">
      <c r="A115" s="25"/>
      <c r="B115" s="26"/>
      <c r="C115" s="27"/>
      <c r="D115" s="27"/>
      <c r="E115" s="26"/>
      <c r="F115" s="26"/>
      <c r="G115" s="26"/>
      <c r="H115" s="26"/>
      <c r="I115" s="26"/>
      <c r="J115" s="27"/>
      <c r="K115" s="26"/>
      <c r="L115" s="26"/>
    </row>
    <row r="116" customFormat="false" ht="15" hidden="false" customHeight="false" outlineLevel="0" collapsed="false">
      <c r="A116" s="25"/>
      <c r="B116" s="26"/>
      <c r="C116" s="27"/>
      <c r="D116" s="27"/>
      <c r="E116" s="26"/>
      <c r="F116" s="26"/>
      <c r="G116" s="26"/>
      <c r="H116" s="26"/>
      <c r="I116" s="26"/>
      <c r="J116" s="27"/>
      <c r="K116" s="26"/>
      <c r="L116" s="26"/>
    </row>
    <row r="117" customFormat="false" ht="15" hidden="false" customHeight="false" outlineLevel="0" collapsed="false">
      <c r="A117" s="25"/>
      <c r="B117" s="26"/>
      <c r="C117" s="27"/>
      <c r="D117" s="27"/>
      <c r="E117" s="26"/>
      <c r="F117" s="26"/>
      <c r="G117" s="26"/>
      <c r="H117" s="26"/>
      <c r="I117" s="26"/>
      <c r="J117" s="27"/>
      <c r="K117" s="26"/>
      <c r="L117" s="26"/>
    </row>
    <row r="118" customFormat="false" ht="15" hidden="false" customHeight="false" outlineLevel="0" collapsed="false">
      <c r="A118" s="25"/>
      <c r="B118" s="26"/>
      <c r="C118" s="27"/>
      <c r="D118" s="27"/>
      <c r="E118" s="26"/>
      <c r="F118" s="26"/>
      <c r="G118" s="26"/>
      <c r="H118" s="26"/>
      <c r="I118" s="26"/>
      <c r="J118" s="27"/>
      <c r="K118" s="26"/>
      <c r="L118" s="26"/>
    </row>
    <row r="119" customFormat="false" ht="15" hidden="false" customHeight="false" outlineLevel="0" collapsed="false">
      <c r="A119" s="25"/>
      <c r="B119" s="26"/>
      <c r="C119" s="27"/>
      <c r="D119" s="27"/>
      <c r="E119" s="26"/>
      <c r="F119" s="26"/>
      <c r="G119" s="26"/>
      <c r="H119" s="26"/>
      <c r="I119" s="26"/>
      <c r="J119" s="27"/>
      <c r="K119" s="26"/>
      <c r="L119" s="26"/>
    </row>
    <row r="120" customFormat="false" ht="15" hidden="false" customHeight="false" outlineLevel="0" collapsed="false">
      <c r="A120" s="25"/>
      <c r="B120" s="26"/>
      <c r="C120" s="27"/>
      <c r="D120" s="27"/>
      <c r="E120" s="26"/>
      <c r="F120" s="26"/>
      <c r="G120" s="26"/>
      <c r="H120" s="26"/>
      <c r="I120" s="26"/>
      <c r="J120" s="27"/>
      <c r="K120" s="26"/>
      <c r="L120" s="26"/>
    </row>
    <row r="121" customFormat="false" ht="15" hidden="false" customHeight="false" outlineLevel="0" collapsed="false">
      <c r="A121" s="25"/>
      <c r="B121" s="26"/>
      <c r="C121" s="27"/>
      <c r="D121" s="27"/>
      <c r="E121" s="26"/>
      <c r="F121" s="26"/>
      <c r="G121" s="26"/>
      <c r="H121" s="26"/>
      <c r="I121" s="26"/>
      <c r="J121" s="27"/>
      <c r="K121" s="26"/>
      <c r="L121" s="26"/>
    </row>
    <row r="122" customFormat="false" ht="15" hidden="false" customHeight="false" outlineLevel="0" collapsed="false">
      <c r="A122" s="25"/>
      <c r="B122" s="26"/>
      <c r="C122" s="27"/>
      <c r="D122" s="27"/>
      <c r="E122" s="26"/>
      <c r="F122" s="26"/>
      <c r="G122" s="26"/>
      <c r="H122" s="26"/>
      <c r="I122" s="26"/>
      <c r="J122" s="27"/>
      <c r="K122" s="26"/>
      <c r="L122" s="26"/>
    </row>
    <row r="123" customFormat="false" ht="15" hidden="false" customHeight="false" outlineLevel="0" collapsed="false">
      <c r="A123" s="25"/>
      <c r="B123" s="26"/>
      <c r="C123" s="27"/>
      <c r="D123" s="27"/>
      <c r="E123" s="26"/>
      <c r="F123" s="26"/>
      <c r="G123" s="26"/>
      <c r="H123" s="26"/>
      <c r="I123" s="26"/>
      <c r="J123" s="27"/>
      <c r="K123" s="26"/>
      <c r="L123" s="26"/>
    </row>
    <row r="124" customFormat="false" ht="15" hidden="false" customHeight="false" outlineLevel="0" collapsed="false">
      <c r="A124" s="25"/>
      <c r="B124" s="26"/>
      <c r="C124" s="27"/>
      <c r="D124" s="27"/>
      <c r="E124" s="26"/>
      <c r="F124" s="26"/>
      <c r="G124" s="26"/>
      <c r="H124" s="26"/>
      <c r="I124" s="26"/>
      <c r="J124" s="27"/>
      <c r="K124" s="26"/>
      <c r="L124" s="26"/>
    </row>
    <row r="125" customFormat="false" ht="15" hidden="false" customHeight="false" outlineLevel="0" collapsed="false">
      <c r="A125" s="25"/>
      <c r="B125" s="26"/>
      <c r="C125" s="27"/>
      <c r="D125" s="27"/>
      <c r="E125" s="26"/>
      <c r="F125" s="26"/>
      <c r="G125" s="26"/>
      <c r="H125" s="26"/>
      <c r="I125" s="26"/>
      <c r="J125" s="27"/>
      <c r="K125" s="26"/>
      <c r="L125" s="26"/>
    </row>
    <row r="126" customFormat="false" ht="15" hidden="false" customHeight="false" outlineLevel="0" collapsed="false">
      <c r="A126" s="25"/>
      <c r="B126" s="26"/>
      <c r="C126" s="27"/>
      <c r="D126" s="27"/>
      <c r="E126" s="26"/>
      <c r="F126" s="26"/>
      <c r="G126" s="26"/>
      <c r="H126" s="26"/>
      <c r="I126" s="26"/>
      <c r="J126" s="27"/>
      <c r="K126" s="26"/>
      <c r="L126" s="26"/>
    </row>
    <row r="127" customFormat="false" ht="15" hidden="false" customHeight="false" outlineLevel="0" collapsed="false">
      <c r="A127" s="25"/>
      <c r="B127" s="26"/>
      <c r="C127" s="27"/>
      <c r="D127" s="27"/>
      <c r="E127" s="26"/>
      <c r="F127" s="26"/>
      <c r="G127" s="26"/>
      <c r="H127" s="26"/>
      <c r="I127" s="26"/>
      <c r="J127" s="27"/>
      <c r="K127" s="26"/>
      <c r="L127" s="26"/>
    </row>
    <row r="128" customFormat="false" ht="15" hidden="false" customHeight="false" outlineLevel="0" collapsed="false">
      <c r="A128" s="25"/>
      <c r="B128" s="26"/>
      <c r="C128" s="27"/>
      <c r="D128" s="27"/>
      <c r="E128" s="26"/>
      <c r="F128" s="26"/>
      <c r="G128" s="26"/>
      <c r="H128" s="26"/>
      <c r="I128" s="26"/>
      <c r="J128" s="27"/>
      <c r="K128" s="26"/>
      <c r="L128" s="26"/>
    </row>
    <row r="129" customFormat="false" ht="15" hidden="false" customHeight="false" outlineLevel="0" collapsed="false">
      <c r="A129" s="25"/>
      <c r="B129" s="26"/>
      <c r="C129" s="27"/>
      <c r="D129" s="27"/>
      <c r="E129" s="26"/>
      <c r="F129" s="26"/>
      <c r="G129" s="26"/>
      <c r="H129" s="26"/>
      <c r="I129" s="26"/>
      <c r="J129" s="27"/>
      <c r="K129" s="26"/>
      <c r="L129" s="26"/>
    </row>
    <row r="130" customFormat="false" ht="15" hidden="false" customHeight="false" outlineLevel="0" collapsed="false">
      <c r="A130" s="25"/>
      <c r="B130" s="26"/>
      <c r="C130" s="27"/>
      <c r="D130" s="27"/>
      <c r="E130" s="26"/>
      <c r="F130" s="26"/>
      <c r="G130" s="26"/>
      <c r="H130" s="26"/>
      <c r="I130" s="26"/>
      <c r="J130" s="27"/>
      <c r="K130" s="26"/>
      <c r="L130" s="26"/>
    </row>
    <row r="131" customFormat="false" ht="15" hidden="false" customHeight="false" outlineLevel="0" collapsed="false">
      <c r="A131" s="25"/>
      <c r="B131" s="26"/>
      <c r="C131" s="27"/>
      <c r="D131" s="27"/>
      <c r="E131" s="26"/>
      <c r="F131" s="26"/>
      <c r="G131" s="26"/>
      <c r="H131" s="26"/>
      <c r="I131" s="26"/>
      <c r="J131" s="27"/>
      <c r="K131" s="26"/>
      <c r="L131" s="26"/>
    </row>
    <row r="132" customFormat="false" ht="15" hidden="false" customHeight="false" outlineLevel="0" collapsed="false">
      <c r="A132" s="25"/>
      <c r="B132" s="26"/>
      <c r="C132" s="27"/>
      <c r="D132" s="27"/>
      <c r="E132" s="26"/>
      <c r="F132" s="26"/>
      <c r="G132" s="26"/>
      <c r="H132" s="26"/>
      <c r="I132" s="26"/>
      <c r="J132" s="27"/>
      <c r="K132" s="26"/>
      <c r="L132" s="26"/>
    </row>
    <row r="133" customFormat="false" ht="15" hidden="false" customHeight="false" outlineLevel="0" collapsed="false">
      <c r="A133" s="25"/>
      <c r="B133" s="26"/>
      <c r="C133" s="27"/>
      <c r="D133" s="27"/>
      <c r="E133" s="26"/>
      <c r="F133" s="26"/>
      <c r="G133" s="26"/>
      <c r="H133" s="26"/>
      <c r="I133" s="26"/>
      <c r="J133" s="27"/>
      <c r="K133" s="26"/>
      <c r="L133" s="26"/>
    </row>
    <row r="134" customFormat="false" ht="15" hidden="false" customHeight="false" outlineLevel="0" collapsed="false">
      <c r="A134" s="25"/>
      <c r="B134" s="26"/>
      <c r="C134" s="27"/>
      <c r="D134" s="27"/>
      <c r="E134" s="26"/>
      <c r="F134" s="26"/>
      <c r="G134" s="26"/>
      <c r="H134" s="26"/>
      <c r="I134" s="26"/>
      <c r="J134" s="27"/>
      <c r="K134" s="26"/>
      <c r="L134" s="26"/>
    </row>
    <row r="135" customFormat="false" ht="15" hidden="false" customHeight="false" outlineLevel="0" collapsed="false">
      <c r="A135" s="25"/>
      <c r="B135" s="26"/>
      <c r="C135" s="27"/>
      <c r="D135" s="27"/>
      <c r="E135" s="26"/>
      <c r="F135" s="26"/>
      <c r="G135" s="26"/>
      <c r="H135" s="26"/>
      <c r="I135" s="26"/>
      <c r="J135" s="27"/>
      <c r="K135" s="26"/>
      <c r="L135" s="26"/>
    </row>
    <row r="136" customFormat="false" ht="15" hidden="false" customHeight="false" outlineLevel="0" collapsed="false">
      <c r="A136" s="25"/>
      <c r="B136" s="26"/>
      <c r="C136" s="27"/>
      <c r="D136" s="27"/>
      <c r="E136" s="26"/>
      <c r="F136" s="26"/>
      <c r="G136" s="26"/>
      <c r="H136" s="26"/>
      <c r="I136" s="26"/>
      <c r="J136" s="27"/>
      <c r="K136" s="26"/>
      <c r="L136" s="26"/>
    </row>
    <row r="137" customFormat="false" ht="15" hidden="false" customHeight="false" outlineLevel="0" collapsed="false">
      <c r="A137" s="25"/>
      <c r="B137" s="26"/>
      <c r="C137" s="27"/>
      <c r="D137" s="27"/>
      <c r="E137" s="26"/>
      <c r="F137" s="26"/>
      <c r="G137" s="26"/>
      <c r="H137" s="26"/>
      <c r="I137" s="26"/>
      <c r="J137" s="27"/>
      <c r="K137" s="26"/>
      <c r="L137" s="26"/>
    </row>
    <row r="138" customFormat="false" ht="15" hidden="false" customHeight="false" outlineLevel="0" collapsed="false">
      <c r="A138" s="25"/>
      <c r="B138" s="26"/>
      <c r="C138" s="27"/>
      <c r="D138" s="27"/>
      <c r="E138" s="26"/>
      <c r="F138" s="26"/>
      <c r="G138" s="26"/>
      <c r="H138" s="26"/>
      <c r="I138" s="26"/>
      <c r="J138" s="27"/>
      <c r="K138" s="26"/>
      <c r="L138" s="26"/>
    </row>
    <row r="139" customFormat="false" ht="15" hidden="false" customHeight="false" outlineLevel="0" collapsed="false">
      <c r="A139" s="25"/>
      <c r="B139" s="26"/>
      <c r="C139" s="27"/>
      <c r="D139" s="27"/>
      <c r="E139" s="26"/>
      <c r="F139" s="26"/>
      <c r="G139" s="26"/>
      <c r="H139" s="26"/>
      <c r="I139" s="26"/>
      <c r="J139" s="27"/>
      <c r="K139" s="26"/>
      <c r="L139" s="26"/>
    </row>
    <row r="140" customFormat="false" ht="15" hidden="false" customHeight="false" outlineLevel="0" collapsed="false">
      <c r="A140" s="25"/>
      <c r="B140" s="26"/>
      <c r="C140" s="27"/>
      <c r="D140" s="27"/>
      <c r="E140" s="26"/>
      <c r="F140" s="26"/>
      <c r="G140" s="26"/>
      <c r="H140" s="26"/>
      <c r="I140" s="26"/>
      <c r="J140" s="27"/>
      <c r="K140" s="26"/>
      <c r="L140" s="26"/>
    </row>
    <row r="141" customFormat="false" ht="15" hidden="false" customHeight="false" outlineLevel="0" collapsed="false">
      <c r="A141" s="25"/>
      <c r="B141" s="26"/>
      <c r="C141" s="27"/>
      <c r="D141" s="27"/>
      <c r="E141" s="26"/>
      <c r="F141" s="26"/>
      <c r="G141" s="26"/>
      <c r="H141" s="26"/>
      <c r="I141" s="26"/>
      <c r="J141" s="27"/>
      <c r="K141" s="26"/>
      <c r="L141" s="26"/>
    </row>
    <row r="142" customFormat="false" ht="15" hidden="false" customHeight="false" outlineLevel="0" collapsed="false">
      <c r="A142" s="25"/>
      <c r="B142" s="26"/>
      <c r="C142" s="27"/>
      <c r="D142" s="27"/>
      <c r="E142" s="26"/>
      <c r="F142" s="26"/>
      <c r="G142" s="26"/>
      <c r="H142" s="26"/>
      <c r="I142" s="26"/>
      <c r="J142" s="27"/>
      <c r="K142" s="26"/>
      <c r="L142" s="26"/>
    </row>
    <row r="143" customFormat="false" ht="15" hidden="false" customHeight="false" outlineLevel="0" collapsed="false">
      <c r="A143" s="25"/>
      <c r="B143" s="26"/>
      <c r="C143" s="27"/>
      <c r="D143" s="27"/>
      <c r="E143" s="26"/>
      <c r="F143" s="26"/>
      <c r="G143" s="26"/>
      <c r="H143" s="26"/>
      <c r="I143" s="26"/>
      <c r="J143" s="27"/>
      <c r="K143" s="26"/>
      <c r="L143" s="26"/>
    </row>
    <row r="144" customFormat="false" ht="15" hidden="false" customHeight="false" outlineLevel="0" collapsed="false">
      <c r="A144" s="25"/>
      <c r="B144" s="26"/>
      <c r="C144" s="27"/>
      <c r="D144" s="27"/>
      <c r="E144" s="26"/>
      <c r="F144" s="26"/>
      <c r="G144" s="26"/>
      <c r="H144" s="26"/>
      <c r="I144" s="26"/>
      <c r="J144" s="27"/>
      <c r="K144" s="26"/>
      <c r="L144" s="26"/>
    </row>
    <row r="145" customFormat="false" ht="15" hidden="false" customHeight="false" outlineLevel="0" collapsed="false">
      <c r="A145" s="25"/>
      <c r="B145" s="26"/>
      <c r="C145" s="27"/>
      <c r="D145" s="27"/>
      <c r="E145" s="26"/>
      <c r="F145" s="26"/>
      <c r="G145" s="26"/>
      <c r="H145" s="26"/>
      <c r="I145" s="26"/>
      <c r="J145" s="27"/>
      <c r="K145" s="26"/>
      <c r="L145" s="26"/>
    </row>
    <row r="146" customFormat="false" ht="15" hidden="false" customHeight="false" outlineLevel="0" collapsed="false">
      <c r="A146" s="25"/>
      <c r="B146" s="26"/>
      <c r="C146" s="27"/>
      <c r="D146" s="27"/>
      <c r="E146" s="26"/>
      <c r="F146" s="26"/>
      <c r="G146" s="26"/>
      <c r="H146" s="26"/>
      <c r="I146" s="26"/>
      <c r="J146" s="27"/>
      <c r="K146" s="26"/>
      <c r="L146" s="26"/>
    </row>
    <row r="147" customFormat="false" ht="15" hidden="false" customHeight="false" outlineLevel="0" collapsed="false">
      <c r="A147" s="25"/>
      <c r="B147" s="26"/>
      <c r="C147" s="27"/>
      <c r="D147" s="27"/>
      <c r="E147" s="26"/>
      <c r="F147" s="26"/>
      <c r="G147" s="26"/>
      <c r="H147" s="26"/>
      <c r="I147" s="26"/>
      <c r="J147" s="27"/>
      <c r="K147" s="26"/>
      <c r="L147" s="26"/>
    </row>
    <row r="148" customFormat="false" ht="15" hidden="false" customHeight="false" outlineLevel="0" collapsed="false">
      <c r="A148" s="25"/>
      <c r="B148" s="26"/>
      <c r="C148" s="27"/>
      <c r="D148" s="27"/>
      <c r="E148" s="26"/>
      <c r="F148" s="26"/>
      <c r="G148" s="26"/>
      <c r="H148" s="26"/>
      <c r="I148" s="26"/>
      <c r="J148" s="27"/>
      <c r="K148" s="26"/>
      <c r="L148" s="26"/>
    </row>
    <row r="149" customFormat="false" ht="15" hidden="false" customHeight="false" outlineLevel="0" collapsed="false">
      <c r="A149" s="25"/>
      <c r="B149" s="26"/>
      <c r="C149" s="27"/>
      <c r="D149" s="27"/>
      <c r="E149" s="26"/>
      <c r="F149" s="26"/>
      <c r="G149" s="26"/>
      <c r="H149" s="26"/>
      <c r="I149" s="26"/>
      <c r="J149" s="27"/>
      <c r="K149" s="26"/>
      <c r="L149" s="26"/>
    </row>
    <row r="150" customFormat="false" ht="15" hidden="false" customHeight="false" outlineLevel="0" collapsed="false">
      <c r="A150" s="25"/>
      <c r="B150" s="26"/>
      <c r="C150" s="27"/>
      <c r="D150" s="27"/>
      <c r="E150" s="26"/>
      <c r="F150" s="26"/>
      <c r="G150" s="26"/>
      <c r="H150" s="26"/>
      <c r="I150" s="26"/>
      <c r="J150" s="27"/>
      <c r="K150" s="26"/>
      <c r="L150" s="26"/>
    </row>
    <row r="151" customFormat="false" ht="15" hidden="false" customHeight="false" outlineLevel="0" collapsed="false">
      <c r="A151" s="25"/>
      <c r="B151" s="26"/>
      <c r="C151" s="27"/>
      <c r="D151" s="27"/>
      <c r="E151" s="26"/>
      <c r="F151" s="26"/>
      <c r="G151" s="26"/>
      <c r="H151" s="26"/>
      <c r="I151" s="26"/>
      <c r="J151" s="27"/>
      <c r="K151" s="26"/>
      <c r="L151" s="26"/>
    </row>
    <row r="152" customFormat="false" ht="15" hidden="false" customHeight="false" outlineLevel="0" collapsed="false">
      <c r="A152" s="25"/>
      <c r="B152" s="26"/>
      <c r="C152" s="27"/>
      <c r="D152" s="27"/>
      <c r="E152" s="26"/>
      <c r="F152" s="26"/>
      <c r="G152" s="26"/>
      <c r="H152" s="26"/>
      <c r="I152" s="26"/>
      <c r="J152" s="27"/>
      <c r="K152" s="26"/>
      <c r="L152" s="26"/>
    </row>
    <row r="153" customFormat="false" ht="15" hidden="false" customHeight="false" outlineLevel="0" collapsed="false">
      <c r="A153" s="25"/>
      <c r="B153" s="26"/>
      <c r="C153" s="27"/>
      <c r="D153" s="27"/>
      <c r="E153" s="26"/>
      <c r="F153" s="26"/>
      <c r="G153" s="26"/>
      <c r="H153" s="26"/>
      <c r="I153" s="26"/>
      <c r="J153" s="27"/>
      <c r="K153" s="26"/>
      <c r="L153" s="26"/>
    </row>
    <row r="154" customFormat="false" ht="15" hidden="false" customHeight="false" outlineLevel="0" collapsed="false">
      <c r="A154" s="25"/>
      <c r="B154" s="26"/>
      <c r="C154" s="27"/>
      <c r="D154" s="27"/>
      <c r="E154" s="26"/>
      <c r="F154" s="26"/>
      <c r="G154" s="26"/>
      <c r="H154" s="26"/>
      <c r="I154" s="26"/>
      <c r="J154" s="27"/>
      <c r="K154" s="26"/>
      <c r="L154" s="26"/>
    </row>
    <row r="155" customFormat="false" ht="15" hidden="false" customHeight="false" outlineLevel="0" collapsed="false">
      <c r="A155" s="25"/>
      <c r="B155" s="26"/>
      <c r="C155" s="27"/>
      <c r="D155" s="27"/>
      <c r="E155" s="26"/>
      <c r="F155" s="26"/>
      <c r="G155" s="26"/>
      <c r="H155" s="26"/>
      <c r="I155" s="26"/>
      <c r="J155" s="27"/>
      <c r="K155" s="26"/>
      <c r="L155" s="26"/>
    </row>
    <row r="156" customFormat="false" ht="15" hidden="false" customHeight="false" outlineLevel="0" collapsed="false">
      <c r="A156" s="25"/>
      <c r="B156" s="26"/>
      <c r="C156" s="27"/>
      <c r="D156" s="27"/>
      <c r="E156" s="26"/>
      <c r="F156" s="26"/>
      <c r="G156" s="26"/>
      <c r="H156" s="26"/>
      <c r="I156" s="26"/>
      <c r="J156" s="27"/>
      <c r="K156" s="26"/>
      <c r="L156" s="26"/>
    </row>
    <row r="157" customFormat="false" ht="15" hidden="false" customHeight="false" outlineLevel="0" collapsed="false">
      <c r="A157" s="25"/>
      <c r="B157" s="26"/>
      <c r="C157" s="27"/>
      <c r="D157" s="27"/>
      <c r="E157" s="26"/>
      <c r="F157" s="26"/>
      <c r="G157" s="26"/>
      <c r="H157" s="26"/>
      <c r="I157" s="26"/>
      <c r="J157" s="27"/>
      <c r="K157" s="26"/>
      <c r="L157" s="26"/>
    </row>
    <row r="158" customFormat="false" ht="15" hidden="false" customHeight="false" outlineLevel="0" collapsed="false">
      <c r="A158" s="25"/>
      <c r="B158" s="26"/>
      <c r="C158" s="27"/>
      <c r="D158" s="27"/>
      <c r="E158" s="26"/>
      <c r="F158" s="26"/>
      <c r="G158" s="26"/>
      <c r="H158" s="26"/>
      <c r="I158" s="26"/>
      <c r="J158" s="27"/>
      <c r="K158" s="26"/>
      <c r="L158" s="26"/>
    </row>
    <row r="159" customFormat="false" ht="15" hidden="false" customHeight="false" outlineLevel="0" collapsed="false">
      <c r="A159" s="25"/>
      <c r="B159" s="26"/>
      <c r="C159" s="27"/>
      <c r="D159" s="27"/>
      <c r="E159" s="26"/>
      <c r="F159" s="26"/>
      <c r="G159" s="26"/>
      <c r="H159" s="26"/>
      <c r="I159" s="26"/>
      <c r="J159" s="27"/>
      <c r="K159" s="26"/>
      <c r="L159" s="26"/>
    </row>
    <row r="160" customFormat="false" ht="15" hidden="false" customHeight="false" outlineLevel="0" collapsed="false">
      <c r="A160" s="25"/>
      <c r="B160" s="26"/>
      <c r="C160" s="27"/>
      <c r="D160" s="27"/>
      <c r="E160" s="26"/>
      <c r="F160" s="26"/>
      <c r="G160" s="26"/>
      <c r="H160" s="26"/>
      <c r="I160" s="26"/>
      <c r="J160" s="27"/>
      <c r="K160" s="26"/>
      <c r="L160" s="26"/>
    </row>
    <row r="161" customFormat="false" ht="15" hidden="false" customHeight="false" outlineLevel="0" collapsed="false">
      <c r="A161" s="25"/>
      <c r="B161" s="26"/>
      <c r="C161" s="27"/>
      <c r="D161" s="27"/>
      <c r="E161" s="26"/>
      <c r="F161" s="26"/>
      <c r="G161" s="26"/>
      <c r="H161" s="26"/>
      <c r="I161" s="26"/>
      <c r="J161" s="27"/>
      <c r="K161" s="26"/>
      <c r="L161" s="26"/>
    </row>
    <row r="162" customFormat="false" ht="15" hidden="false" customHeight="false" outlineLevel="0" collapsed="false">
      <c r="A162" s="25"/>
      <c r="B162" s="26"/>
      <c r="C162" s="27"/>
      <c r="D162" s="27"/>
      <c r="E162" s="26"/>
      <c r="F162" s="26"/>
      <c r="G162" s="26"/>
      <c r="H162" s="26"/>
      <c r="I162" s="26"/>
      <c r="J162" s="27"/>
      <c r="K162" s="26"/>
      <c r="L162" s="26"/>
    </row>
    <row r="163" customFormat="false" ht="15" hidden="false" customHeight="false" outlineLevel="0" collapsed="false">
      <c r="A163" s="25"/>
      <c r="B163" s="26"/>
      <c r="C163" s="27"/>
      <c r="D163" s="27"/>
      <c r="E163" s="26"/>
      <c r="F163" s="26"/>
      <c r="G163" s="26"/>
      <c r="H163" s="26"/>
      <c r="I163" s="26"/>
      <c r="J163" s="27"/>
      <c r="K163" s="26"/>
      <c r="L163" s="26"/>
    </row>
    <row r="164" customFormat="false" ht="15" hidden="false" customHeight="false" outlineLevel="0" collapsed="false">
      <c r="A164" s="25"/>
      <c r="B164" s="26"/>
      <c r="C164" s="27"/>
      <c r="D164" s="27"/>
      <c r="E164" s="26"/>
      <c r="F164" s="26"/>
      <c r="G164" s="26"/>
      <c r="H164" s="26"/>
      <c r="I164" s="26"/>
      <c r="J164" s="27"/>
      <c r="K164" s="26"/>
      <c r="L164" s="26"/>
    </row>
    <row r="165" customFormat="false" ht="15" hidden="false" customHeight="false" outlineLevel="0" collapsed="false">
      <c r="A165" s="25"/>
      <c r="B165" s="26"/>
      <c r="C165" s="27"/>
      <c r="D165" s="27"/>
      <c r="E165" s="26"/>
      <c r="F165" s="26"/>
      <c r="G165" s="26"/>
      <c r="H165" s="26"/>
      <c r="I165" s="26"/>
      <c r="J165" s="27"/>
      <c r="K165" s="26"/>
      <c r="L165" s="26"/>
    </row>
    <row r="166" customFormat="false" ht="15" hidden="false" customHeight="false" outlineLevel="0" collapsed="false">
      <c r="A166" s="25"/>
      <c r="B166" s="26"/>
      <c r="C166" s="27"/>
      <c r="D166" s="27"/>
      <c r="E166" s="26"/>
      <c r="F166" s="26"/>
      <c r="G166" s="26"/>
      <c r="H166" s="26"/>
      <c r="I166" s="26"/>
      <c r="J166" s="27"/>
      <c r="K166" s="26"/>
      <c r="L166" s="26"/>
    </row>
    <row r="167" customFormat="false" ht="15" hidden="false" customHeight="false" outlineLevel="0" collapsed="false">
      <c r="A167" s="25"/>
      <c r="B167" s="26"/>
      <c r="C167" s="27"/>
      <c r="D167" s="27"/>
      <c r="E167" s="26"/>
      <c r="F167" s="26"/>
      <c r="G167" s="26"/>
      <c r="H167" s="26"/>
      <c r="I167" s="26"/>
      <c r="J167" s="27"/>
      <c r="K167" s="26"/>
      <c r="L167" s="26"/>
    </row>
    <row r="168" customFormat="false" ht="15" hidden="false" customHeight="false" outlineLevel="0" collapsed="false">
      <c r="A168" s="25"/>
      <c r="B168" s="26"/>
      <c r="C168" s="27"/>
      <c r="D168" s="27"/>
      <c r="E168" s="26"/>
      <c r="F168" s="26"/>
      <c r="G168" s="26"/>
      <c r="H168" s="26"/>
      <c r="I168" s="26"/>
      <c r="J168" s="27"/>
      <c r="K168" s="26"/>
      <c r="L168" s="26"/>
    </row>
    <row r="169" customFormat="false" ht="15" hidden="false" customHeight="false" outlineLevel="0" collapsed="false">
      <c r="A169" s="25"/>
      <c r="B169" s="26"/>
      <c r="C169" s="27"/>
      <c r="D169" s="27"/>
      <c r="E169" s="26"/>
      <c r="F169" s="26"/>
      <c r="G169" s="26"/>
      <c r="H169" s="26"/>
      <c r="I169" s="26"/>
      <c r="J169" s="27"/>
      <c r="K169" s="26"/>
      <c r="L169" s="26"/>
    </row>
    <row r="170" customFormat="false" ht="15" hidden="false" customHeight="false" outlineLevel="0" collapsed="false">
      <c r="A170" s="25"/>
      <c r="B170" s="26"/>
      <c r="C170" s="27"/>
      <c r="D170" s="27"/>
      <c r="E170" s="26"/>
      <c r="F170" s="26"/>
      <c r="G170" s="26"/>
      <c r="H170" s="26"/>
      <c r="I170" s="26"/>
      <c r="J170" s="27"/>
      <c r="K170" s="26"/>
      <c r="L170" s="26"/>
    </row>
    <row r="171" customFormat="false" ht="15" hidden="false" customHeight="false" outlineLevel="0" collapsed="false">
      <c r="A171" s="25"/>
      <c r="B171" s="26"/>
      <c r="C171" s="27"/>
      <c r="D171" s="27"/>
      <c r="E171" s="26"/>
      <c r="F171" s="26"/>
      <c r="G171" s="26"/>
      <c r="H171" s="26"/>
      <c r="I171" s="26"/>
      <c r="J171" s="27"/>
      <c r="K171" s="26"/>
      <c r="L171" s="26"/>
    </row>
    <row r="172" customFormat="false" ht="15" hidden="false" customHeight="false" outlineLevel="0" collapsed="false">
      <c r="A172" s="25"/>
      <c r="B172" s="26"/>
      <c r="C172" s="27"/>
      <c r="D172" s="27"/>
      <c r="E172" s="26"/>
      <c r="F172" s="26"/>
      <c r="G172" s="26"/>
      <c r="H172" s="26"/>
      <c r="I172" s="26"/>
      <c r="J172" s="27"/>
      <c r="K172" s="26"/>
      <c r="L172" s="26"/>
    </row>
    <row r="173" customFormat="false" ht="15" hidden="false" customHeight="false" outlineLevel="0" collapsed="false">
      <c r="A173" s="25"/>
      <c r="B173" s="26"/>
      <c r="C173" s="27"/>
      <c r="D173" s="27"/>
      <c r="E173" s="26"/>
      <c r="F173" s="26"/>
      <c r="G173" s="26"/>
      <c r="H173" s="26"/>
      <c r="I173" s="26"/>
      <c r="J173" s="27"/>
      <c r="K173" s="26"/>
      <c r="L173" s="26"/>
    </row>
    <row r="174" customFormat="false" ht="15" hidden="false" customHeight="false" outlineLevel="0" collapsed="false">
      <c r="A174" s="25"/>
      <c r="B174" s="26"/>
      <c r="C174" s="27"/>
      <c r="D174" s="27"/>
      <c r="E174" s="26"/>
      <c r="F174" s="26"/>
      <c r="G174" s="26"/>
      <c r="H174" s="26"/>
      <c r="I174" s="26"/>
      <c r="J174" s="27"/>
      <c r="K174" s="26"/>
      <c r="L174" s="26"/>
    </row>
    <row r="175" customFormat="false" ht="15" hidden="false" customHeight="false" outlineLevel="0" collapsed="false">
      <c r="A175" s="25"/>
      <c r="B175" s="26"/>
      <c r="C175" s="27"/>
      <c r="D175" s="27"/>
      <c r="E175" s="26"/>
      <c r="F175" s="26"/>
      <c r="G175" s="26"/>
      <c r="H175" s="26"/>
      <c r="I175" s="26"/>
      <c r="J175" s="27"/>
      <c r="K175" s="26"/>
      <c r="L175" s="26"/>
    </row>
    <row r="176" customFormat="false" ht="15" hidden="false" customHeight="false" outlineLevel="0" collapsed="false">
      <c r="A176" s="25"/>
      <c r="B176" s="26"/>
      <c r="C176" s="27"/>
      <c r="D176" s="27"/>
      <c r="E176" s="26"/>
      <c r="F176" s="26"/>
      <c r="G176" s="26"/>
      <c r="H176" s="26"/>
      <c r="I176" s="26"/>
      <c r="J176" s="27"/>
      <c r="K176" s="26"/>
      <c r="L176" s="26"/>
    </row>
    <row r="177" customFormat="false" ht="15" hidden="false" customHeight="false" outlineLevel="0" collapsed="false">
      <c r="A177" s="25"/>
      <c r="B177" s="26"/>
      <c r="C177" s="27"/>
      <c r="D177" s="27"/>
      <c r="E177" s="26"/>
      <c r="F177" s="26"/>
      <c r="G177" s="26"/>
      <c r="H177" s="26"/>
      <c r="I177" s="26"/>
      <c r="J177" s="27"/>
      <c r="K177" s="26"/>
      <c r="L177" s="26"/>
    </row>
    <row r="178" customFormat="false" ht="15" hidden="false" customHeight="false" outlineLevel="0" collapsed="false">
      <c r="A178" s="25"/>
      <c r="B178" s="26"/>
      <c r="C178" s="27"/>
      <c r="D178" s="27"/>
      <c r="E178" s="26"/>
      <c r="F178" s="26"/>
      <c r="G178" s="26"/>
      <c r="H178" s="26"/>
      <c r="I178" s="26"/>
      <c r="J178" s="27"/>
      <c r="K178" s="26"/>
      <c r="L178" s="26"/>
    </row>
    <row r="179" customFormat="false" ht="15" hidden="false" customHeight="false" outlineLevel="0" collapsed="false">
      <c r="A179" s="25"/>
      <c r="B179" s="26"/>
      <c r="C179" s="27"/>
      <c r="D179" s="27"/>
      <c r="E179" s="26"/>
      <c r="F179" s="26"/>
      <c r="G179" s="26"/>
      <c r="H179" s="26"/>
      <c r="I179" s="26"/>
      <c r="J179" s="27"/>
      <c r="K179" s="26"/>
      <c r="L179" s="26"/>
    </row>
    <row r="180" customFormat="false" ht="15" hidden="false" customHeight="false" outlineLevel="0" collapsed="false">
      <c r="A180" s="25"/>
      <c r="B180" s="26"/>
      <c r="C180" s="27"/>
      <c r="D180" s="27"/>
      <c r="E180" s="26"/>
      <c r="F180" s="26"/>
      <c r="G180" s="26"/>
      <c r="H180" s="26"/>
      <c r="I180" s="26"/>
      <c r="J180" s="27"/>
      <c r="K180" s="26"/>
      <c r="L180" s="26"/>
    </row>
    <row r="181" customFormat="false" ht="15" hidden="false" customHeight="false" outlineLevel="0" collapsed="false">
      <c r="A181" s="25"/>
      <c r="B181" s="26"/>
      <c r="C181" s="27"/>
      <c r="D181" s="27"/>
      <c r="E181" s="26"/>
      <c r="F181" s="26"/>
      <c r="G181" s="26"/>
      <c r="H181" s="26"/>
      <c r="I181" s="26"/>
      <c r="J181" s="27"/>
      <c r="K181" s="26"/>
      <c r="L181" s="26"/>
    </row>
    <row r="182" customFormat="false" ht="15" hidden="false" customHeight="false" outlineLevel="0" collapsed="false">
      <c r="A182" s="25"/>
      <c r="B182" s="26"/>
      <c r="C182" s="27"/>
      <c r="D182" s="27"/>
      <c r="E182" s="26"/>
      <c r="F182" s="26"/>
      <c r="G182" s="26"/>
      <c r="H182" s="26"/>
      <c r="I182" s="26"/>
      <c r="J182" s="27"/>
      <c r="K182" s="26"/>
      <c r="L182" s="26"/>
    </row>
    <row r="183" customFormat="false" ht="15" hidden="false" customHeight="false" outlineLevel="0" collapsed="false">
      <c r="A183" s="25"/>
      <c r="B183" s="26"/>
      <c r="C183" s="27"/>
      <c r="D183" s="27"/>
      <c r="E183" s="26"/>
      <c r="F183" s="26"/>
      <c r="G183" s="26"/>
      <c r="H183" s="26"/>
      <c r="I183" s="26"/>
      <c r="J183" s="27"/>
      <c r="K183" s="26"/>
      <c r="L183" s="26"/>
    </row>
    <row r="184" customFormat="false" ht="15" hidden="false" customHeight="false" outlineLevel="0" collapsed="false">
      <c r="A184" s="25"/>
      <c r="B184" s="26"/>
      <c r="C184" s="27"/>
      <c r="D184" s="27"/>
      <c r="E184" s="26"/>
      <c r="F184" s="26"/>
      <c r="G184" s="26"/>
      <c r="H184" s="26"/>
      <c r="I184" s="26"/>
      <c r="J184" s="27"/>
      <c r="K184" s="26"/>
      <c r="L184" s="26"/>
    </row>
    <row r="185" customFormat="false" ht="15" hidden="false" customHeight="false" outlineLevel="0" collapsed="false">
      <c r="A185" s="25"/>
      <c r="B185" s="26"/>
      <c r="C185" s="27"/>
      <c r="D185" s="27"/>
      <c r="E185" s="26"/>
      <c r="F185" s="26"/>
      <c r="G185" s="26"/>
      <c r="H185" s="26"/>
      <c r="I185" s="26"/>
      <c r="J185" s="27"/>
      <c r="K185" s="26"/>
      <c r="L185" s="26"/>
    </row>
    <row r="186" customFormat="false" ht="15" hidden="false" customHeight="false" outlineLevel="0" collapsed="false">
      <c r="A186" s="25"/>
      <c r="B186" s="26"/>
      <c r="C186" s="27"/>
      <c r="D186" s="27"/>
      <c r="E186" s="26"/>
      <c r="F186" s="26"/>
      <c r="G186" s="26"/>
      <c r="H186" s="26"/>
      <c r="I186" s="26"/>
      <c r="J186" s="27"/>
      <c r="K186" s="26"/>
      <c r="L186" s="26"/>
    </row>
    <row r="187" customFormat="false" ht="15" hidden="false" customHeight="false" outlineLevel="0" collapsed="false">
      <c r="A187" s="25"/>
      <c r="B187" s="26"/>
      <c r="C187" s="27"/>
      <c r="D187" s="27"/>
      <c r="E187" s="26"/>
      <c r="F187" s="26"/>
      <c r="G187" s="26"/>
      <c r="H187" s="26"/>
      <c r="I187" s="26"/>
      <c r="J187" s="27"/>
      <c r="K187" s="26"/>
      <c r="L187" s="26"/>
    </row>
    <row r="188" customFormat="false" ht="15" hidden="false" customHeight="false" outlineLevel="0" collapsed="false">
      <c r="A188" s="25"/>
      <c r="B188" s="26"/>
      <c r="C188" s="27"/>
      <c r="D188" s="27"/>
      <c r="E188" s="26"/>
      <c r="F188" s="26"/>
      <c r="G188" s="26"/>
      <c r="H188" s="26"/>
      <c r="I188" s="26"/>
      <c r="J188" s="27"/>
      <c r="K188" s="26"/>
      <c r="L188" s="26"/>
    </row>
    <row r="189" customFormat="false" ht="15" hidden="false" customHeight="false" outlineLevel="0" collapsed="false">
      <c r="A189" s="25"/>
      <c r="B189" s="26"/>
      <c r="C189" s="27"/>
      <c r="D189" s="27"/>
      <c r="E189" s="26"/>
      <c r="F189" s="26"/>
      <c r="G189" s="26"/>
      <c r="H189" s="26"/>
      <c r="I189" s="26"/>
      <c r="J189" s="27"/>
      <c r="K189" s="26"/>
      <c r="L189" s="26"/>
    </row>
    <row r="190" customFormat="false" ht="15" hidden="false" customHeight="false" outlineLevel="0" collapsed="false">
      <c r="A190" s="25"/>
      <c r="B190" s="26"/>
      <c r="C190" s="27"/>
      <c r="D190" s="27"/>
      <c r="E190" s="26"/>
      <c r="F190" s="26"/>
      <c r="G190" s="26"/>
      <c r="H190" s="26"/>
      <c r="I190" s="26"/>
      <c r="J190" s="27"/>
      <c r="K190" s="26"/>
      <c r="L190" s="26"/>
    </row>
    <row r="191" customFormat="false" ht="15" hidden="false" customHeight="false" outlineLevel="0" collapsed="false">
      <c r="A191" s="25"/>
      <c r="B191" s="26"/>
      <c r="C191" s="27"/>
      <c r="D191" s="27"/>
      <c r="E191" s="26"/>
      <c r="F191" s="26"/>
      <c r="G191" s="26"/>
      <c r="H191" s="26"/>
      <c r="I191" s="26"/>
      <c r="J191" s="27"/>
      <c r="K191" s="26"/>
      <c r="L191" s="26"/>
    </row>
    <row r="192" customFormat="false" ht="15" hidden="false" customHeight="false" outlineLevel="0" collapsed="false">
      <c r="A192" s="25"/>
      <c r="B192" s="26"/>
      <c r="C192" s="27"/>
      <c r="D192" s="27"/>
      <c r="E192" s="26"/>
      <c r="F192" s="26"/>
      <c r="G192" s="26"/>
      <c r="H192" s="26"/>
      <c r="I192" s="26"/>
      <c r="J192" s="27"/>
      <c r="K192" s="26"/>
      <c r="L192" s="26"/>
    </row>
    <row r="193" customFormat="false" ht="15" hidden="false" customHeight="false" outlineLevel="0" collapsed="false">
      <c r="A193" s="25"/>
      <c r="B193" s="26"/>
      <c r="C193" s="27"/>
      <c r="D193" s="27"/>
      <c r="E193" s="26"/>
      <c r="F193" s="26"/>
      <c r="G193" s="26"/>
      <c r="H193" s="26"/>
      <c r="I193" s="26"/>
      <c r="J193" s="27"/>
      <c r="K193" s="26"/>
      <c r="L193" s="26"/>
    </row>
    <row r="194" customFormat="false" ht="15" hidden="false" customHeight="false" outlineLevel="0" collapsed="false">
      <c r="A194" s="25"/>
      <c r="B194" s="26"/>
      <c r="C194" s="27"/>
      <c r="D194" s="27"/>
      <c r="E194" s="26"/>
      <c r="F194" s="26"/>
      <c r="G194" s="26"/>
      <c r="H194" s="26"/>
      <c r="I194" s="26"/>
      <c r="J194" s="27"/>
      <c r="K194" s="26"/>
      <c r="L194" s="26"/>
    </row>
    <row r="195" customFormat="false" ht="15" hidden="false" customHeight="false" outlineLevel="0" collapsed="false">
      <c r="A195" s="25"/>
      <c r="B195" s="26"/>
      <c r="C195" s="27"/>
      <c r="D195" s="27"/>
      <c r="E195" s="26"/>
      <c r="F195" s="26"/>
      <c r="G195" s="26"/>
      <c r="H195" s="26"/>
      <c r="I195" s="26"/>
      <c r="J195" s="27"/>
      <c r="K195" s="26"/>
      <c r="L195" s="26"/>
    </row>
    <row r="196" customFormat="false" ht="15" hidden="false" customHeight="false" outlineLevel="0" collapsed="false">
      <c r="A196" s="25"/>
      <c r="B196" s="26"/>
      <c r="C196" s="27"/>
      <c r="D196" s="27"/>
      <c r="E196" s="26"/>
      <c r="F196" s="26"/>
      <c r="G196" s="26"/>
      <c r="H196" s="26"/>
      <c r="I196" s="26"/>
      <c r="J196" s="27"/>
      <c r="K196" s="26"/>
      <c r="L196" s="26"/>
    </row>
    <row r="197" customFormat="false" ht="15" hidden="false" customHeight="false" outlineLevel="0" collapsed="false">
      <c r="A197" s="25"/>
      <c r="B197" s="26"/>
      <c r="C197" s="27"/>
      <c r="D197" s="27"/>
      <c r="E197" s="26"/>
      <c r="F197" s="26"/>
      <c r="G197" s="26"/>
      <c r="H197" s="26"/>
      <c r="I197" s="26"/>
      <c r="J197" s="27"/>
      <c r="K197" s="26"/>
      <c r="L197" s="26"/>
    </row>
    <row r="198" customFormat="false" ht="15" hidden="false" customHeight="false" outlineLevel="0" collapsed="false">
      <c r="A198" s="25"/>
      <c r="B198" s="26"/>
      <c r="C198" s="27"/>
      <c r="D198" s="27"/>
      <c r="E198" s="26"/>
      <c r="F198" s="26"/>
      <c r="G198" s="26"/>
      <c r="H198" s="26"/>
      <c r="I198" s="26"/>
      <c r="J198" s="27"/>
      <c r="K198" s="26"/>
      <c r="L198" s="26"/>
    </row>
    <row r="199" customFormat="false" ht="15" hidden="false" customHeight="false" outlineLevel="0" collapsed="false">
      <c r="A199" s="25"/>
      <c r="B199" s="26"/>
      <c r="C199" s="27"/>
      <c r="D199" s="27"/>
      <c r="E199" s="26"/>
      <c r="F199" s="26"/>
      <c r="G199" s="26"/>
      <c r="H199" s="26"/>
      <c r="I199" s="26"/>
      <c r="J199" s="27"/>
      <c r="K199" s="26"/>
      <c r="L199" s="26"/>
    </row>
    <row r="200" customFormat="false" ht="15" hidden="false" customHeight="false" outlineLevel="0" collapsed="false">
      <c r="A200" s="25"/>
      <c r="B200" s="26"/>
      <c r="C200" s="27"/>
      <c r="D200" s="27"/>
      <c r="E200" s="26"/>
      <c r="F200" s="26"/>
      <c r="G200" s="26"/>
      <c r="H200" s="26"/>
      <c r="I200" s="26"/>
      <c r="J200" s="27"/>
      <c r="K200" s="26"/>
      <c r="L200" s="26"/>
    </row>
    <row r="201" customFormat="false" ht="15" hidden="false" customHeight="false" outlineLevel="0" collapsed="false">
      <c r="A201" s="25"/>
      <c r="B201" s="26"/>
      <c r="C201" s="27"/>
      <c r="D201" s="27"/>
      <c r="E201" s="26"/>
      <c r="F201" s="26"/>
      <c r="G201" s="26"/>
      <c r="H201" s="26"/>
      <c r="I201" s="26"/>
      <c r="J201" s="27"/>
      <c r="K201" s="26"/>
      <c r="L201" s="26"/>
    </row>
    <row r="202" customFormat="false" ht="15" hidden="false" customHeight="false" outlineLevel="0" collapsed="false">
      <c r="A202" s="25"/>
      <c r="B202" s="26"/>
      <c r="C202" s="27"/>
      <c r="D202" s="27"/>
      <c r="E202" s="26"/>
      <c r="F202" s="26"/>
      <c r="G202" s="26"/>
      <c r="H202" s="26"/>
      <c r="I202" s="26"/>
      <c r="J202" s="27"/>
      <c r="K202" s="26"/>
      <c r="L202" s="26"/>
    </row>
    <row r="203" customFormat="false" ht="15" hidden="false" customHeight="false" outlineLevel="0" collapsed="false">
      <c r="A203" s="25"/>
      <c r="B203" s="26"/>
      <c r="C203" s="27"/>
      <c r="D203" s="27"/>
      <c r="E203" s="26"/>
      <c r="F203" s="26"/>
      <c r="G203" s="26"/>
      <c r="H203" s="26"/>
      <c r="I203" s="26"/>
      <c r="J203" s="27"/>
      <c r="K203" s="26"/>
      <c r="L203" s="26"/>
    </row>
    <row r="204" customFormat="false" ht="15" hidden="false" customHeight="false" outlineLevel="0" collapsed="false">
      <c r="A204" s="25"/>
      <c r="B204" s="26"/>
      <c r="C204" s="27"/>
      <c r="D204" s="27"/>
      <c r="E204" s="26"/>
      <c r="F204" s="26"/>
      <c r="G204" s="26"/>
      <c r="H204" s="26"/>
      <c r="I204" s="26"/>
      <c r="J204" s="27"/>
      <c r="K204" s="26"/>
      <c r="L204" s="26"/>
    </row>
    <row r="205" customFormat="false" ht="15" hidden="false" customHeight="false" outlineLevel="0" collapsed="false">
      <c r="A205" s="25"/>
      <c r="B205" s="26"/>
      <c r="C205" s="27"/>
      <c r="D205" s="27"/>
      <c r="E205" s="26"/>
      <c r="F205" s="26"/>
      <c r="G205" s="26"/>
      <c r="H205" s="26"/>
      <c r="I205" s="26"/>
      <c r="J205" s="27"/>
      <c r="K205" s="26"/>
      <c r="L205" s="26"/>
    </row>
    <row r="206" customFormat="false" ht="15" hidden="false" customHeight="false" outlineLevel="0" collapsed="false">
      <c r="A206" s="25"/>
      <c r="B206" s="26"/>
      <c r="C206" s="27"/>
      <c r="D206" s="27"/>
      <c r="E206" s="26"/>
      <c r="F206" s="26"/>
      <c r="G206" s="26"/>
      <c r="H206" s="26"/>
      <c r="I206" s="26"/>
      <c r="J206" s="27"/>
      <c r="K206" s="26"/>
      <c r="L206" s="26"/>
    </row>
  </sheetData>
  <mergeCells count="2">
    <mergeCell ref="A1:L1"/>
    <mergeCell ref="A2:L2"/>
  </mergeCells>
  <dataValidations count="1">
    <dataValidation allowBlank="true" errorStyle="stop" operator="between" showDropDown="false" showErrorMessage="false" showInputMessage="false" sqref="B7:B206" type="list">
      <formula1>"Despejado,Nublado,Lluvia ligera,Lluvia fuerte,Viento fuerte,Calor extremo"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2" min="12" style="0" width="34"/>
    <col collapsed="false" customWidth="true" hidden="false" outlineLevel="0" max="13" min="13" style="0" width="16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8" t="s">
        <v>68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15" hidden="false" customHeight="false" outlineLevel="0" collapsed="false">
      <c r="A3" s="9" t="s">
        <v>13</v>
      </c>
      <c r="B3" s="10"/>
    </row>
    <row r="4" customFormat="false" ht="15" hidden="false" customHeight="false" outlineLevel="0" collapsed="false">
      <c r="A4" s="9" t="s">
        <v>14</v>
      </c>
      <c r="B4" s="10"/>
    </row>
    <row r="6" customFormat="false" ht="30" hidden="false" customHeight="true" outlineLevel="0" collapsed="false">
      <c r="A6" s="11" t="s">
        <v>69</v>
      </c>
      <c r="B6" s="11" t="s">
        <v>43</v>
      </c>
      <c r="C6" s="11" t="s">
        <v>70</v>
      </c>
      <c r="D6" s="11" t="s">
        <v>71</v>
      </c>
      <c r="E6" s="11" t="s">
        <v>72</v>
      </c>
      <c r="F6" s="11" t="s">
        <v>73</v>
      </c>
      <c r="G6" s="11" t="s">
        <v>74</v>
      </c>
      <c r="H6" s="11" t="s">
        <v>75</v>
      </c>
      <c r="I6" s="11" t="s">
        <v>76</v>
      </c>
      <c r="J6" s="11" t="s">
        <v>77</v>
      </c>
    </row>
    <row r="7" customFormat="false" ht="22.35" hidden="false" customHeight="false" outlineLevel="0" collapsed="false">
      <c r="A7" s="26" t="s">
        <v>78</v>
      </c>
      <c r="B7" s="25" t="n">
        <v>46315</v>
      </c>
      <c r="C7" s="26" t="s">
        <v>79</v>
      </c>
      <c r="D7" s="26" t="s">
        <v>80</v>
      </c>
      <c r="E7" s="28" t="n">
        <v>4800</v>
      </c>
      <c r="F7" s="27" t="n">
        <v>0</v>
      </c>
      <c r="G7" s="26" t="s">
        <v>81</v>
      </c>
      <c r="H7" s="25" t="n">
        <v>46317</v>
      </c>
      <c r="I7" s="26" t="s">
        <v>82</v>
      </c>
      <c r="J7" s="26" t="n">
        <v>13</v>
      </c>
      <c r="L7" s="9" t="s">
        <v>83</v>
      </c>
      <c r="M7" s="29" t="n">
        <f aca="false">SUMIFS(E7:E66,G7:G66,"Autorizada")</f>
        <v>4800</v>
      </c>
    </row>
    <row r="8" customFormat="false" ht="15" hidden="false" customHeight="false" outlineLevel="0" collapsed="false">
      <c r="A8" s="26" t="s">
        <v>84</v>
      </c>
      <c r="B8" s="25" t="n">
        <v>46318</v>
      </c>
      <c r="C8" s="26" t="s">
        <v>85</v>
      </c>
      <c r="D8" s="26" t="s">
        <v>86</v>
      </c>
      <c r="E8" s="28" t="n">
        <v>3560</v>
      </c>
      <c r="F8" s="27" t="n">
        <v>1</v>
      </c>
      <c r="G8" s="26" t="s">
        <v>87</v>
      </c>
      <c r="H8" s="25"/>
      <c r="I8" s="26"/>
      <c r="J8" s="26"/>
      <c r="L8" s="9" t="s">
        <v>88</v>
      </c>
      <c r="M8" s="29" t="n">
        <f aca="false">SUMIFS(E7:E66,G7:G66,"Propuesta")</f>
        <v>3560</v>
      </c>
    </row>
    <row r="9" customFormat="false" ht="15" hidden="false" customHeight="false" outlineLevel="0" collapsed="false">
      <c r="A9" s="26"/>
      <c r="B9" s="25"/>
      <c r="C9" s="26"/>
      <c r="D9" s="26"/>
      <c r="E9" s="28"/>
      <c r="F9" s="27"/>
      <c r="G9" s="26"/>
      <c r="H9" s="25"/>
      <c r="I9" s="26"/>
      <c r="J9" s="26"/>
      <c r="L9" s="9" t="s">
        <v>89</v>
      </c>
      <c r="M9" s="21" t="n">
        <f aca="false">SUMIFS(F7:F66,G7:G66,"Autorizada")</f>
        <v>0</v>
      </c>
    </row>
    <row r="10" customFormat="false" ht="15" hidden="false" customHeight="false" outlineLevel="0" collapsed="false">
      <c r="A10" s="26"/>
      <c r="B10" s="25"/>
      <c r="C10" s="26"/>
      <c r="D10" s="26"/>
      <c r="E10" s="28"/>
      <c r="F10" s="27"/>
      <c r="G10" s="26"/>
      <c r="H10" s="25"/>
      <c r="I10" s="26"/>
      <c r="J10" s="26"/>
      <c r="L10" s="9" t="s">
        <v>90</v>
      </c>
      <c r="M10" s="30" t="n">
        <v>0</v>
      </c>
    </row>
    <row r="11" customFormat="false" ht="15" hidden="false" customHeight="false" outlineLevel="0" collapsed="false">
      <c r="A11" s="26"/>
      <c r="B11" s="25"/>
      <c r="C11" s="26"/>
      <c r="D11" s="26"/>
      <c r="E11" s="28"/>
      <c r="F11" s="27"/>
      <c r="G11" s="26"/>
      <c r="H11" s="25"/>
      <c r="I11" s="26"/>
      <c r="J11" s="26"/>
      <c r="L11" s="9" t="s">
        <v>91</v>
      </c>
      <c r="M11" s="29" t="n">
        <f aca="false">M10+M7</f>
        <v>4800</v>
      </c>
    </row>
    <row r="12" customFormat="false" ht="15" hidden="false" customHeight="false" outlineLevel="0" collapsed="false">
      <c r="A12" s="26"/>
      <c r="B12" s="25"/>
      <c r="C12" s="26"/>
      <c r="D12" s="26"/>
      <c r="E12" s="28"/>
      <c r="F12" s="27"/>
      <c r="G12" s="26"/>
      <c r="H12" s="25"/>
      <c r="I12" s="26"/>
      <c r="J12" s="26"/>
      <c r="L12" s="9" t="s">
        <v>92</v>
      </c>
      <c r="M12" s="14" t="n">
        <f aca="false">IF(M10=0,0,M7/M10)</f>
        <v>0</v>
      </c>
    </row>
    <row r="13" customFormat="false" ht="15" hidden="false" customHeight="false" outlineLevel="0" collapsed="false">
      <c r="A13" s="26"/>
      <c r="B13" s="25"/>
      <c r="C13" s="26"/>
      <c r="D13" s="26"/>
      <c r="E13" s="28"/>
      <c r="F13" s="27"/>
      <c r="G13" s="26"/>
      <c r="H13" s="25"/>
      <c r="I13" s="26"/>
      <c r="J13" s="26"/>
      <c r="L13" s="24" t="s">
        <v>93</v>
      </c>
    </row>
    <row r="14" customFormat="false" ht="15" hidden="false" customHeight="false" outlineLevel="0" collapsed="false">
      <c r="A14" s="26"/>
      <c r="B14" s="25"/>
      <c r="C14" s="26"/>
      <c r="D14" s="26"/>
      <c r="E14" s="28"/>
      <c r="F14" s="27"/>
      <c r="G14" s="26"/>
      <c r="H14" s="25"/>
      <c r="I14" s="26"/>
      <c r="J14" s="26"/>
    </row>
    <row r="15" customFormat="false" ht="15" hidden="false" customHeight="false" outlineLevel="0" collapsed="false">
      <c r="A15" s="26"/>
      <c r="B15" s="25"/>
      <c r="C15" s="26"/>
      <c r="D15" s="26"/>
      <c r="E15" s="28"/>
      <c r="F15" s="27"/>
      <c r="G15" s="26"/>
      <c r="H15" s="25"/>
      <c r="I15" s="26"/>
      <c r="J15" s="26"/>
    </row>
    <row r="16" customFormat="false" ht="15" hidden="false" customHeight="false" outlineLevel="0" collapsed="false">
      <c r="A16" s="26"/>
      <c r="B16" s="25"/>
      <c r="C16" s="26"/>
      <c r="D16" s="26"/>
      <c r="E16" s="28"/>
      <c r="F16" s="27"/>
      <c r="G16" s="26"/>
      <c r="H16" s="25"/>
      <c r="I16" s="26"/>
      <c r="J16" s="26"/>
    </row>
    <row r="17" customFormat="false" ht="15" hidden="false" customHeight="false" outlineLevel="0" collapsed="false">
      <c r="A17" s="26"/>
      <c r="B17" s="25"/>
      <c r="C17" s="26"/>
      <c r="D17" s="26"/>
      <c r="E17" s="28"/>
      <c r="F17" s="27"/>
      <c r="G17" s="26"/>
      <c r="H17" s="25"/>
      <c r="I17" s="26"/>
      <c r="J17" s="26"/>
    </row>
    <row r="18" customFormat="false" ht="15" hidden="false" customHeight="false" outlineLevel="0" collapsed="false">
      <c r="A18" s="26"/>
      <c r="B18" s="25"/>
      <c r="C18" s="26"/>
      <c r="D18" s="26"/>
      <c r="E18" s="28"/>
      <c r="F18" s="27"/>
      <c r="G18" s="26"/>
      <c r="H18" s="25"/>
      <c r="I18" s="26"/>
      <c r="J18" s="26"/>
    </row>
    <row r="19" customFormat="false" ht="15" hidden="false" customHeight="false" outlineLevel="0" collapsed="false">
      <c r="A19" s="26"/>
      <c r="B19" s="25"/>
      <c r="C19" s="26"/>
      <c r="D19" s="26"/>
      <c r="E19" s="28"/>
      <c r="F19" s="27"/>
      <c r="G19" s="26"/>
      <c r="H19" s="25"/>
      <c r="I19" s="26"/>
      <c r="J19" s="26"/>
    </row>
    <row r="20" customFormat="false" ht="15" hidden="false" customHeight="false" outlineLevel="0" collapsed="false">
      <c r="A20" s="26"/>
      <c r="B20" s="25"/>
      <c r="C20" s="26"/>
      <c r="D20" s="26"/>
      <c r="E20" s="28"/>
      <c r="F20" s="27"/>
      <c r="G20" s="26"/>
      <c r="H20" s="25"/>
      <c r="I20" s="26"/>
      <c r="J20" s="26"/>
    </row>
    <row r="21" customFormat="false" ht="15" hidden="false" customHeight="false" outlineLevel="0" collapsed="false">
      <c r="A21" s="26"/>
      <c r="B21" s="25"/>
      <c r="C21" s="26"/>
      <c r="D21" s="26"/>
      <c r="E21" s="28"/>
      <c r="F21" s="27"/>
      <c r="G21" s="26"/>
      <c r="H21" s="25"/>
      <c r="I21" s="26"/>
      <c r="J21" s="26"/>
    </row>
    <row r="22" customFormat="false" ht="15" hidden="false" customHeight="false" outlineLevel="0" collapsed="false">
      <c r="A22" s="26"/>
      <c r="B22" s="25"/>
      <c r="C22" s="26"/>
      <c r="D22" s="26"/>
      <c r="E22" s="28"/>
      <c r="F22" s="27"/>
      <c r="G22" s="26"/>
      <c r="H22" s="25"/>
      <c r="I22" s="26"/>
      <c r="J22" s="26"/>
    </row>
    <row r="23" customFormat="false" ht="15" hidden="false" customHeight="false" outlineLevel="0" collapsed="false">
      <c r="A23" s="26"/>
      <c r="B23" s="25"/>
      <c r="C23" s="26"/>
      <c r="D23" s="26"/>
      <c r="E23" s="28"/>
      <c r="F23" s="27"/>
      <c r="G23" s="26"/>
      <c r="H23" s="25"/>
      <c r="I23" s="26"/>
      <c r="J23" s="26"/>
    </row>
    <row r="24" customFormat="false" ht="15" hidden="false" customHeight="false" outlineLevel="0" collapsed="false">
      <c r="A24" s="26"/>
      <c r="B24" s="25"/>
      <c r="C24" s="26"/>
      <c r="D24" s="26"/>
      <c r="E24" s="28"/>
      <c r="F24" s="27"/>
      <c r="G24" s="26"/>
      <c r="H24" s="25"/>
      <c r="I24" s="26"/>
      <c r="J24" s="26"/>
    </row>
    <row r="25" customFormat="false" ht="15" hidden="false" customHeight="false" outlineLevel="0" collapsed="false">
      <c r="A25" s="26"/>
      <c r="B25" s="25"/>
      <c r="C25" s="26"/>
      <c r="D25" s="26"/>
      <c r="E25" s="28"/>
      <c r="F25" s="27"/>
      <c r="G25" s="26"/>
      <c r="H25" s="25"/>
      <c r="I25" s="26"/>
      <c r="J25" s="26"/>
    </row>
    <row r="26" customFormat="false" ht="15" hidden="false" customHeight="false" outlineLevel="0" collapsed="false">
      <c r="A26" s="26"/>
      <c r="B26" s="25"/>
      <c r="C26" s="26"/>
      <c r="D26" s="26"/>
      <c r="E26" s="28"/>
      <c r="F26" s="27"/>
      <c r="G26" s="26"/>
      <c r="H26" s="25"/>
      <c r="I26" s="26"/>
      <c r="J26" s="26"/>
    </row>
    <row r="27" customFormat="false" ht="15" hidden="false" customHeight="false" outlineLevel="0" collapsed="false">
      <c r="A27" s="26"/>
      <c r="B27" s="25"/>
      <c r="C27" s="26"/>
      <c r="D27" s="26"/>
      <c r="E27" s="28"/>
      <c r="F27" s="27"/>
      <c r="G27" s="26"/>
      <c r="H27" s="25"/>
      <c r="I27" s="26"/>
      <c r="J27" s="26"/>
    </row>
    <row r="28" customFormat="false" ht="15" hidden="false" customHeight="false" outlineLevel="0" collapsed="false">
      <c r="A28" s="26"/>
      <c r="B28" s="25"/>
      <c r="C28" s="26"/>
      <c r="D28" s="26"/>
      <c r="E28" s="28"/>
      <c r="F28" s="27"/>
      <c r="G28" s="26"/>
      <c r="H28" s="25"/>
      <c r="I28" s="26"/>
      <c r="J28" s="26"/>
    </row>
    <row r="29" customFormat="false" ht="15" hidden="false" customHeight="false" outlineLevel="0" collapsed="false">
      <c r="A29" s="26"/>
      <c r="B29" s="25"/>
      <c r="C29" s="26"/>
      <c r="D29" s="26"/>
      <c r="E29" s="28"/>
      <c r="F29" s="27"/>
      <c r="G29" s="26"/>
      <c r="H29" s="25"/>
      <c r="I29" s="26"/>
      <c r="J29" s="26"/>
    </row>
    <row r="30" customFormat="false" ht="15" hidden="false" customHeight="false" outlineLevel="0" collapsed="false">
      <c r="A30" s="26"/>
      <c r="B30" s="25"/>
      <c r="C30" s="26"/>
      <c r="D30" s="26"/>
      <c r="E30" s="28"/>
      <c r="F30" s="27"/>
      <c r="G30" s="26"/>
      <c r="H30" s="25"/>
      <c r="I30" s="26"/>
      <c r="J30" s="26"/>
    </row>
    <row r="31" customFormat="false" ht="15" hidden="false" customHeight="false" outlineLevel="0" collapsed="false">
      <c r="A31" s="26"/>
      <c r="B31" s="25"/>
      <c r="C31" s="26"/>
      <c r="D31" s="26"/>
      <c r="E31" s="28"/>
      <c r="F31" s="27"/>
      <c r="G31" s="26"/>
      <c r="H31" s="25"/>
      <c r="I31" s="26"/>
      <c r="J31" s="26"/>
    </row>
    <row r="32" customFormat="false" ht="15" hidden="false" customHeight="false" outlineLevel="0" collapsed="false">
      <c r="A32" s="26"/>
      <c r="B32" s="25"/>
      <c r="C32" s="26"/>
      <c r="D32" s="26"/>
      <c r="E32" s="28"/>
      <c r="F32" s="27"/>
      <c r="G32" s="26"/>
      <c r="H32" s="25"/>
      <c r="I32" s="26"/>
      <c r="J32" s="26"/>
    </row>
    <row r="33" customFormat="false" ht="15" hidden="false" customHeight="false" outlineLevel="0" collapsed="false">
      <c r="A33" s="26"/>
      <c r="B33" s="25"/>
      <c r="C33" s="26"/>
      <c r="D33" s="26"/>
      <c r="E33" s="28"/>
      <c r="F33" s="27"/>
      <c r="G33" s="26"/>
      <c r="H33" s="25"/>
      <c r="I33" s="26"/>
      <c r="J33" s="26"/>
    </row>
    <row r="34" customFormat="false" ht="15" hidden="false" customHeight="false" outlineLevel="0" collapsed="false">
      <c r="A34" s="26"/>
      <c r="B34" s="25"/>
      <c r="C34" s="26"/>
      <c r="D34" s="26"/>
      <c r="E34" s="28"/>
      <c r="F34" s="27"/>
      <c r="G34" s="26"/>
      <c r="H34" s="25"/>
      <c r="I34" s="26"/>
      <c r="J34" s="26"/>
    </row>
    <row r="35" customFormat="false" ht="15" hidden="false" customHeight="false" outlineLevel="0" collapsed="false">
      <c r="A35" s="26"/>
      <c r="B35" s="25"/>
      <c r="C35" s="26"/>
      <c r="D35" s="26"/>
      <c r="E35" s="28"/>
      <c r="F35" s="27"/>
      <c r="G35" s="26"/>
      <c r="H35" s="25"/>
      <c r="I35" s="26"/>
      <c r="J35" s="26"/>
    </row>
    <row r="36" customFormat="false" ht="15" hidden="false" customHeight="false" outlineLevel="0" collapsed="false">
      <c r="A36" s="26"/>
      <c r="B36" s="25"/>
      <c r="C36" s="26"/>
      <c r="D36" s="26"/>
      <c r="E36" s="28"/>
      <c r="F36" s="27"/>
      <c r="G36" s="26"/>
      <c r="H36" s="25"/>
      <c r="I36" s="26"/>
      <c r="J36" s="26"/>
    </row>
    <row r="37" customFormat="false" ht="15" hidden="false" customHeight="false" outlineLevel="0" collapsed="false">
      <c r="A37" s="26"/>
      <c r="B37" s="25"/>
      <c r="C37" s="26"/>
      <c r="D37" s="26"/>
      <c r="E37" s="28"/>
      <c r="F37" s="27"/>
      <c r="G37" s="26"/>
      <c r="H37" s="25"/>
      <c r="I37" s="26"/>
      <c r="J37" s="26"/>
    </row>
    <row r="38" customFormat="false" ht="15" hidden="false" customHeight="false" outlineLevel="0" collapsed="false">
      <c r="A38" s="26"/>
      <c r="B38" s="25"/>
      <c r="C38" s="26"/>
      <c r="D38" s="26"/>
      <c r="E38" s="28"/>
      <c r="F38" s="27"/>
      <c r="G38" s="26"/>
      <c r="H38" s="25"/>
      <c r="I38" s="26"/>
      <c r="J38" s="26"/>
    </row>
    <row r="39" customFormat="false" ht="15" hidden="false" customHeight="false" outlineLevel="0" collapsed="false">
      <c r="A39" s="26"/>
      <c r="B39" s="25"/>
      <c r="C39" s="26"/>
      <c r="D39" s="26"/>
      <c r="E39" s="28"/>
      <c r="F39" s="27"/>
      <c r="G39" s="26"/>
      <c r="H39" s="25"/>
      <c r="I39" s="26"/>
      <c r="J39" s="26"/>
    </row>
    <row r="40" customFormat="false" ht="15" hidden="false" customHeight="false" outlineLevel="0" collapsed="false">
      <c r="A40" s="26"/>
      <c r="B40" s="25"/>
      <c r="C40" s="26"/>
      <c r="D40" s="26"/>
      <c r="E40" s="28"/>
      <c r="F40" s="27"/>
      <c r="G40" s="26"/>
      <c r="H40" s="25"/>
      <c r="I40" s="26"/>
      <c r="J40" s="26"/>
    </row>
    <row r="41" customFormat="false" ht="15" hidden="false" customHeight="false" outlineLevel="0" collapsed="false">
      <c r="A41" s="26"/>
      <c r="B41" s="25"/>
      <c r="C41" s="26"/>
      <c r="D41" s="26"/>
      <c r="E41" s="28"/>
      <c r="F41" s="27"/>
      <c r="G41" s="26"/>
      <c r="H41" s="25"/>
      <c r="I41" s="26"/>
      <c r="J41" s="26"/>
    </row>
    <row r="42" customFormat="false" ht="15" hidden="false" customHeight="false" outlineLevel="0" collapsed="false">
      <c r="A42" s="26"/>
      <c r="B42" s="25"/>
      <c r="C42" s="26"/>
      <c r="D42" s="26"/>
      <c r="E42" s="28"/>
      <c r="F42" s="27"/>
      <c r="G42" s="26"/>
      <c r="H42" s="25"/>
      <c r="I42" s="26"/>
      <c r="J42" s="26"/>
    </row>
    <row r="43" customFormat="false" ht="15" hidden="false" customHeight="false" outlineLevel="0" collapsed="false">
      <c r="A43" s="26"/>
      <c r="B43" s="25"/>
      <c r="C43" s="26"/>
      <c r="D43" s="26"/>
      <c r="E43" s="28"/>
      <c r="F43" s="27"/>
      <c r="G43" s="26"/>
      <c r="H43" s="25"/>
      <c r="I43" s="26"/>
      <c r="J43" s="26"/>
    </row>
    <row r="44" customFormat="false" ht="15" hidden="false" customHeight="false" outlineLevel="0" collapsed="false">
      <c r="A44" s="26"/>
      <c r="B44" s="25"/>
      <c r="C44" s="26"/>
      <c r="D44" s="26"/>
      <c r="E44" s="28"/>
      <c r="F44" s="27"/>
      <c r="G44" s="26"/>
      <c r="H44" s="25"/>
      <c r="I44" s="26"/>
      <c r="J44" s="26"/>
    </row>
    <row r="45" customFormat="false" ht="15" hidden="false" customHeight="false" outlineLevel="0" collapsed="false">
      <c r="A45" s="26"/>
      <c r="B45" s="25"/>
      <c r="C45" s="26"/>
      <c r="D45" s="26"/>
      <c r="E45" s="28"/>
      <c r="F45" s="27"/>
      <c r="G45" s="26"/>
      <c r="H45" s="25"/>
      <c r="I45" s="26"/>
      <c r="J45" s="26"/>
    </row>
    <row r="46" customFormat="false" ht="15" hidden="false" customHeight="false" outlineLevel="0" collapsed="false">
      <c r="A46" s="26"/>
      <c r="B46" s="25"/>
      <c r="C46" s="26"/>
      <c r="D46" s="26"/>
      <c r="E46" s="28"/>
      <c r="F46" s="27"/>
      <c r="G46" s="26"/>
      <c r="H46" s="25"/>
      <c r="I46" s="26"/>
      <c r="J46" s="26"/>
    </row>
    <row r="47" customFormat="false" ht="15" hidden="false" customHeight="false" outlineLevel="0" collapsed="false">
      <c r="A47" s="26"/>
      <c r="B47" s="25"/>
      <c r="C47" s="26"/>
      <c r="D47" s="26"/>
      <c r="E47" s="28"/>
      <c r="F47" s="27"/>
      <c r="G47" s="26"/>
      <c r="H47" s="25"/>
      <c r="I47" s="26"/>
      <c r="J47" s="26"/>
    </row>
    <row r="48" customFormat="false" ht="15" hidden="false" customHeight="false" outlineLevel="0" collapsed="false">
      <c r="A48" s="26"/>
      <c r="B48" s="25"/>
      <c r="C48" s="26"/>
      <c r="D48" s="26"/>
      <c r="E48" s="28"/>
      <c r="F48" s="27"/>
      <c r="G48" s="26"/>
      <c r="H48" s="25"/>
      <c r="I48" s="26"/>
      <c r="J48" s="26"/>
    </row>
    <row r="49" customFormat="false" ht="15" hidden="false" customHeight="false" outlineLevel="0" collapsed="false">
      <c r="A49" s="26"/>
      <c r="B49" s="25"/>
      <c r="C49" s="26"/>
      <c r="D49" s="26"/>
      <c r="E49" s="28"/>
      <c r="F49" s="27"/>
      <c r="G49" s="26"/>
      <c r="H49" s="25"/>
      <c r="I49" s="26"/>
      <c r="J49" s="26"/>
    </row>
    <row r="50" customFormat="false" ht="15" hidden="false" customHeight="false" outlineLevel="0" collapsed="false">
      <c r="A50" s="26"/>
      <c r="B50" s="25"/>
      <c r="C50" s="26"/>
      <c r="D50" s="26"/>
      <c r="E50" s="28"/>
      <c r="F50" s="27"/>
      <c r="G50" s="26"/>
      <c r="H50" s="25"/>
      <c r="I50" s="26"/>
      <c r="J50" s="26"/>
    </row>
    <row r="51" customFormat="false" ht="15" hidden="false" customHeight="false" outlineLevel="0" collapsed="false">
      <c r="A51" s="26"/>
      <c r="B51" s="25"/>
      <c r="C51" s="26"/>
      <c r="D51" s="26"/>
      <c r="E51" s="28"/>
      <c r="F51" s="27"/>
      <c r="G51" s="26"/>
      <c r="H51" s="25"/>
      <c r="I51" s="26"/>
      <c r="J51" s="26"/>
    </row>
    <row r="52" customFormat="false" ht="15" hidden="false" customHeight="false" outlineLevel="0" collapsed="false">
      <c r="A52" s="26"/>
      <c r="B52" s="25"/>
      <c r="C52" s="26"/>
      <c r="D52" s="26"/>
      <c r="E52" s="28"/>
      <c r="F52" s="27"/>
      <c r="G52" s="26"/>
      <c r="H52" s="25"/>
      <c r="I52" s="26"/>
      <c r="J52" s="26"/>
    </row>
    <row r="53" customFormat="false" ht="15" hidden="false" customHeight="false" outlineLevel="0" collapsed="false">
      <c r="A53" s="26"/>
      <c r="B53" s="25"/>
      <c r="C53" s="26"/>
      <c r="D53" s="26"/>
      <c r="E53" s="28"/>
      <c r="F53" s="27"/>
      <c r="G53" s="26"/>
      <c r="H53" s="25"/>
      <c r="I53" s="26"/>
      <c r="J53" s="26"/>
    </row>
    <row r="54" customFormat="false" ht="15" hidden="false" customHeight="false" outlineLevel="0" collapsed="false">
      <c r="A54" s="26"/>
      <c r="B54" s="25"/>
      <c r="C54" s="26"/>
      <c r="D54" s="26"/>
      <c r="E54" s="28"/>
      <c r="F54" s="27"/>
      <c r="G54" s="26"/>
      <c r="H54" s="25"/>
      <c r="I54" s="26"/>
      <c r="J54" s="26"/>
    </row>
    <row r="55" customFormat="false" ht="15" hidden="false" customHeight="false" outlineLevel="0" collapsed="false">
      <c r="A55" s="26"/>
      <c r="B55" s="25"/>
      <c r="C55" s="26"/>
      <c r="D55" s="26"/>
      <c r="E55" s="28"/>
      <c r="F55" s="27"/>
      <c r="G55" s="26"/>
      <c r="H55" s="25"/>
      <c r="I55" s="26"/>
      <c r="J55" s="26"/>
    </row>
    <row r="56" customFormat="false" ht="15" hidden="false" customHeight="false" outlineLevel="0" collapsed="false">
      <c r="A56" s="26"/>
      <c r="B56" s="25"/>
      <c r="C56" s="26"/>
      <c r="D56" s="26"/>
      <c r="E56" s="28"/>
      <c r="F56" s="27"/>
      <c r="G56" s="26"/>
      <c r="H56" s="25"/>
      <c r="I56" s="26"/>
      <c r="J56" s="26"/>
    </row>
    <row r="57" customFormat="false" ht="15" hidden="false" customHeight="false" outlineLevel="0" collapsed="false">
      <c r="A57" s="26"/>
      <c r="B57" s="25"/>
      <c r="C57" s="26"/>
      <c r="D57" s="26"/>
      <c r="E57" s="28"/>
      <c r="F57" s="27"/>
      <c r="G57" s="26"/>
      <c r="H57" s="25"/>
      <c r="I57" s="26"/>
      <c r="J57" s="26"/>
    </row>
    <row r="58" customFormat="false" ht="15" hidden="false" customHeight="false" outlineLevel="0" collapsed="false">
      <c r="A58" s="26"/>
      <c r="B58" s="25"/>
      <c r="C58" s="26"/>
      <c r="D58" s="26"/>
      <c r="E58" s="28"/>
      <c r="F58" s="27"/>
      <c r="G58" s="26"/>
      <c r="H58" s="25"/>
      <c r="I58" s="26"/>
      <c r="J58" s="26"/>
    </row>
    <row r="59" customFormat="false" ht="15" hidden="false" customHeight="false" outlineLevel="0" collapsed="false">
      <c r="A59" s="26"/>
      <c r="B59" s="25"/>
      <c r="C59" s="26"/>
      <c r="D59" s="26"/>
      <c r="E59" s="28"/>
      <c r="F59" s="27"/>
      <c r="G59" s="26"/>
      <c r="H59" s="25"/>
      <c r="I59" s="26"/>
      <c r="J59" s="26"/>
    </row>
    <row r="60" customFormat="false" ht="15" hidden="false" customHeight="false" outlineLevel="0" collapsed="false">
      <c r="A60" s="26"/>
      <c r="B60" s="25"/>
      <c r="C60" s="26"/>
      <c r="D60" s="26"/>
      <c r="E60" s="28"/>
      <c r="F60" s="27"/>
      <c r="G60" s="26"/>
      <c r="H60" s="25"/>
      <c r="I60" s="26"/>
      <c r="J60" s="26"/>
    </row>
    <row r="61" customFormat="false" ht="15" hidden="false" customHeight="false" outlineLevel="0" collapsed="false">
      <c r="A61" s="26"/>
      <c r="B61" s="25"/>
      <c r="C61" s="26"/>
      <c r="D61" s="26"/>
      <c r="E61" s="28"/>
      <c r="F61" s="27"/>
      <c r="G61" s="26"/>
      <c r="H61" s="25"/>
      <c r="I61" s="26"/>
      <c r="J61" s="26"/>
    </row>
    <row r="62" customFormat="false" ht="15" hidden="false" customHeight="false" outlineLevel="0" collapsed="false">
      <c r="A62" s="26"/>
      <c r="B62" s="25"/>
      <c r="C62" s="26"/>
      <c r="D62" s="26"/>
      <c r="E62" s="28"/>
      <c r="F62" s="27"/>
      <c r="G62" s="26"/>
      <c r="H62" s="25"/>
      <c r="I62" s="26"/>
      <c r="J62" s="26"/>
    </row>
    <row r="63" customFormat="false" ht="15" hidden="false" customHeight="false" outlineLevel="0" collapsed="false">
      <c r="A63" s="26"/>
      <c r="B63" s="25"/>
      <c r="C63" s="26"/>
      <c r="D63" s="26"/>
      <c r="E63" s="28"/>
      <c r="F63" s="27"/>
      <c r="G63" s="26"/>
      <c r="H63" s="25"/>
      <c r="I63" s="26"/>
      <c r="J63" s="26"/>
    </row>
    <row r="64" customFormat="false" ht="15" hidden="false" customHeight="false" outlineLevel="0" collapsed="false">
      <c r="A64" s="26"/>
      <c r="B64" s="25"/>
      <c r="C64" s="26"/>
      <c r="D64" s="26"/>
      <c r="E64" s="28"/>
      <c r="F64" s="27"/>
      <c r="G64" s="26"/>
      <c r="H64" s="25"/>
      <c r="I64" s="26"/>
      <c r="J64" s="26"/>
    </row>
    <row r="65" customFormat="false" ht="15" hidden="false" customHeight="false" outlineLevel="0" collapsed="false">
      <c r="A65" s="26"/>
      <c r="B65" s="25"/>
      <c r="C65" s="26"/>
      <c r="D65" s="26"/>
      <c r="E65" s="28"/>
      <c r="F65" s="27"/>
      <c r="G65" s="26"/>
      <c r="H65" s="25"/>
      <c r="I65" s="26"/>
      <c r="J65" s="26"/>
    </row>
    <row r="66" customFormat="false" ht="15" hidden="false" customHeight="false" outlineLevel="0" collapsed="false">
      <c r="A66" s="26"/>
      <c r="B66" s="25"/>
      <c r="C66" s="26"/>
      <c r="D66" s="26"/>
      <c r="E66" s="28"/>
      <c r="F66" s="27"/>
      <c r="G66" s="26"/>
      <c r="H66" s="25"/>
      <c r="I66" s="26"/>
      <c r="J66" s="26"/>
    </row>
  </sheetData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D7:D66" type="list">
      <formula1>"Propietario,Proyecto,Obra,Autoridad,Contratista"</formula1>
      <formula2>0</formula2>
    </dataValidation>
    <dataValidation allowBlank="true" errorStyle="stop" operator="between" showDropDown="false" showErrorMessage="false" showInputMessage="false" sqref="G7:G66" type="list">
      <formula1>"Propuesta,Autorizada,Rechazada"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40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8" t="s">
        <v>94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15" hidden="false" customHeight="false" outlineLevel="0" collapsed="false">
      <c r="A3" s="9" t="s">
        <v>13</v>
      </c>
      <c r="B3" s="10"/>
    </row>
    <row r="4" customFormat="false" ht="15" hidden="false" customHeight="false" outlineLevel="0" collapsed="false">
      <c r="A4" s="9" t="s">
        <v>14</v>
      </c>
      <c r="B4" s="10"/>
    </row>
    <row r="6" customFormat="false" ht="30" hidden="false" customHeight="true" outlineLevel="0" collapsed="false">
      <c r="A6" s="11" t="s">
        <v>69</v>
      </c>
      <c r="B6" s="11" t="s">
        <v>43</v>
      </c>
      <c r="C6" s="11" t="s">
        <v>95</v>
      </c>
      <c r="D6" s="11" t="s">
        <v>96</v>
      </c>
      <c r="E6" s="11" t="s">
        <v>97</v>
      </c>
      <c r="F6" s="11" t="s">
        <v>98</v>
      </c>
      <c r="G6" s="11" t="s">
        <v>99</v>
      </c>
      <c r="H6" s="11" t="s">
        <v>74</v>
      </c>
      <c r="I6" s="11" t="s">
        <v>100</v>
      </c>
      <c r="J6" s="11" t="s">
        <v>101</v>
      </c>
    </row>
    <row r="7" customFormat="false" ht="15" hidden="false" customHeight="false" outlineLevel="0" collapsed="false">
      <c r="A7" s="26" t="s">
        <v>102</v>
      </c>
      <c r="B7" s="25" t="n">
        <v>46314</v>
      </c>
      <c r="C7" s="26" t="s">
        <v>103</v>
      </c>
      <c r="D7" s="26" t="s">
        <v>104</v>
      </c>
      <c r="E7" s="26" t="s">
        <v>105</v>
      </c>
      <c r="F7" s="25" t="n">
        <v>46317</v>
      </c>
      <c r="G7" s="25" t="n">
        <v>46316</v>
      </c>
      <c r="H7" s="31" t="str">
        <f aca="true">IF(D7="","",IF(G7&lt;&gt;"","Cerrado",IF(AND(F7&lt;&gt;"",F7&lt;TODAY()),"Vencido","Abierto")))</f>
        <v>Cerrado</v>
      </c>
      <c r="I7" s="21" t="n">
        <f aca="true">IF(AND(D7&lt;&gt;"",G7="",F7&lt;&gt;"",F7&lt;TODAY()),TODAY()-F7,0)</f>
        <v>0</v>
      </c>
      <c r="J7" s="26" t="s">
        <v>106</v>
      </c>
    </row>
    <row r="8" customFormat="false" ht="15" hidden="false" customHeight="false" outlineLevel="0" collapsed="false">
      <c r="A8" s="26" t="s">
        <v>107</v>
      </c>
      <c r="B8" s="25" t="n">
        <v>46316</v>
      </c>
      <c r="C8" s="26" t="s">
        <v>108</v>
      </c>
      <c r="D8" s="26" t="s">
        <v>109</v>
      </c>
      <c r="E8" s="26" t="s">
        <v>80</v>
      </c>
      <c r="F8" s="25" t="n">
        <v>46319</v>
      </c>
      <c r="G8" s="25"/>
      <c r="H8" s="31" t="str">
        <f aca="true">IF(D8="","",IF(G8&lt;&gt;"","Cerrado",IF(AND(F8&lt;&gt;"",F8&lt;TODAY()),"Vencido","Abierto")))</f>
        <v>Abierto</v>
      </c>
      <c r="I8" s="21" t="n">
        <f aca="true">IF(AND(D8&lt;&gt;"",G8="",F8&lt;&gt;"",F8&lt;TODAY()),TODAY()-F8,0)</f>
        <v>0</v>
      </c>
      <c r="J8" s="26"/>
    </row>
    <row r="9" customFormat="false" ht="15" hidden="false" customHeight="false" outlineLevel="0" collapsed="false">
      <c r="A9" s="26"/>
      <c r="B9" s="25"/>
      <c r="C9" s="26"/>
      <c r="D9" s="26"/>
      <c r="E9" s="26"/>
      <c r="F9" s="25"/>
      <c r="G9" s="25"/>
      <c r="H9" s="31" t="str">
        <f aca="true">IF(D9="","",IF(G9&lt;&gt;"","Cerrado",IF(AND(F9&lt;&gt;"",F9&lt;TODAY()),"Vencido","Abierto")))</f>
        <v/>
      </c>
      <c r="I9" s="21" t="n">
        <f aca="true">IF(AND(D9&lt;&gt;"",G9="",F9&lt;&gt;"",F9&lt;TODAY()),TODAY()-F9,0)</f>
        <v>0</v>
      </c>
      <c r="J9" s="26"/>
    </row>
    <row r="10" customFormat="false" ht="15" hidden="false" customHeight="false" outlineLevel="0" collapsed="false">
      <c r="A10" s="26"/>
      <c r="B10" s="25"/>
      <c r="C10" s="26"/>
      <c r="D10" s="26"/>
      <c r="E10" s="26"/>
      <c r="F10" s="25"/>
      <c r="G10" s="25"/>
      <c r="H10" s="31" t="str">
        <f aca="true">IF(D10="","",IF(G10&lt;&gt;"","Cerrado",IF(AND(F10&lt;&gt;"",F10&lt;TODAY()),"Vencido","Abierto")))</f>
        <v/>
      </c>
      <c r="I10" s="21" t="n">
        <f aca="true">IF(AND(D10&lt;&gt;"",G10="",F10&lt;&gt;"",F10&lt;TODAY()),TODAY()-F10,0)</f>
        <v>0</v>
      </c>
      <c r="J10" s="26"/>
    </row>
    <row r="11" customFormat="false" ht="15" hidden="false" customHeight="false" outlineLevel="0" collapsed="false">
      <c r="A11" s="26"/>
      <c r="B11" s="25"/>
      <c r="C11" s="26"/>
      <c r="D11" s="26"/>
      <c r="E11" s="26"/>
      <c r="F11" s="25"/>
      <c r="G11" s="25"/>
      <c r="H11" s="31" t="str">
        <f aca="true">IF(D11="","",IF(G11&lt;&gt;"","Cerrado",IF(AND(F11&lt;&gt;"",F11&lt;TODAY()),"Vencido","Abierto")))</f>
        <v/>
      </c>
      <c r="I11" s="21" t="n">
        <f aca="true">IF(AND(D11&lt;&gt;"",G11="",F11&lt;&gt;"",F11&lt;TODAY()),TODAY()-F11,0)</f>
        <v>0</v>
      </c>
      <c r="J11" s="26"/>
    </row>
    <row r="12" customFormat="false" ht="15" hidden="false" customHeight="false" outlineLevel="0" collapsed="false">
      <c r="A12" s="26"/>
      <c r="B12" s="25"/>
      <c r="C12" s="26"/>
      <c r="D12" s="26"/>
      <c r="E12" s="26"/>
      <c r="F12" s="25"/>
      <c r="G12" s="25"/>
      <c r="H12" s="31" t="str">
        <f aca="true">IF(D12="","",IF(G12&lt;&gt;"","Cerrado",IF(AND(F12&lt;&gt;"",F12&lt;TODAY()),"Vencido","Abierto")))</f>
        <v/>
      </c>
      <c r="I12" s="21" t="n">
        <f aca="true">IF(AND(D12&lt;&gt;"",G12="",F12&lt;&gt;"",F12&lt;TODAY()),TODAY()-F12,0)</f>
        <v>0</v>
      </c>
      <c r="J12" s="26"/>
    </row>
    <row r="13" customFormat="false" ht="15" hidden="false" customHeight="false" outlineLevel="0" collapsed="false">
      <c r="A13" s="26"/>
      <c r="B13" s="25"/>
      <c r="C13" s="26"/>
      <c r="D13" s="26"/>
      <c r="E13" s="26"/>
      <c r="F13" s="25"/>
      <c r="G13" s="25"/>
      <c r="H13" s="31" t="str">
        <f aca="true">IF(D13="","",IF(G13&lt;&gt;"","Cerrado",IF(AND(F13&lt;&gt;"",F13&lt;TODAY()),"Vencido","Abierto")))</f>
        <v/>
      </c>
      <c r="I13" s="21" t="n">
        <f aca="true">IF(AND(D13&lt;&gt;"",G13="",F13&lt;&gt;"",F13&lt;TODAY()),TODAY()-F13,0)</f>
        <v>0</v>
      </c>
      <c r="J13" s="26"/>
    </row>
    <row r="14" customFormat="false" ht="15" hidden="false" customHeight="false" outlineLevel="0" collapsed="false">
      <c r="A14" s="26"/>
      <c r="B14" s="25"/>
      <c r="C14" s="26"/>
      <c r="D14" s="26"/>
      <c r="E14" s="26"/>
      <c r="F14" s="25"/>
      <c r="G14" s="25"/>
      <c r="H14" s="31" t="str">
        <f aca="true">IF(D14="","",IF(G14&lt;&gt;"","Cerrado",IF(AND(F14&lt;&gt;"",F14&lt;TODAY()),"Vencido","Abierto")))</f>
        <v/>
      </c>
      <c r="I14" s="21" t="n">
        <f aca="true">IF(AND(D14&lt;&gt;"",G14="",F14&lt;&gt;"",F14&lt;TODAY()),TODAY()-F14,0)</f>
        <v>0</v>
      </c>
      <c r="J14" s="26"/>
    </row>
    <row r="15" customFormat="false" ht="15" hidden="false" customHeight="false" outlineLevel="0" collapsed="false">
      <c r="A15" s="26"/>
      <c r="B15" s="25"/>
      <c r="C15" s="26"/>
      <c r="D15" s="26"/>
      <c r="E15" s="26"/>
      <c r="F15" s="25"/>
      <c r="G15" s="25"/>
      <c r="H15" s="31" t="str">
        <f aca="true">IF(D15="","",IF(G15&lt;&gt;"","Cerrado",IF(AND(F15&lt;&gt;"",F15&lt;TODAY()),"Vencido","Abierto")))</f>
        <v/>
      </c>
      <c r="I15" s="21" t="n">
        <f aca="true">IF(AND(D15&lt;&gt;"",G15="",F15&lt;&gt;"",F15&lt;TODAY()),TODAY()-F15,0)</f>
        <v>0</v>
      </c>
      <c r="J15" s="26"/>
    </row>
    <row r="16" customFormat="false" ht="15" hidden="false" customHeight="false" outlineLevel="0" collapsed="false">
      <c r="A16" s="26"/>
      <c r="B16" s="25"/>
      <c r="C16" s="26"/>
      <c r="D16" s="26"/>
      <c r="E16" s="26"/>
      <c r="F16" s="25"/>
      <c r="G16" s="25"/>
      <c r="H16" s="31" t="str">
        <f aca="true">IF(D16="","",IF(G16&lt;&gt;"","Cerrado",IF(AND(F16&lt;&gt;"",F16&lt;TODAY()),"Vencido","Abierto")))</f>
        <v/>
      </c>
      <c r="I16" s="21" t="n">
        <f aca="true">IF(AND(D16&lt;&gt;"",G16="",F16&lt;&gt;"",F16&lt;TODAY()),TODAY()-F16,0)</f>
        <v>0</v>
      </c>
      <c r="J16" s="26"/>
    </row>
    <row r="17" customFormat="false" ht="15" hidden="false" customHeight="false" outlineLevel="0" collapsed="false">
      <c r="A17" s="26"/>
      <c r="B17" s="25"/>
      <c r="C17" s="26"/>
      <c r="D17" s="26"/>
      <c r="E17" s="26"/>
      <c r="F17" s="25"/>
      <c r="G17" s="25"/>
      <c r="H17" s="31" t="str">
        <f aca="true">IF(D17="","",IF(G17&lt;&gt;"","Cerrado",IF(AND(F17&lt;&gt;"",F17&lt;TODAY()),"Vencido","Abierto")))</f>
        <v/>
      </c>
      <c r="I17" s="21" t="n">
        <f aca="true">IF(AND(D17&lt;&gt;"",G17="",F17&lt;&gt;"",F17&lt;TODAY()),TODAY()-F17,0)</f>
        <v>0</v>
      </c>
      <c r="J17" s="26"/>
    </row>
    <row r="18" customFormat="false" ht="15" hidden="false" customHeight="false" outlineLevel="0" collapsed="false">
      <c r="A18" s="26"/>
      <c r="B18" s="25"/>
      <c r="C18" s="26"/>
      <c r="D18" s="26"/>
      <c r="E18" s="26"/>
      <c r="F18" s="25"/>
      <c r="G18" s="25"/>
      <c r="H18" s="31" t="str">
        <f aca="true">IF(D18="","",IF(G18&lt;&gt;"","Cerrado",IF(AND(F18&lt;&gt;"",F18&lt;TODAY()),"Vencido","Abierto")))</f>
        <v/>
      </c>
      <c r="I18" s="21" t="n">
        <f aca="true">IF(AND(D18&lt;&gt;"",G18="",F18&lt;&gt;"",F18&lt;TODAY()),TODAY()-F18,0)</f>
        <v>0</v>
      </c>
      <c r="J18" s="26"/>
    </row>
    <row r="19" customFormat="false" ht="15" hidden="false" customHeight="false" outlineLevel="0" collapsed="false">
      <c r="A19" s="26"/>
      <c r="B19" s="25"/>
      <c r="C19" s="26"/>
      <c r="D19" s="26"/>
      <c r="E19" s="26"/>
      <c r="F19" s="25"/>
      <c r="G19" s="25"/>
      <c r="H19" s="31" t="str">
        <f aca="true">IF(D19="","",IF(G19&lt;&gt;"","Cerrado",IF(AND(F19&lt;&gt;"",F19&lt;TODAY()),"Vencido","Abierto")))</f>
        <v/>
      </c>
      <c r="I19" s="21" t="n">
        <f aca="true">IF(AND(D19&lt;&gt;"",G19="",F19&lt;&gt;"",F19&lt;TODAY()),TODAY()-F19,0)</f>
        <v>0</v>
      </c>
      <c r="J19" s="26"/>
    </row>
    <row r="20" customFormat="false" ht="15" hidden="false" customHeight="false" outlineLevel="0" collapsed="false">
      <c r="A20" s="26"/>
      <c r="B20" s="25"/>
      <c r="C20" s="26"/>
      <c r="D20" s="26"/>
      <c r="E20" s="26"/>
      <c r="F20" s="25"/>
      <c r="G20" s="25"/>
      <c r="H20" s="31" t="str">
        <f aca="true">IF(D20="","",IF(G20&lt;&gt;"","Cerrado",IF(AND(F20&lt;&gt;"",F20&lt;TODAY()),"Vencido","Abierto")))</f>
        <v/>
      </c>
      <c r="I20" s="21" t="n">
        <f aca="true">IF(AND(D20&lt;&gt;"",G20="",F20&lt;&gt;"",F20&lt;TODAY()),TODAY()-F20,0)</f>
        <v>0</v>
      </c>
      <c r="J20" s="26"/>
    </row>
    <row r="21" customFormat="false" ht="15" hidden="false" customHeight="false" outlineLevel="0" collapsed="false">
      <c r="A21" s="26"/>
      <c r="B21" s="25"/>
      <c r="C21" s="26"/>
      <c r="D21" s="26"/>
      <c r="E21" s="26"/>
      <c r="F21" s="25"/>
      <c r="G21" s="25"/>
      <c r="H21" s="31" t="str">
        <f aca="true">IF(D21="","",IF(G21&lt;&gt;"","Cerrado",IF(AND(F21&lt;&gt;"",F21&lt;TODAY()),"Vencido","Abierto")))</f>
        <v/>
      </c>
      <c r="I21" s="21" t="n">
        <f aca="true">IF(AND(D21&lt;&gt;"",G21="",F21&lt;&gt;"",F21&lt;TODAY()),TODAY()-F21,0)</f>
        <v>0</v>
      </c>
      <c r="J21" s="26"/>
    </row>
    <row r="22" customFormat="false" ht="15" hidden="false" customHeight="false" outlineLevel="0" collapsed="false">
      <c r="A22" s="26"/>
      <c r="B22" s="25"/>
      <c r="C22" s="26"/>
      <c r="D22" s="26"/>
      <c r="E22" s="26"/>
      <c r="F22" s="25"/>
      <c r="G22" s="25"/>
      <c r="H22" s="31" t="str">
        <f aca="true">IF(D22="","",IF(G22&lt;&gt;"","Cerrado",IF(AND(F22&lt;&gt;"",F22&lt;TODAY()),"Vencido","Abierto")))</f>
        <v/>
      </c>
      <c r="I22" s="21" t="n">
        <f aca="true">IF(AND(D22&lt;&gt;"",G22="",F22&lt;&gt;"",F22&lt;TODAY()),TODAY()-F22,0)</f>
        <v>0</v>
      </c>
      <c r="J22" s="26"/>
    </row>
    <row r="23" customFormat="false" ht="15" hidden="false" customHeight="false" outlineLevel="0" collapsed="false">
      <c r="A23" s="26"/>
      <c r="B23" s="25"/>
      <c r="C23" s="26"/>
      <c r="D23" s="26"/>
      <c r="E23" s="26"/>
      <c r="F23" s="25"/>
      <c r="G23" s="25"/>
      <c r="H23" s="31" t="str">
        <f aca="true">IF(D23="","",IF(G23&lt;&gt;"","Cerrado",IF(AND(F23&lt;&gt;"",F23&lt;TODAY()),"Vencido","Abierto")))</f>
        <v/>
      </c>
      <c r="I23" s="21" t="n">
        <f aca="true">IF(AND(D23&lt;&gt;"",G23="",F23&lt;&gt;"",F23&lt;TODAY()),TODAY()-F23,0)</f>
        <v>0</v>
      </c>
      <c r="J23" s="26"/>
    </row>
    <row r="24" customFormat="false" ht="15" hidden="false" customHeight="false" outlineLevel="0" collapsed="false">
      <c r="A24" s="26"/>
      <c r="B24" s="25"/>
      <c r="C24" s="26"/>
      <c r="D24" s="26"/>
      <c r="E24" s="26"/>
      <c r="F24" s="25"/>
      <c r="G24" s="25"/>
      <c r="H24" s="31" t="str">
        <f aca="true">IF(D24="","",IF(G24&lt;&gt;"","Cerrado",IF(AND(F24&lt;&gt;"",F24&lt;TODAY()),"Vencido","Abierto")))</f>
        <v/>
      </c>
      <c r="I24" s="21" t="n">
        <f aca="true">IF(AND(D24&lt;&gt;"",G24="",F24&lt;&gt;"",F24&lt;TODAY()),TODAY()-F24,0)</f>
        <v>0</v>
      </c>
      <c r="J24" s="26"/>
    </row>
    <row r="25" customFormat="false" ht="15" hidden="false" customHeight="false" outlineLevel="0" collapsed="false">
      <c r="A25" s="26"/>
      <c r="B25" s="25"/>
      <c r="C25" s="26"/>
      <c r="D25" s="26"/>
      <c r="E25" s="26"/>
      <c r="F25" s="25"/>
      <c r="G25" s="25"/>
      <c r="H25" s="31" t="str">
        <f aca="true">IF(D25="","",IF(G25&lt;&gt;"","Cerrado",IF(AND(F25&lt;&gt;"",F25&lt;TODAY()),"Vencido","Abierto")))</f>
        <v/>
      </c>
      <c r="I25" s="21" t="n">
        <f aca="true">IF(AND(D25&lt;&gt;"",G25="",F25&lt;&gt;"",F25&lt;TODAY()),TODAY()-F25,0)</f>
        <v>0</v>
      </c>
      <c r="J25" s="26"/>
    </row>
    <row r="26" customFormat="false" ht="15" hidden="false" customHeight="false" outlineLevel="0" collapsed="false">
      <c r="A26" s="26"/>
      <c r="B26" s="25"/>
      <c r="C26" s="26"/>
      <c r="D26" s="26"/>
      <c r="E26" s="26"/>
      <c r="F26" s="25"/>
      <c r="G26" s="25"/>
      <c r="H26" s="31" t="str">
        <f aca="true">IF(D26="","",IF(G26&lt;&gt;"","Cerrado",IF(AND(F26&lt;&gt;"",F26&lt;TODAY()),"Vencido","Abierto")))</f>
        <v/>
      </c>
      <c r="I26" s="21" t="n">
        <f aca="true">IF(AND(D26&lt;&gt;"",G26="",F26&lt;&gt;"",F26&lt;TODAY()),TODAY()-F26,0)</f>
        <v>0</v>
      </c>
      <c r="J26" s="26"/>
    </row>
    <row r="27" customFormat="false" ht="15" hidden="false" customHeight="false" outlineLevel="0" collapsed="false">
      <c r="A27" s="26"/>
      <c r="B27" s="25"/>
      <c r="C27" s="26"/>
      <c r="D27" s="26"/>
      <c r="E27" s="26"/>
      <c r="F27" s="25"/>
      <c r="G27" s="25"/>
      <c r="H27" s="31" t="str">
        <f aca="true">IF(D27="","",IF(G27&lt;&gt;"","Cerrado",IF(AND(F27&lt;&gt;"",F27&lt;TODAY()),"Vencido","Abierto")))</f>
        <v/>
      </c>
      <c r="I27" s="21" t="n">
        <f aca="true">IF(AND(D27&lt;&gt;"",G27="",F27&lt;&gt;"",F27&lt;TODAY()),TODAY()-F27,0)</f>
        <v>0</v>
      </c>
      <c r="J27" s="26"/>
    </row>
    <row r="28" customFormat="false" ht="15" hidden="false" customHeight="false" outlineLevel="0" collapsed="false">
      <c r="A28" s="26"/>
      <c r="B28" s="25"/>
      <c r="C28" s="26"/>
      <c r="D28" s="26"/>
      <c r="E28" s="26"/>
      <c r="F28" s="25"/>
      <c r="G28" s="25"/>
      <c r="H28" s="31" t="str">
        <f aca="true">IF(D28="","",IF(G28&lt;&gt;"","Cerrado",IF(AND(F28&lt;&gt;"",F28&lt;TODAY()),"Vencido","Abierto")))</f>
        <v/>
      </c>
      <c r="I28" s="21" t="n">
        <f aca="true">IF(AND(D28&lt;&gt;"",G28="",F28&lt;&gt;"",F28&lt;TODAY()),TODAY()-F28,0)</f>
        <v>0</v>
      </c>
      <c r="J28" s="26"/>
    </row>
    <row r="29" customFormat="false" ht="15" hidden="false" customHeight="false" outlineLevel="0" collapsed="false">
      <c r="A29" s="26"/>
      <c r="B29" s="25"/>
      <c r="C29" s="26"/>
      <c r="D29" s="26"/>
      <c r="E29" s="26"/>
      <c r="F29" s="25"/>
      <c r="G29" s="25"/>
      <c r="H29" s="31" t="str">
        <f aca="true">IF(D29="","",IF(G29&lt;&gt;"","Cerrado",IF(AND(F29&lt;&gt;"",F29&lt;TODAY()),"Vencido","Abierto")))</f>
        <v/>
      </c>
      <c r="I29" s="21" t="n">
        <f aca="true">IF(AND(D29&lt;&gt;"",G29="",F29&lt;&gt;"",F29&lt;TODAY()),TODAY()-F29,0)</f>
        <v>0</v>
      </c>
      <c r="J29" s="26"/>
    </row>
    <row r="30" customFormat="false" ht="15" hidden="false" customHeight="false" outlineLevel="0" collapsed="false">
      <c r="A30" s="26"/>
      <c r="B30" s="25"/>
      <c r="C30" s="26"/>
      <c r="D30" s="26"/>
      <c r="E30" s="26"/>
      <c r="F30" s="25"/>
      <c r="G30" s="25"/>
      <c r="H30" s="31" t="str">
        <f aca="true">IF(D30="","",IF(G30&lt;&gt;"","Cerrado",IF(AND(F30&lt;&gt;"",F30&lt;TODAY()),"Vencido","Abierto")))</f>
        <v/>
      </c>
      <c r="I30" s="21" t="n">
        <f aca="true">IF(AND(D30&lt;&gt;"",G30="",F30&lt;&gt;"",F30&lt;TODAY()),TODAY()-F30,0)</f>
        <v>0</v>
      </c>
      <c r="J30" s="26"/>
    </row>
    <row r="31" customFormat="false" ht="15" hidden="false" customHeight="false" outlineLevel="0" collapsed="false">
      <c r="A31" s="26"/>
      <c r="B31" s="25"/>
      <c r="C31" s="26"/>
      <c r="D31" s="26"/>
      <c r="E31" s="26"/>
      <c r="F31" s="25"/>
      <c r="G31" s="25"/>
      <c r="H31" s="31" t="str">
        <f aca="true">IF(D31="","",IF(G31&lt;&gt;"","Cerrado",IF(AND(F31&lt;&gt;"",F31&lt;TODAY()),"Vencido","Abierto")))</f>
        <v/>
      </c>
      <c r="I31" s="21" t="n">
        <f aca="true">IF(AND(D31&lt;&gt;"",G31="",F31&lt;&gt;"",F31&lt;TODAY()),TODAY()-F31,0)</f>
        <v>0</v>
      </c>
      <c r="J31" s="26"/>
    </row>
    <row r="32" customFormat="false" ht="15" hidden="false" customHeight="false" outlineLevel="0" collapsed="false">
      <c r="A32" s="26"/>
      <c r="B32" s="25"/>
      <c r="C32" s="26"/>
      <c r="D32" s="26"/>
      <c r="E32" s="26"/>
      <c r="F32" s="25"/>
      <c r="G32" s="25"/>
      <c r="H32" s="31" t="str">
        <f aca="true">IF(D32="","",IF(G32&lt;&gt;"","Cerrado",IF(AND(F32&lt;&gt;"",F32&lt;TODAY()),"Vencido","Abierto")))</f>
        <v/>
      </c>
      <c r="I32" s="21" t="n">
        <f aca="true">IF(AND(D32&lt;&gt;"",G32="",F32&lt;&gt;"",F32&lt;TODAY()),TODAY()-F32,0)</f>
        <v>0</v>
      </c>
      <c r="J32" s="26"/>
    </row>
    <row r="33" customFormat="false" ht="15" hidden="false" customHeight="false" outlineLevel="0" collapsed="false">
      <c r="A33" s="26"/>
      <c r="B33" s="25"/>
      <c r="C33" s="26"/>
      <c r="D33" s="26"/>
      <c r="E33" s="26"/>
      <c r="F33" s="25"/>
      <c r="G33" s="25"/>
      <c r="H33" s="31" t="str">
        <f aca="true">IF(D33="","",IF(G33&lt;&gt;"","Cerrado",IF(AND(F33&lt;&gt;"",F33&lt;TODAY()),"Vencido","Abierto")))</f>
        <v/>
      </c>
      <c r="I33" s="21" t="n">
        <f aca="true">IF(AND(D33&lt;&gt;"",G33="",F33&lt;&gt;"",F33&lt;TODAY()),TODAY()-F33,0)</f>
        <v>0</v>
      </c>
      <c r="J33" s="26"/>
    </row>
    <row r="34" customFormat="false" ht="15" hidden="false" customHeight="false" outlineLevel="0" collapsed="false">
      <c r="A34" s="26"/>
      <c r="B34" s="25"/>
      <c r="C34" s="26"/>
      <c r="D34" s="26"/>
      <c r="E34" s="26"/>
      <c r="F34" s="25"/>
      <c r="G34" s="25"/>
      <c r="H34" s="31" t="str">
        <f aca="true">IF(D34="","",IF(G34&lt;&gt;"","Cerrado",IF(AND(F34&lt;&gt;"",F34&lt;TODAY()),"Vencido","Abierto")))</f>
        <v/>
      </c>
      <c r="I34" s="21" t="n">
        <f aca="true">IF(AND(D34&lt;&gt;"",G34="",F34&lt;&gt;"",F34&lt;TODAY()),TODAY()-F34,0)</f>
        <v>0</v>
      </c>
      <c r="J34" s="26"/>
    </row>
    <row r="35" customFormat="false" ht="15" hidden="false" customHeight="false" outlineLevel="0" collapsed="false">
      <c r="A35" s="26"/>
      <c r="B35" s="25"/>
      <c r="C35" s="26"/>
      <c r="D35" s="26"/>
      <c r="E35" s="26"/>
      <c r="F35" s="25"/>
      <c r="G35" s="25"/>
      <c r="H35" s="31" t="str">
        <f aca="true">IF(D35="","",IF(G35&lt;&gt;"","Cerrado",IF(AND(F35&lt;&gt;"",F35&lt;TODAY()),"Vencido","Abierto")))</f>
        <v/>
      </c>
      <c r="I35" s="21" t="n">
        <f aca="true">IF(AND(D35&lt;&gt;"",G35="",F35&lt;&gt;"",F35&lt;TODAY()),TODAY()-F35,0)</f>
        <v>0</v>
      </c>
      <c r="J35" s="26"/>
    </row>
    <row r="36" customFormat="false" ht="15" hidden="false" customHeight="false" outlineLevel="0" collapsed="false">
      <c r="A36" s="26"/>
      <c r="B36" s="25"/>
      <c r="C36" s="26"/>
      <c r="D36" s="26"/>
      <c r="E36" s="26"/>
      <c r="F36" s="25"/>
      <c r="G36" s="25"/>
      <c r="H36" s="31" t="str">
        <f aca="true">IF(D36="","",IF(G36&lt;&gt;"","Cerrado",IF(AND(F36&lt;&gt;"",F36&lt;TODAY()),"Vencido","Abierto")))</f>
        <v/>
      </c>
      <c r="I36" s="21" t="n">
        <f aca="true">IF(AND(D36&lt;&gt;"",G36="",F36&lt;&gt;"",F36&lt;TODAY()),TODAY()-F36,0)</f>
        <v>0</v>
      </c>
      <c r="J36" s="26"/>
    </row>
    <row r="37" customFormat="false" ht="15" hidden="false" customHeight="false" outlineLevel="0" collapsed="false">
      <c r="A37" s="26"/>
      <c r="B37" s="25"/>
      <c r="C37" s="26"/>
      <c r="D37" s="26"/>
      <c r="E37" s="26"/>
      <c r="F37" s="25"/>
      <c r="G37" s="25"/>
      <c r="H37" s="31" t="str">
        <f aca="true">IF(D37="","",IF(G37&lt;&gt;"","Cerrado",IF(AND(F37&lt;&gt;"",F37&lt;TODAY()),"Vencido","Abierto")))</f>
        <v/>
      </c>
      <c r="I37" s="21" t="n">
        <f aca="true">IF(AND(D37&lt;&gt;"",G37="",F37&lt;&gt;"",F37&lt;TODAY()),TODAY()-F37,0)</f>
        <v>0</v>
      </c>
      <c r="J37" s="26"/>
    </row>
    <row r="38" customFormat="false" ht="15" hidden="false" customHeight="false" outlineLevel="0" collapsed="false">
      <c r="A38" s="26"/>
      <c r="B38" s="25"/>
      <c r="C38" s="26"/>
      <c r="D38" s="26"/>
      <c r="E38" s="26"/>
      <c r="F38" s="25"/>
      <c r="G38" s="25"/>
      <c r="H38" s="31" t="str">
        <f aca="true">IF(D38="","",IF(G38&lt;&gt;"","Cerrado",IF(AND(F38&lt;&gt;"",F38&lt;TODAY()),"Vencido","Abierto")))</f>
        <v/>
      </c>
      <c r="I38" s="21" t="n">
        <f aca="true">IF(AND(D38&lt;&gt;"",G38="",F38&lt;&gt;"",F38&lt;TODAY()),TODAY()-F38,0)</f>
        <v>0</v>
      </c>
      <c r="J38" s="26"/>
    </row>
    <row r="39" customFormat="false" ht="15" hidden="false" customHeight="false" outlineLevel="0" collapsed="false">
      <c r="A39" s="26"/>
      <c r="B39" s="25"/>
      <c r="C39" s="26"/>
      <c r="D39" s="26"/>
      <c r="E39" s="26"/>
      <c r="F39" s="25"/>
      <c r="G39" s="25"/>
      <c r="H39" s="31" t="str">
        <f aca="true">IF(D39="","",IF(G39&lt;&gt;"","Cerrado",IF(AND(F39&lt;&gt;"",F39&lt;TODAY()),"Vencido","Abierto")))</f>
        <v/>
      </c>
      <c r="I39" s="21" t="n">
        <f aca="true">IF(AND(D39&lt;&gt;"",G39="",F39&lt;&gt;"",F39&lt;TODAY()),TODAY()-F39,0)</f>
        <v>0</v>
      </c>
      <c r="J39" s="26"/>
    </row>
    <row r="40" customFormat="false" ht="15" hidden="false" customHeight="false" outlineLevel="0" collapsed="false">
      <c r="A40" s="26"/>
      <c r="B40" s="25"/>
      <c r="C40" s="26"/>
      <c r="D40" s="26"/>
      <c r="E40" s="26"/>
      <c r="F40" s="25"/>
      <c r="G40" s="25"/>
      <c r="H40" s="31" t="str">
        <f aca="true">IF(D40="","",IF(G40&lt;&gt;"","Cerrado",IF(AND(F40&lt;&gt;"",F40&lt;TODAY()),"Vencido","Abierto")))</f>
        <v/>
      </c>
      <c r="I40" s="21" t="n">
        <f aca="true">IF(AND(D40&lt;&gt;"",G40="",F40&lt;&gt;"",F40&lt;TODAY()),TODAY()-F40,0)</f>
        <v>0</v>
      </c>
      <c r="J40" s="26"/>
    </row>
    <row r="41" customFormat="false" ht="15" hidden="false" customHeight="false" outlineLevel="0" collapsed="false">
      <c r="A41" s="26"/>
      <c r="B41" s="25"/>
      <c r="C41" s="26"/>
      <c r="D41" s="26"/>
      <c r="E41" s="26"/>
      <c r="F41" s="25"/>
      <c r="G41" s="25"/>
      <c r="H41" s="31" t="str">
        <f aca="true">IF(D41="","",IF(G41&lt;&gt;"","Cerrado",IF(AND(F41&lt;&gt;"",F41&lt;TODAY()),"Vencido","Abierto")))</f>
        <v/>
      </c>
      <c r="I41" s="21" t="n">
        <f aca="true">IF(AND(D41&lt;&gt;"",G41="",F41&lt;&gt;"",F41&lt;TODAY()),TODAY()-F41,0)</f>
        <v>0</v>
      </c>
      <c r="J41" s="26"/>
    </row>
    <row r="42" customFormat="false" ht="15" hidden="false" customHeight="false" outlineLevel="0" collapsed="false">
      <c r="A42" s="26"/>
      <c r="B42" s="25"/>
      <c r="C42" s="26"/>
      <c r="D42" s="26"/>
      <c r="E42" s="26"/>
      <c r="F42" s="25"/>
      <c r="G42" s="25"/>
      <c r="H42" s="31" t="str">
        <f aca="true">IF(D42="","",IF(G42&lt;&gt;"","Cerrado",IF(AND(F42&lt;&gt;"",F42&lt;TODAY()),"Vencido","Abierto")))</f>
        <v/>
      </c>
      <c r="I42" s="21" t="n">
        <f aca="true">IF(AND(D42&lt;&gt;"",G42="",F42&lt;&gt;"",F42&lt;TODAY()),TODAY()-F42,0)</f>
        <v>0</v>
      </c>
      <c r="J42" s="26"/>
    </row>
    <row r="43" customFormat="false" ht="15" hidden="false" customHeight="false" outlineLevel="0" collapsed="false">
      <c r="A43" s="26"/>
      <c r="B43" s="25"/>
      <c r="C43" s="26"/>
      <c r="D43" s="26"/>
      <c r="E43" s="26"/>
      <c r="F43" s="25"/>
      <c r="G43" s="25"/>
      <c r="H43" s="31" t="str">
        <f aca="true">IF(D43="","",IF(G43&lt;&gt;"","Cerrado",IF(AND(F43&lt;&gt;"",F43&lt;TODAY()),"Vencido","Abierto")))</f>
        <v/>
      </c>
      <c r="I43" s="21" t="n">
        <f aca="true">IF(AND(D43&lt;&gt;"",G43="",F43&lt;&gt;"",F43&lt;TODAY()),TODAY()-F43,0)</f>
        <v>0</v>
      </c>
      <c r="J43" s="26"/>
    </row>
    <row r="44" customFormat="false" ht="15" hidden="false" customHeight="false" outlineLevel="0" collapsed="false">
      <c r="A44" s="26"/>
      <c r="B44" s="25"/>
      <c r="C44" s="26"/>
      <c r="D44" s="26"/>
      <c r="E44" s="26"/>
      <c r="F44" s="25"/>
      <c r="G44" s="25"/>
      <c r="H44" s="31" t="str">
        <f aca="true">IF(D44="","",IF(G44&lt;&gt;"","Cerrado",IF(AND(F44&lt;&gt;"",F44&lt;TODAY()),"Vencido","Abierto")))</f>
        <v/>
      </c>
      <c r="I44" s="21" t="n">
        <f aca="true">IF(AND(D44&lt;&gt;"",G44="",F44&lt;&gt;"",F44&lt;TODAY()),TODAY()-F44,0)</f>
        <v>0</v>
      </c>
      <c r="J44" s="26"/>
    </row>
    <row r="45" customFormat="false" ht="15" hidden="false" customHeight="false" outlineLevel="0" collapsed="false">
      <c r="A45" s="26"/>
      <c r="B45" s="25"/>
      <c r="C45" s="26"/>
      <c r="D45" s="26"/>
      <c r="E45" s="26"/>
      <c r="F45" s="25"/>
      <c r="G45" s="25"/>
      <c r="H45" s="31" t="str">
        <f aca="true">IF(D45="","",IF(G45&lt;&gt;"","Cerrado",IF(AND(F45&lt;&gt;"",F45&lt;TODAY()),"Vencido","Abierto")))</f>
        <v/>
      </c>
      <c r="I45" s="21" t="n">
        <f aca="true">IF(AND(D45&lt;&gt;"",G45="",F45&lt;&gt;"",F45&lt;TODAY()),TODAY()-F45,0)</f>
        <v>0</v>
      </c>
      <c r="J45" s="26"/>
    </row>
    <row r="46" customFormat="false" ht="15" hidden="false" customHeight="false" outlineLevel="0" collapsed="false">
      <c r="A46" s="26"/>
      <c r="B46" s="25"/>
      <c r="C46" s="26"/>
      <c r="D46" s="26"/>
      <c r="E46" s="26"/>
      <c r="F46" s="25"/>
      <c r="G46" s="25"/>
      <c r="H46" s="31" t="str">
        <f aca="true">IF(D46="","",IF(G46&lt;&gt;"","Cerrado",IF(AND(F46&lt;&gt;"",F46&lt;TODAY()),"Vencido","Abierto")))</f>
        <v/>
      </c>
      <c r="I46" s="21" t="n">
        <f aca="true">IF(AND(D46&lt;&gt;"",G46="",F46&lt;&gt;"",F46&lt;TODAY()),TODAY()-F46,0)</f>
        <v>0</v>
      </c>
      <c r="J46" s="26"/>
    </row>
    <row r="47" customFormat="false" ht="15" hidden="false" customHeight="false" outlineLevel="0" collapsed="false">
      <c r="A47" s="26"/>
      <c r="B47" s="25"/>
      <c r="C47" s="26"/>
      <c r="D47" s="26"/>
      <c r="E47" s="26"/>
      <c r="F47" s="25"/>
      <c r="G47" s="25"/>
      <c r="H47" s="31" t="str">
        <f aca="true">IF(D47="","",IF(G47&lt;&gt;"","Cerrado",IF(AND(F47&lt;&gt;"",F47&lt;TODAY()),"Vencido","Abierto")))</f>
        <v/>
      </c>
      <c r="I47" s="21" t="n">
        <f aca="true">IF(AND(D47&lt;&gt;"",G47="",F47&lt;&gt;"",F47&lt;TODAY()),TODAY()-F47,0)</f>
        <v>0</v>
      </c>
      <c r="J47" s="26"/>
    </row>
    <row r="48" customFormat="false" ht="15" hidden="false" customHeight="false" outlineLevel="0" collapsed="false">
      <c r="A48" s="26"/>
      <c r="B48" s="25"/>
      <c r="C48" s="26"/>
      <c r="D48" s="26"/>
      <c r="E48" s="26"/>
      <c r="F48" s="25"/>
      <c r="G48" s="25"/>
      <c r="H48" s="31" t="str">
        <f aca="true">IF(D48="","",IF(G48&lt;&gt;"","Cerrado",IF(AND(F48&lt;&gt;"",F48&lt;TODAY()),"Vencido","Abierto")))</f>
        <v/>
      </c>
      <c r="I48" s="21" t="n">
        <f aca="true">IF(AND(D48&lt;&gt;"",G48="",F48&lt;&gt;"",F48&lt;TODAY()),TODAY()-F48,0)</f>
        <v>0</v>
      </c>
      <c r="J48" s="26"/>
    </row>
    <row r="49" customFormat="false" ht="15" hidden="false" customHeight="false" outlineLevel="0" collapsed="false">
      <c r="A49" s="26"/>
      <c r="B49" s="25"/>
      <c r="C49" s="26"/>
      <c r="D49" s="26"/>
      <c r="E49" s="26"/>
      <c r="F49" s="25"/>
      <c r="G49" s="25"/>
      <c r="H49" s="31" t="str">
        <f aca="true">IF(D49="","",IF(G49&lt;&gt;"","Cerrado",IF(AND(F49&lt;&gt;"",F49&lt;TODAY()),"Vencido","Abierto")))</f>
        <v/>
      </c>
      <c r="I49" s="21" t="n">
        <f aca="true">IF(AND(D49&lt;&gt;"",G49="",F49&lt;&gt;"",F49&lt;TODAY()),TODAY()-F49,0)</f>
        <v>0</v>
      </c>
      <c r="J49" s="26"/>
    </row>
    <row r="50" customFormat="false" ht="15" hidden="false" customHeight="false" outlineLevel="0" collapsed="false">
      <c r="A50" s="26"/>
      <c r="B50" s="25"/>
      <c r="C50" s="26"/>
      <c r="D50" s="26"/>
      <c r="E50" s="26"/>
      <c r="F50" s="25"/>
      <c r="G50" s="25"/>
      <c r="H50" s="31" t="str">
        <f aca="true">IF(D50="","",IF(G50&lt;&gt;"","Cerrado",IF(AND(F50&lt;&gt;"",F50&lt;TODAY()),"Vencido","Abierto")))</f>
        <v/>
      </c>
      <c r="I50" s="21" t="n">
        <f aca="true">IF(AND(D50&lt;&gt;"",G50="",F50&lt;&gt;"",F50&lt;TODAY()),TODAY()-F50,0)</f>
        <v>0</v>
      </c>
      <c r="J50" s="26"/>
    </row>
    <row r="51" customFormat="false" ht="15" hidden="false" customHeight="false" outlineLevel="0" collapsed="false">
      <c r="A51" s="26"/>
      <c r="B51" s="25"/>
      <c r="C51" s="26"/>
      <c r="D51" s="26"/>
      <c r="E51" s="26"/>
      <c r="F51" s="25"/>
      <c r="G51" s="25"/>
      <c r="H51" s="31" t="str">
        <f aca="true">IF(D51="","",IF(G51&lt;&gt;"","Cerrado",IF(AND(F51&lt;&gt;"",F51&lt;TODAY()),"Vencido","Abierto")))</f>
        <v/>
      </c>
      <c r="I51" s="21" t="n">
        <f aca="true">IF(AND(D51&lt;&gt;"",G51="",F51&lt;&gt;"",F51&lt;TODAY()),TODAY()-F51,0)</f>
        <v>0</v>
      </c>
      <c r="J51" s="26"/>
    </row>
    <row r="52" customFormat="false" ht="15" hidden="false" customHeight="false" outlineLevel="0" collapsed="false">
      <c r="A52" s="26"/>
      <c r="B52" s="25"/>
      <c r="C52" s="26"/>
      <c r="D52" s="26"/>
      <c r="E52" s="26"/>
      <c r="F52" s="25"/>
      <c r="G52" s="25"/>
      <c r="H52" s="31" t="str">
        <f aca="true">IF(D52="","",IF(G52&lt;&gt;"","Cerrado",IF(AND(F52&lt;&gt;"",F52&lt;TODAY()),"Vencido","Abierto")))</f>
        <v/>
      </c>
      <c r="I52" s="21" t="n">
        <f aca="true">IF(AND(D52&lt;&gt;"",G52="",F52&lt;&gt;"",F52&lt;TODAY()),TODAY()-F52,0)</f>
        <v>0</v>
      </c>
      <c r="J52" s="26"/>
    </row>
    <row r="53" customFormat="false" ht="15" hidden="false" customHeight="false" outlineLevel="0" collapsed="false">
      <c r="A53" s="26"/>
      <c r="B53" s="25"/>
      <c r="C53" s="26"/>
      <c r="D53" s="26"/>
      <c r="E53" s="26"/>
      <c r="F53" s="25"/>
      <c r="G53" s="25"/>
      <c r="H53" s="31" t="str">
        <f aca="true">IF(D53="","",IF(G53&lt;&gt;"","Cerrado",IF(AND(F53&lt;&gt;"",F53&lt;TODAY()),"Vencido","Abierto")))</f>
        <v/>
      </c>
      <c r="I53" s="21" t="n">
        <f aca="true">IF(AND(D53&lt;&gt;"",G53="",F53&lt;&gt;"",F53&lt;TODAY()),TODAY()-F53,0)</f>
        <v>0</v>
      </c>
      <c r="J53" s="26"/>
    </row>
    <row r="54" customFormat="false" ht="15" hidden="false" customHeight="false" outlineLevel="0" collapsed="false">
      <c r="A54" s="26"/>
      <c r="B54" s="25"/>
      <c r="C54" s="26"/>
      <c r="D54" s="26"/>
      <c r="E54" s="26"/>
      <c r="F54" s="25"/>
      <c r="G54" s="25"/>
      <c r="H54" s="31" t="str">
        <f aca="true">IF(D54="","",IF(G54&lt;&gt;"","Cerrado",IF(AND(F54&lt;&gt;"",F54&lt;TODAY()),"Vencido","Abierto")))</f>
        <v/>
      </c>
      <c r="I54" s="21" t="n">
        <f aca="true">IF(AND(D54&lt;&gt;"",G54="",F54&lt;&gt;"",F54&lt;TODAY()),TODAY()-F54,0)</f>
        <v>0</v>
      </c>
      <c r="J54" s="26"/>
    </row>
    <row r="55" customFormat="false" ht="15" hidden="false" customHeight="false" outlineLevel="0" collapsed="false">
      <c r="A55" s="26"/>
      <c r="B55" s="25"/>
      <c r="C55" s="26"/>
      <c r="D55" s="26"/>
      <c r="E55" s="26"/>
      <c r="F55" s="25"/>
      <c r="G55" s="25"/>
      <c r="H55" s="31" t="str">
        <f aca="true">IF(D55="","",IF(G55&lt;&gt;"","Cerrado",IF(AND(F55&lt;&gt;"",F55&lt;TODAY()),"Vencido","Abierto")))</f>
        <v/>
      </c>
      <c r="I55" s="21" t="n">
        <f aca="true">IF(AND(D55&lt;&gt;"",G55="",F55&lt;&gt;"",F55&lt;TODAY()),TODAY()-F55,0)</f>
        <v>0</v>
      </c>
      <c r="J55" s="26"/>
    </row>
    <row r="56" customFormat="false" ht="15" hidden="false" customHeight="false" outlineLevel="0" collapsed="false">
      <c r="A56" s="26"/>
      <c r="B56" s="25"/>
      <c r="C56" s="26"/>
      <c r="D56" s="26"/>
      <c r="E56" s="26"/>
      <c r="F56" s="25"/>
      <c r="G56" s="25"/>
      <c r="H56" s="31" t="str">
        <f aca="true">IF(D56="","",IF(G56&lt;&gt;"","Cerrado",IF(AND(F56&lt;&gt;"",F56&lt;TODAY()),"Vencido","Abierto")))</f>
        <v/>
      </c>
      <c r="I56" s="21" t="n">
        <f aca="true">IF(AND(D56&lt;&gt;"",G56="",F56&lt;&gt;"",F56&lt;TODAY()),TODAY()-F56,0)</f>
        <v>0</v>
      </c>
      <c r="J56" s="26"/>
    </row>
    <row r="57" customFormat="false" ht="15" hidden="false" customHeight="false" outlineLevel="0" collapsed="false">
      <c r="A57" s="26"/>
      <c r="B57" s="25"/>
      <c r="C57" s="26"/>
      <c r="D57" s="26"/>
      <c r="E57" s="26"/>
      <c r="F57" s="25"/>
      <c r="G57" s="25"/>
      <c r="H57" s="31" t="str">
        <f aca="true">IF(D57="","",IF(G57&lt;&gt;"","Cerrado",IF(AND(F57&lt;&gt;"",F57&lt;TODAY()),"Vencido","Abierto")))</f>
        <v/>
      </c>
      <c r="I57" s="21" t="n">
        <f aca="true">IF(AND(D57&lt;&gt;"",G57="",F57&lt;&gt;"",F57&lt;TODAY()),TODAY()-F57,0)</f>
        <v>0</v>
      </c>
      <c r="J57" s="26"/>
    </row>
    <row r="58" customFormat="false" ht="15" hidden="false" customHeight="false" outlineLevel="0" collapsed="false">
      <c r="A58" s="26"/>
      <c r="B58" s="25"/>
      <c r="C58" s="26"/>
      <c r="D58" s="26"/>
      <c r="E58" s="26"/>
      <c r="F58" s="25"/>
      <c r="G58" s="25"/>
      <c r="H58" s="31" t="str">
        <f aca="true">IF(D58="","",IF(G58&lt;&gt;"","Cerrado",IF(AND(F58&lt;&gt;"",F58&lt;TODAY()),"Vencido","Abierto")))</f>
        <v/>
      </c>
      <c r="I58" s="21" t="n">
        <f aca="true">IF(AND(D58&lt;&gt;"",G58="",F58&lt;&gt;"",F58&lt;TODAY()),TODAY()-F58,0)</f>
        <v>0</v>
      </c>
      <c r="J58" s="26"/>
    </row>
    <row r="59" customFormat="false" ht="15" hidden="false" customHeight="false" outlineLevel="0" collapsed="false">
      <c r="A59" s="26"/>
      <c r="B59" s="25"/>
      <c r="C59" s="26"/>
      <c r="D59" s="26"/>
      <c r="E59" s="26"/>
      <c r="F59" s="25"/>
      <c r="G59" s="25"/>
      <c r="H59" s="31" t="str">
        <f aca="true">IF(D59="","",IF(G59&lt;&gt;"","Cerrado",IF(AND(F59&lt;&gt;"",F59&lt;TODAY()),"Vencido","Abierto")))</f>
        <v/>
      </c>
      <c r="I59" s="21" t="n">
        <f aca="true">IF(AND(D59&lt;&gt;"",G59="",F59&lt;&gt;"",F59&lt;TODAY()),TODAY()-F59,0)</f>
        <v>0</v>
      </c>
      <c r="J59" s="26"/>
    </row>
    <row r="60" customFormat="false" ht="15" hidden="false" customHeight="false" outlineLevel="0" collapsed="false">
      <c r="A60" s="26"/>
      <c r="B60" s="25"/>
      <c r="C60" s="26"/>
      <c r="D60" s="26"/>
      <c r="E60" s="26"/>
      <c r="F60" s="25"/>
      <c r="G60" s="25"/>
      <c r="H60" s="31" t="str">
        <f aca="true">IF(D60="","",IF(G60&lt;&gt;"","Cerrado",IF(AND(F60&lt;&gt;"",F60&lt;TODAY()),"Vencido","Abierto")))</f>
        <v/>
      </c>
      <c r="I60" s="21" t="n">
        <f aca="true">IF(AND(D60&lt;&gt;"",G60="",F60&lt;&gt;"",F60&lt;TODAY()),TODAY()-F60,0)</f>
        <v>0</v>
      </c>
      <c r="J60" s="26"/>
    </row>
    <row r="61" customFormat="false" ht="15" hidden="false" customHeight="false" outlineLevel="0" collapsed="false">
      <c r="A61" s="26"/>
      <c r="B61" s="25"/>
      <c r="C61" s="26"/>
      <c r="D61" s="26"/>
      <c r="E61" s="26"/>
      <c r="F61" s="25"/>
      <c r="G61" s="25"/>
      <c r="H61" s="31" t="str">
        <f aca="true">IF(D61="","",IF(G61&lt;&gt;"","Cerrado",IF(AND(F61&lt;&gt;"",F61&lt;TODAY()),"Vencido","Abierto")))</f>
        <v/>
      </c>
      <c r="I61" s="21" t="n">
        <f aca="true">IF(AND(D61&lt;&gt;"",G61="",F61&lt;&gt;"",F61&lt;TODAY()),TODAY()-F61,0)</f>
        <v>0</v>
      </c>
      <c r="J61" s="26"/>
    </row>
    <row r="62" customFormat="false" ht="15" hidden="false" customHeight="false" outlineLevel="0" collapsed="false">
      <c r="A62" s="26"/>
      <c r="B62" s="25"/>
      <c r="C62" s="26"/>
      <c r="D62" s="26"/>
      <c r="E62" s="26"/>
      <c r="F62" s="25"/>
      <c r="G62" s="25"/>
      <c r="H62" s="31" t="str">
        <f aca="true">IF(D62="","",IF(G62&lt;&gt;"","Cerrado",IF(AND(F62&lt;&gt;"",F62&lt;TODAY()),"Vencido","Abierto")))</f>
        <v/>
      </c>
      <c r="I62" s="21" t="n">
        <f aca="true">IF(AND(D62&lt;&gt;"",G62="",F62&lt;&gt;"",F62&lt;TODAY()),TODAY()-F62,0)</f>
        <v>0</v>
      </c>
      <c r="J62" s="26"/>
    </row>
    <row r="63" customFormat="false" ht="15" hidden="false" customHeight="false" outlineLevel="0" collapsed="false">
      <c r="A63" s="26"/>
      <c r="B63" s="25"/>
      <c r="C63" s="26"/>
      <c r="D63" s="26"/>
      <c r="E63" s="26"/>
      <c r="F63" s="25"/>
      <c r="G63" s="25"/>
      <c r="H63" s="31" t="str">
        <f aca="true">IF(D63="","",IF(G63&lt;&gt;"","Cerrado",IF(AND(F63&lt;&gt;"",F63&lt;TODAY()),"Vencido","Abierto")))</f>
        <v/>
      </c>
      <c r="I63" s="21" t="n">
        <f aca="true">IF(AND(D63&lt;&gt;"",G63="",F63&lt;&gt;"",F63&lt;TODAY()),TODAY()-F63,0)</f>
        <v>0</v>
      </c>
      <c r="J63" s="26"/>
    </row>
    <row r="64" customFormat="false" ht="15" hidden="false" customHeight="false" outlineLevel="0" collapsed="false">
      <c r="A64" s="26"/>
      <c r="B64" s="25"/>
      <c r="C64" s="26"/>
      <c r="D64" s="26"/>
      <c r="E64" s="26"/>
      <c r="F64" s="25"/>
      <c r="G64" s="25"/>
      <c r="H64" s="31" t="str">
        <f aca="true">IF(D64="","",IF(G64&lt;&gt;"","Cerrado",IF(AND(F64&lt;&gt;"",F64&lt;TODAY()),"Vencido","Abierto")))</f>
        <v/>
      </c>
      <c r="I64" s="21" t="n">
        <f aca="true">IF(AND(D64&lt;&gt;"",G64="",F64&lt;&gt;"",F64&lt;TODAY()),TODAY()-F64,0)</f>
        <v>0</v>
      </c>
      <c r="J64" s="26"/>
    </row>
    <row r="65" customFormat="false" ht="15" hidden="false" customHeight="false" outlineLevel="0" collapsed="false">
      <c r="A65" s="26"/>
      <c r="B65" s="25"/>
      <c r="C65" s="26"/>
      <c r="D65" s="26"/>
      <c r="E65" s="26"/>
      <c r="F65" s="25"/>
      <c r="G65" s="25"/>
      <c r="H65" s="31" t="str">
        <f aca="true">IF(D65="","",IF(G65&lt;&gt;"","Cerrado",IF(AND(F65&lt;&gt;"",F65&lt;TODAY()),"Vencido","Abierto")))</f>
        <v/>
      </c>
      <c r="I65" s="21" t="n">
        <f aca="true">IF(AND(D65&lt;&gt;"",G65="",F65&lt;&gt;"",F65&lt;TODAY()),TODAY()-F65,0)</f>
        <v>0</v>
      </c>
      <c r="J65" s="26"/>
    </row>
    <row r="66" customFormat="false" ht="15" hidden="false" customHeight="false" outlineLevel="0" collapsed="false">
      <c r="A66" s="26"/>
      <c r="B66" s="25"/>
      <c r="C66" s="26"/>
      <c r="D66" s="26"/>
      <c r="E66" s="26"/>
      <c r="F66" s="25"/>
      <c r="G66" s="25"/>
      <c r="H66" s="31" t="str">
        <f aca="true">IF(D66="","",IF(G66&lt;&gt;"","Cerrado",IF(AND(F66&lt;&gt;"",F66&lt;TODAY()),"Vencido","Abierto")))</f>
        <v/>
      </c>
      <c r="I66" s="21" t="n">
        <f aca="true">IF(AND(D66&lt;&gt;"",G66="",F66&lt;&gt;"",F66&lt;TODAY()),TODAY()-F66,0)</f>
        <v>0</v>
      </c>
      <c r="J66" s="26"/>
    </row>
    <row r="67" customFormat="false" ht="15" hidden="false" customHeight="false" outlineLevel="0" collapsed="false">
      <c r="A67" s="26"/>
      <c r="B67" s="25"/>
      <c r="C67" s="26"/>
      <c r="D67" s="26"/>
      <c r="E67" s="26"/>
      <c r="F67" s="25"/>
      <c r="G67" s="25"/>
      <c r="H67" s="31" t="str">
        <f aca="true">IF(D67="","",IF(G67&lt;&gt;"","Cerrado",IF(AND(F67&lt;&gt;"",F67&lt;TODAY()),"Vencido","Abierto")))</f>
        <v/>
      </c>
      <c r="I67" s="21" t="n">
        <f aca="true">IF(AND(D67&lt;&gt;"",G67="",F67&lt;&gt;"",F67&lt;TODAY()),TODAY()-F67,0)</f>
        <v>0</v>
      </c>
      <c r="J67" s="26"/>
    </row>
    <row r="68" customFormat="false" ht="15" hidden="false" customHeight="false" outlineLevel="0" collapsed="false">
      <c r="A68" s="26"/>
      <c r="B68" s="25"/>
      <c r="C68" s="26"/>
      <c r="D68" s="26"/>
      <c r="E68" s="26"/>
      <c r="F68" s="25"/>
      <c r="G68" s="25"/>
      <c r="H68" s="31" t="str">
        <f aca="true">IF(D68="","",IF(G68&lt;&gt;"","Cerrado",IF(AND(F68&lt;&gt;"",F68&lt;TODAY()),"Vencido","Abierto")))</f>
        <v/>
      </c>
      <c r="I68" s="21" t="n">
        <f aca="true">IF(AND(D68&lt;&gt;"",G68="",F68&lt;&gt;"",F68&lt;TODAY()),TODAY()-F68,0)</f>
        <v>0</v>
      </c>
      <c r="J68" s="26"/>
    </row>
    <row r="69" customFormat="false" ht="15" hidden="false" customHeight="false" outlineLevel="0" collapsed="false">
      <c r="A69" s="26"/>
      <c r="B69" s="25"/>
      <c r="C69" s="26"/>
      <c r="D69" s="26"/>
      <c r="E69" s="26"/>
      <c r="F69" s="25"/>
      <c r="G69" s="25"/>
      <c r="H69" s="31" t="str">
        <f aca="true">IF(D69="","",IF(G69&lt;&gt;"","Cerrado",IF(AND(F69&lt;&gt;"",F69&lt;TODAY()),"Vencido","Abierto")))</f>
        <v/>
      </c>
      <c r="I69" s="21" t="n">
        <f aca="true">IF(AND(D69&lt;&gt;"",G69="",F69&lt;&gt;"",F69&lt;TODAY()),TODAY()-F69,0)</f>
        <v>0</v>
      </c>
      <c r="J69" s="26"/>
    </row>
    <row r="70" customFormat="false" ht="15" hidden="false" customHeight="false" outlineLevel="0" collapsed="false">
      <c r="A70" s="26"/>
      <c r="B70" s="25"/>
      <c r="C70" s="26"/>
      <c r="D70" s="26"/>
      <c r="E70" s="26"/>
      <c r="F70" s="25"/>
      <c r="G70" s="25"/>
      <c r="H70" s="31" t="str">
        <f aca="true">IF(D70="","",IF(G70&lt;&gt;"","Cerrado",IF(AND(F70&lt;&gt;"",F70&lt;TODAY()),"Vencido","Abierto")))</f>
        <v/>
      </c>
      <c r="I70" s="21" t="n">
        <f aca="true">IF(AND(D70&lt;&gt;"",G70="",F70&lt;&gt;"",F70&lt;TODAY()),TODAY()-F70,0)</f>
        <v>0</v>
      </c>
      <c r="J70" s="26"/>
    </row>
    <row r="71" customFormat="false" ht="15" hidden="false" customHeight="false" outlineLevel="0" collapsed="false">
      <c r="A71" s="26"/>
      <c r="B71" s="25"/>
      <c r="C71" s="26"/>
      <c r="D71" s="26"/>
      <c r="E71" s="26"/>
      <c r="F71" s="25"/>
      <c r="G71" s="25"/>
      <c r="H71" s="31" t="str">
        <f aca="true">IF(D71="","",IF(G71&lt;&gt;"","Cerrado",IF(AND(F71&lt;&gt;"",F71&lt;TODAY()),"Vencido","Abierto")))</f>
        <v/>
      </c>
      <c r="I71" s="21" t="n">
        <f aca="true">IF(AND(D71&lt;&gt;"",G71="",F71&lt;&gt;"",F71&lt;TODAY()),TODAY()-F71,0)</f>
        <v>0</v>
      </c>
      <c r="J71" s="26"/>
    </row>
    <row r="72" customFormat="false" ht="15" hidden="false" customHeight="false" outlineLevel="0" collapsed="false">
      <c r="A72" s="26"/>
      <c r="B72" s="25"/>
      <c r="C72" s="26"/>
      <c r="D72" s="26"/>
      <c r="E72" s="26"/>
      <c r="F72" s="25"/>
      <c r="G72" s="25"/>
      <c r="H72" s="31" t="str">
        <f aca="true">IF(D72="","",IF(G72&lt;&gt;"","Cerrado",IF(AND(F72&lt;&gt;"",F72&lt;TODAY()),"Vencido","Abierto")))</f>
        <v/>
      </c>
      <c r="I72" s="21" t="n">
        <f aca="true">IF(AND(D72&lt;&gt;"",G72="",F72&lt;&gt;"",F72&lt;TODAY()),TODAY()-F72,0)</f>
        <v>0</v>
      </c>
      <c r="J72" s="26"/>
    </row>
    <row r="73" customFormat="false" ht="15" hidden="false" customHeight="false" outlineLevel="0" collapsed="false">
      <c r="A73" s="26"/>
      <c r="B73" s="25"/>
      <c r="C73" s="26"/>
      <c r="D73" s="26"/>
      <c r="E73" s="26"/>
      <c r="F73" s="25"/>
      <c r="G73" s="25"/>
      <c r="H73" s="31" t="str">
        <f aca="true">IF(D73="","",IF(G73&lt;&gt;"","Cerrado",IF(AND(F73&lt;&gt;"",F73&lt;TODAY()),"Vencido","Abierto")))</f>
        <v/>
      </c>
      <c r="I73" s="21" t="n">
        <f aca="true">IF(AND(D73&lt;&gt;"",G73="",F73&lt;&gt;"",F73&lt;TODAY()),TODAY()-F73,0)</f>
        <v>0</v>
      </c>
      <c r="J73" s="26"/>
    </row>
    <row r="74" customFormat="false" ht="15" hidden="false" customHeight="false" outlineLevel="0" collapsed="false">
      <c r="A74" s="26"/>
      <c r="B74" s="25"/>
      <c r="C74" s="26"/>
      <c r="D74" s="26"/>
      <c r="E74" s="26"/>
      <c r="F74" s="25"/>
      <c r="G74" s="25"/>
      <c r="H74" s="31" t="str">
        <f aca="true">IF(D74="","",IF(G74&lt;&gt;"","Cerrado",IF(AND(F74&lt;&gt;"",F74&lt;TODAY()),"Vencido","Abierto")))</f>
        <v/>
      </c>
      <c r="I74" s="21" t="n">
        <f aca="true">IF(AND(D74&lt;&gt;"",G74="",F74&lt;&gt;"",F74&lt;TODAY()),TODAY()-F74,0)</f>
        <v>0</v>
      </c>
      <c r="J74" s="26"/>
    </row>
    <row r="75" customFormat="false" ht="15" hidden="false" customHeight="false" outlineLevel="0" collapsed="false">
      <c r="A75" s="26"/>
      <c r="B75" s="25"/>
      <c r="C75" s="26"/>
      <c r="D75" s="26"/>
      <c r="E75" s="26"/>
      <c r="F75" s="25"/>
      <c r="G75" s="25"/>
      <c r="H75" s="31" t="str">
        <f aca="true">IF(D75="","",IF(G75&lt;&gt;"","Cerrado",IF(AND(F75&lt;&gt;"",F75&lt;TODAY()),"Vencido","Abierto")))</f>
        <v/>
      </c>
      <c r="I75" s="21" t="n">
        <f aca="true">IF(AND(D75&lt;&gt;"",G75="",F75&lt;&gt;"",F75&lt;TODAY()),TODAY()-F75,0)</f>
        <v>0</v>
      </c>
      <c r="J75" s="26"/>
    </row>
    <row r="76" customFormat="false" ht="15" hidden="false" customHeight="false" outlineLevel="0" collapsed="false">
      <c r="A76" s="26"/>
      <c r="B76" s="25"/>
      <c r="C76" s="26"/>
      <c r="D76" s="26"/>
      <c r="E76" s="26"/>
      <c r="F76" s="25"/>
      <c r="G76" s="25"/>
      <c r="H76" s="31" t="str">
        <f aca="true">IF(D76="","",IF(G76&lt;&gt;"","Cerrado",IF(AND(F76&lt;&gt;"",F76&lt;TODAY()),"Vencido","Abierto")))</f>
        <v/>
      </c>
      <c r="I76" s="21" t="n">
        <f aca="true">IF(AND(D76&lt;&gt;"",G76="",F76&lt;&gt;"",F76&lt;TODAY()),TODAY()-F76,0)</f>
        <v>0</v>
      </c>
      <c r="J76" s="26"/>
    </row>
    <row r="77" customFormat="false" ht="15" hidden="false" customHeight="false" outlineLevel="0" collapsed="false">
      <c r="A77" s="26"/>
      <c r="B77" s="25"/>
      <c r="C77" s="26"/>
      <c r="D77" s="26"/>
      <c r="E77" s="26"/>
      <c r="F77" s="25"/>
      <c r="G77" s="25"/>
      <c r="H77" s="31" t="str">
        <f aca="true">IF(D77="","",IF(G77&lt;&gt;"","Cerrado",IF(AND(F77&lt;&gt;"",F77&lt;TODAY()),"Vencido","Abierto")))</f>
        <v/>
      </c>
      <c r="I77" s="21" t="n">
        <f aca="true">IF(AND(D77&lt;&gt;"",G77="",F77&lt;&gt;"",F77&lt;TODAY()),TODAY()-F77,0)</f>
        <v>0</v>
      </c>
      <c r="J77" s="26"/>
    </row>
    <row r="78" customFormat="false" ht="15" hidden="false" customHeight="false" outlineLevel="0" collapsed="false">
      <c r="A78" s="26"/>
      <c r="B78" s="25"/>
      <c r="C78" s="26"/>
      <c r="D78" s="26"/>
      <c r="E78" s="26"/>
      <c r="F78" s="25"/>
      <c r="G78" s="25"/>
      <c r="H78" s="31" t="str">
        <f aca="true">IF(D78="","",IF(G78&lt;&gt;"","Cerrado",IF(AND(F78&lt;&gt;"",F78&lt;TODAY()),"Vencido","Abierto")))</f>
        <v/>
      </c>
      <c r="I78" s="21" t="n">
        <f aca="true">IF(AND(D78&lt;&gt;"",G78="",F78&lt;&gt;"",F78&lt;TODAY()),TODAY()-F78,0)</f>
        <v>0</v>
      </c>
      <c r="J78" s="26"/>
    </row>
    <row r="79" customFormat="false" ht="15" hidden="false" customHeight="false" outlineLevel="0" collapsed="false">
      <c r="A79" s="26"/>
      <c r="B79" s="25"/>
      <c r="C79" s="26"/>
      <c r="D79" s="26"/>
      <c r="E79" s="26"/>
      <c r="F79" s="25"/>
      <c r="G79" s="25"/>
      <c r="H79" s="31" t="str">
        <f aca="true">IF(D79="","",IF(G79&lt;&gt;"","Cerrado",IF(AND(F79&lt;&gt;"",F79&lt;TODAY()),"Vencido","Abierto")))</f>
        <v/>
      </c>
      <c r="I79" s="21" t="n">
        <f aca="true">IF(AND(D79&lt;&gt;"",G79="",F79&lt;&gt;"",F79&lt;TODAY()),TODAY()-F79,0)</f>
        <v>0</v>
      </c>
      <c r="J79" s="26"/>
    </row>
    <row r="80" customFormat="false" ht="15" hidden="false" customHeight="false" outlineLevel="0" collapsed="false">
      <c r="A80" s="26"/>
      <c r="B80" s="25"/>
      <c r="C80" s="26"/>
      <c r="D80" s="26"/>
      <c r="E80" s="26"/>
      <c r="F80" s="25"/>
      <c r="G80" s="25"/>
      <c r="H80" s="31" t="str">
        <f aca="true">IF(D80="","",IF(G80&lt;&gt;"","Cerrado",IF(AND(F80&lt;&gt;"",F80&lt;TODAY()),"Vencido","Abierto")))</f>
        <v/>
      </c>
      <c r="I80" s="21" t="n">
        <f aca="true">IF(AND(D80&lt;&gt;"",G80="",F80&lt;&gt;"",F80&lt;TODAY()),TODAY()-F80,0)</f>
        <v>0</v>
      </c>
      <c r="J80" s="26"/>
    </row>
    <row r="81" customFormat="false" ht="15" hidden="false" customHeight="false" outlineLevel="0" collapsed="false">
      <c r="A81" s="26"/>
      <c r="B81" s="25"/>
      <c r="C81" s="26"/>
      <c r="D81" s="26"/>
      <c r="E81" s="26"/>
      <c r="F81" s="25"/>
      <c r="G81" s="25"/>
      <c r="H81" s="31" t="str">
        <f aca="true">IF(D81="","",IF(G81&lt;&gt;"","Cerrado",IF(AND(F81&lt;&gt;"",F81&lt;TODAY()),"Vencido","Abierto")))</f>
        <v/>
      </c>
      <c r="I81" s="21" t="n">
        <f aca="true">IF(AND(D81&lt;&gt;"",G81="",F81&lt;&gt;"",F81&lt;TODAY()),TODAY()-F81,0)</f>
        <v>0</v>
      </c>
      <c r="J81" s="26"/>
    </row>
    <row r="82" customFormat="false" ht="15" hidden="false" customHeight="false" outlineLevel="0" collapsed="false">
      <c r="A82" s="26"/>
      <c r="B82" s="25"/>
      <c r="C82" s="26"/>
      <c r="D82" s="26"/>
      <c r="E82" s="26"/>
      <c r="F82" s="25"/>
      <c r="G82" s="25"/>
      <c r="H82" s="31" t="str">
        <f aca="true">IF(D82="","",IF(G82&lt;&gt;"","Cerrado",IF(AND(F82&lt;&gt;"",F82&lt;TODAY()),"Vencido","Abierto")))</f>
        <v/>
      </c>
      <c r="I82" s="21" t="n">
        <f aca="true">IF(AND(D82&lt;&gt;"",G82="",F82&lt;&gt;"",F82&lt;TODAY()),TODAY()-F82,0)</f>
        <v>0</v>
      </c>
      <c r="J82" s="26"/>
    </row>
    <row r="83" customFormat="false" ht="15" hidden="false" customHeight="false" outlineLevel="0" collapsed="false">
      <c r="A83" s="26"/>
      <c r="B83" s="25"/>
      <c r="C83" s="26"/>
      <c r="D83" s="26"/>
      <c r="E83" s="26"/>
      <c r="F83" s="25"/>
      <c r="G83" s="25"/>
      <c r="H83" s="31" t="str">
        <f aca="true">IF(D83="","",IF(G83&lt;&gt;"","Cerrado",IF(AND(F83&lt;&gt;"",F83&lt;TODAY()),"Vencido","Abierto")))</f>
        <v/>
      </c>
      <c r="I83" s="21" t="n">
        <f aca="true">IF(AND(D83&lt;&gt;"",G83="",F83&lt;&gt;"",F83&lt;TODAY()),TODAY()-F83,0)</f>
        <v>0</v>
      </c>
      <c r="J83" s="26"/>
    </row>
    <row r="84" customFormat="false" ht="15" hidden="false" customHeight="false" outlineLevel="0" collapsed="false">
      <c r="A84" s="26"/>
      <c r="B84" s="25"/>
      <c r="C84" s="26"/>
      <c r="D84" s="26"/>
      <c r="E84" s="26"/>
      <c r="F84" s="25"/>
      <c r="G84" s="25"/>
      <c r="H84" s="31" t="str">
        <f aca="true">IF(D84="","",IF(G84&lt;&gt;"","Cerrado",IF(AND(F84&lt;&gt;"",F84&lt;TODAY()),"Vencido","Abierto")))</f>
        <v/>
      </c>
      <c r="I84" s="21" t="n">
        <f aca="true">IF(AND(D84&lt;&gt;"",G84="",F84&lt;&gt;"",F84&lt;TODAY()),TODAY()-F84,0)</f>
        <v>0</v>
      </c>
      <c r="J84" s="26"/>
    </row>
    <row r="85" customFormat="false" ht="15" hidden="false" customHeight="false" outlineLevel="0" collapsed="false">
      <c r="A85" s="26"/>
      <c r="B85" s="25"/>
      <c r="C85" s="26"/>
      <c r="D85" s="26"/>
      <c r="E85" s="26"/>
      <c r="F85" s="25"/>
      <c r="G85" s="25"/>
      <c r="H85" s="31" t="str">
        <f aca="true">IF(D85="","",IF(G85&lt;&gt;"","Cerrado",IF(AND(F85&lt;&gt;"",F85&lt;TODAY()),"Vencido","Abierto")))</f>
        <v/>
      </c>
      <c r="I85" s="21" t="n">
        <f aca="true">IF(AND(D85&lt;&gt;"",G85="",F85&lt;&gt;"",F85&lt;TODAY()),TODAY()-F85,0)</f>
        <v>0</v>
      </c>
      <c r="J85" s="26"/>
    </row>
    <row r="86" customFormat="false" ht="15" hidden="false" customHeight="false" outlineLevel="0" collapsed="false">
      <c r="A86" s="26"/>
      <c r="B86" s="25"/>
      <c r="C86" s="26"/>
      <c r="D86" s="26"/>
      <c r="E86" s="26"/>
      <c r="F86" s="25"/>
      <c r="G86" s="25"/>
      <c r="H86" s="31" t="str">
        <f aca="true">IF(D86="","",IF(G86&lt;&gt;"","Cerrado",IF(AND(F86&lt;&gt;"",F86&lt;TODAY()),"Vencido","Abierto")))</f>
        <v/>
      </c>
      <c r="I86" s="21" t="n">
        <f aca="true">IF(AND(D86&lt;&gt;"",G86="",F86&lt;&gt;"",F86&lt;TODAY()),TODAY()-F86,0)</f>
        <v>0</v>
      </c>
      <c r="J86" s="26"/>
    </row>
    <row r="87" customFormat="false" ht="15" hidden="false" customHeight="false" outlineLevel="0" collapsed="false">
      <c r="A87" s="26"/>
      <c r="B87" s="25"/>
      <c r="C87" s="26"/>
      <c r="D87" s="26"/>
      <c r="E87" s="26"/>
      <c r="F87" s="25"/>
      <c r="G87" s="25"/>
      <c r="H87" s="31" t="str">
        <f aca="true">IF(D87="","",IF(G87&lt;&gt;"","Cerrado",IF(AND(F87&lt;&gt;"",F87&lt;TODAY()),"Vencido","Abierto")))</f>
        <v/>
      </c>
      <c r="I87" s="21" t="n">
        <f aca="true">IF(AND(D87&lt;&gt;"",G87="",F87&lt;&gt;"",F87&lt;TODAY()),TODAY()-F87,0)</f>
        <v>0</v>
      </c>
      <c r="J87" s="26"/>
    </row>
    <row r="88" customFormat="false" ht="15" hidden="false" customHeight="false" outlineLevel="0" collapsed="false">
      <c r="A88" s="26"/>
      <c r="B88" s="25"/>
      <c r="C88" s="26"/>
      <c r="D88" s="26"/>
      <c r="E88" s="26"/>
      <c r="F88" s="25"/>
      <c r="G88" s="25"/>
      <c r="H88" s="31" t="str">
        <f aca="true">IF(D88="","",IF(G88&lt;&gt;"","Cerrado",IF(AND(F88&lt;&gt;"",F88&lt;TODAY()),"Vencido","Abierto")))</f>
        <v/>
      </c>
      <c r="I88" s="21" t="n">
        <f aca="true">IF(AND(D88&lt;&gt;"",G88="",F88&lt;&gt;"",F88&lt;TODAY()),TODAY()-F88,0)</f>
        <v>0</v>
      </c>
      <c r="J88" s="26"/>
    </row>
    <row r="89" customFormat="false" ht="15" hidden="false" customHeight="false" outlineLevel="0" collapsed="false">
      <c r="A89" s="26"/>
      <c r="B89" s="25"/>
      <c r="C89" s="26"/>
      <c r="D89" s="26"/>
      <c r="E89" s="26"/>
      <c r="F89" s="25"/>
      <c r="G89" s="25"/>
      <c r="H89" s="31" t="str">
        <f aca="true">IF(D89="","",IF(G89&lt;&gt;"","Cerrado",IF(AND(F89&lt;&gt;"",F89&lt;TODAY()),"Vencido","Abierto")))</f>
        <v/>
      </c>
      <c r="I89" s="21" t="n">
        <f aca="true">IF(AND(D89&lt;&gt;"",G89="",F89&lt;&gt;"",F89&lt;TODAY()),TODAY()-F89,0)</f>
        <v>0</v>
      </c>
      <c r="J89" s="26"/>
    </row>
    <row r="90" customFormat="false" ht="15" hidden="false" customHeight="false" outlineLevel="0" collapsed="false">
      <c r="A90" s="26"/>
      <c r="B90" s="25"/>
      <c r="C90" s="26"/>
      <c r="D90" s="26"/>
      <c r="E90" s="26"/>
      <c r="F90" s="25"/>
      <c r="G90" s="25"/>
      <c r="H90" s="31" t="str">
        <f aca="true">IF(D90="","",IF(G90&lt;&gt;"","Cerrado",IF(AND(F90&lt;&gt;"",F90&lt;TODAY()),"Vencido","Abierto")))</f>
        <v/>
      </c>
      <c r="I90" s="21" t="n">
        <f aca="true">IF(AND(D90&lt;&gt;"",G90="",F90&lt;&gt;"",F90&lt;TODAY()),TODAY()-F90,0)</f>
        <v>0</v>
      </c>
      <c r="J90" s="26"/>
    </row>
    <row r="91" customFormat="false" ht="15" hidden="false" customHeight="false" outlineLevel="0" collapsed="false">
      <c r="A91" s="26"/>
      <c r="B91" s="25"/>
      <c r="C91" s="26"/>
      <c r="D91" s="26"/>
      <c r="E91" s="26"/>
      <c r="F91" s="25"/>
      <c r="G91" s="25"/>
      <c r="H91" s="31" t="str">
        <f aca="true">IF(D91="","",IF(G91&lt;&gt;"","Cerrado",IF(AND(F91&lt;&gt;"",F91&lt;TODAY()),"Vencido","Abierto")))</f>
        <v/>
      </c>
      <c r="I91" s="21" t="n">
        <f aca="true">IF(AND(D91&lt;&gt;"",G91="",F91&lt;&gt;"",F91&lt;TODAY()),TODAY()-F91,0)</f>
        <v>0</v>
      </c>
      <c r="J91" s="26"/>
    </row>
    <row r="92" customFormat="false" ht="15" hidden="false" customHeight="false" outlineLevel="0" collapsed="false">
      <c r="A92" s="26"/>
      <c r="B92" s="25"/>
      <c r="C92" s="26"/>
      <c r="D92" s="26"/>
      <c r="E92" s="26"/>
      <c r="F92" s="25"/>
      <c r="G92" s="25"/>
      <c r="H92" s="31" t="str">
        <f aca="true">IF(D92="","",IF(G92&lt;&gt;"","Cerrado",IF(AND(F92&lt;&gt;"",F92&lt;TODAY()),"Vencido","Abierto")))</f>
        <v/>
      </c>
      <c r="I92" s="21" t="n">
        <f aca="true">IF(AND(D92&lt;&gt;"",G92="",F92&lt;&gt;"",F92&lt;TODAY()),TODAY()-F92,0)</f>
        <v>0</v>
      </c>
      <c r="J92" s="26"/>
    </row>
    <row r="93" customFormat="false" ht="15" hidden="false" customHeight="false" outlineLevel="0" collapsed="false">
      <c r="A93" s="26"/>
      <c r="B93" s="25"/>
      <c r="C93" s="26"/>
      <c r="D93" s="26"/>
      <c r="E93" s="26"/>
      <c r="F93" s="25"/>
      <c r="G93" s="25"/>
      <c r="H93" s="31" t="str">
        <f aca="true">IF(D93="","",IF(G93&lt;&gt;"","Cerrado",IF(AND(F93&lt;&gt;"",F93&lt;TODAY()),"Vencido","Abierto")))</f>
        <v/>
      </c>
      <c r="I93" s="21" t="n">
        <f aca="true">IF(AND(D93&lt;&gt;"",G93="",F93&lt;&gt;"",F93&lt;TODAY()),TODAY()-F93,0)</f>
        <v>0</v>
      </c>
      <c r="J93" s="26"/>
    </row>
    <row r="94" customFormat="false" ht="15" hidden="false" customHeight="false" outlineLevel="0" collapsed="false">
      <c r="A94" s="26"/>
      <c r="B94" s="25"/>
      <c r="C94" s="26"/>
      <c r="D94" s="26"/>
      <c r="E94" s="26"/>
      <c r="F94" s="25"/>
      <c r="G94" s="25"/>
      <c r="H94" s="31" t="str">
        <f aca="true">IF(D94="","",IF(G94&lt;&gt;"","Cerrado",IF(AND(F94&lt;&gt;"",F94&lt;TODAY()),"Vencido","Abierto")))</f>
        <v/>
      </c>
      <c r="I94" s="21" t="n">
        <f aca="true">IF(AND(D94&lt;&gt;"",G94="",F94&lt;&gt;"",F94&lt;TODAY()),TODAY()-F94,0)</f>
        <v>0</v>
      </c>
      <c r="J94" s="26"/>
    </row>
    <row r="95" customFormat="false" ht="15" hidden="false" customHeight="false" outlineLevel="0" collapsed="false">
      <c r="A95" s="26"/>
      <c r="B95" s="25"/>
      <c r="C95" s="26"/>
      <c r="D95" s="26"/>
      <c r="E95" s="26"/>
      <c r="F95" s="25"/>
      <c r="G95" s="25"/>
      <c r="H95" s="31" t="str">
        <f aca="true">IF(D95="","",IF(G95&lt;&gt;"","Cerrado",IF(AND(F95&lt;&gt;"",F95&lt;TODAY()),"Vencido","Abierto")))</f>
        <v/>
      </c>
      <c r="I95" s="21" t="n">
        <f aca="true">IF(AND(D95&lt;&gt;"",G95="",F95&lt;&gt;"",F95&lt;TODAY()),TODAY()-F95,0)</f>
        <v>0</v>
      </c>
      <c r="J95" s="26"/>
    </row>
    <row r="96" customFormat="false" ht="15" hidden="false" customHeight="false" outlineLevel="0" collapsed="false">
      <c r="A96" s="26"/>
      <c r="B96" s="25"/>
      <c r="C96" s="26"/>
      <c r="D96" s="26"/>
      <c r="E96" s="26"/>
      <c r="F96" s="25"/>
      <c r="G96" s="25"/>
      <c r="H96" s="31" t="str">
        <f aca="true">IF(D96="","",IF(G96&lt;&gt;"","Cerrado",IF(AND(F96&lt;&gt;"",F96&lt;TODAY()),"Vencido","Abierto")))</f>
        <v/>
      </c>
      <c r="I96" s="21" t="n">
        <f aca="true">IF(AND(D96&lt;&gt;"",G96="",F96&lt;&gt;"",F96&lt;TODAY()),TODAY()-F96,0)</f>
        <v>0</v>
      </c>
      <c r="J96" s="26"/>
    </row>
    <row r="97" customFormat="false" ht="15" hidden="false" customHeight="false" outlineLevel="0" collapsed="false">
      <c r="A97" s="26"/>
      <c r="B97" s="25"/>
      <c r="C97" s="26"/>
      <c r="D97" s="26"/>
      <c r="E97" s="26"/>
      <c r="F97" s="25"/>
      <c r="G97" s="25"/>
      <c r="H97" s="31" t="str">
        <f aca="true">IF(D97="","",IF(G97&lt;&gt;"","Cerrado",IF(AND(F97&lt;&gt;"",F97&lt;TODAY()),"Vencido","Abierto")))</f>
        <v/>
      </c>
      <c r="I97" s="21" t="n">
        <f aca="true">IF(AND(D97&lt;&gt;"",G97="",F97&lt;&gt;"",F97&lt;TODAY()),TODAY()-F97,0)</f>
        <v>0</v>
      </c>
      <c r="J97" s="26"/>
    </row>
    <row r="98" customFormat="false" ht="15" hidden="false" customHeight="false" outlineLevel="0" collapsed="false">
      <c r="A98" s="26"/>
      <c r="B98" s="25"/>
      <c r="C98" s="26"/>
      <c r="D98" s="26"/>
      <c r="E98" s="26"/>
      <c r="F98" s="25"/>
      <c r="G98" s="25"/>
      <c r="H98" s="31" t="str">
        <f aca="true">IF(D98="","",IF(G98&lt;&gt;"","Cerrado",IF(AND(F98&lt;&gt;"",F98&lt;TODAY()),"Vencido","Abierto")))</f>
        <v/>
      </c>
      <c r="I98" s="21" t="n">
        <f aca="true">IF(AND(D98&lt;&gt;"",G98="",F98&lt;&gt;"",F98&lt;TODAY()),TODAY()-F98,0)</f>
        <v>0</v>
      </c>
      <c r="J98" s="26"/>
    </row>
    <row r="99" customFormat="false" ht="15" hidden="false" customHeight="false" outlineLevel="0" collapsed="false">
      <c r="A99" s="26"/>
      <c r="B99" s="25"/>
      <c r="C99" s="26"/>
      <c r="D99" s="26"/>
      <c r="E99" s="26"/>
      <c r="F99" s="25"/>
      <c r="G99" s="25"/>
      <c r="H99" s="31" t="str">
        <f aca="true">IF(D99="","",IF(G99&lt;&gt;"","Cerrado",IF(AND(F99&lt;&gt;"",F99&lt;TODAY()),"Vencido","Abierto")))</f>
        <v/>
      </c>
      <c r="I99" s="21" t="n">
        <f aca="true">IF(AND(D99&lt;&gt;"",G99="",F99&lt;&gt;"",F99&lt;TODAY()),TODAY()-F99,0)</f>
        <v>0</v>
      </c>
      <c r="J99" s="26"/>
    </row>
    <row r="100" customFormat="false" ht="15" hidden="false" customHeight="false" outlineLevel="0" collapsed="false">
      <c r="A100" s="26"/>
      <c r="B100" s="25"/>
      <c r="C100" s="26"/>
      <c r="D100" s="26"/>
      <c r="E100" s="26"/>
      <c r="F100" s="25"/>
      <c r="G100" s="25"/>
      <c r="H100" s="31" t="str">
        <f aca="true">IF(D100="","",IF(G100&lt;&gt;"","Cerrado",IF(AND(F100&lt;&gt;"",F100&lt;TODAY()),"Vencido","Abierto")))</f>
        <v/>
      </c>
      <c r="I100" s="21" t="n">
        <f aca="true">IF(AND(D100&lt;&gt;"",G100="",F100&lt;&gt;"",F100&lt;TODAY()),TODAY()-F100,0)</f>
        <v>0</v>
      </c>
      <c r="J100" s="26"/>
    </row>
    <row r="101" customFormat="false" ht="15" hidden="false" customHeight="false" outlineLevel="0" collapsed="false">
      <c r="A101" s="26"/>
      <c r="B101" s="25"/>
      <c r="C101" s="26"/>
      <c r="D101" s="26"/>
      <c r="E101" s="26"/>
      <c r="F101" s="25"/>
      <c r="G101" s="25"/>
      <c r="H101" s="31" t="str">
        <f aca="true">IF(D101="","",IF(G101&lt;&gt;"","Cerrado",IF(AND(F101&lt;&gt;"",F101&lt;TODAY()),"Vencido","Abierto")))</f>
        <v/>
      </c>
      <c r="I101" s="21" t="n">
        <f aca="true">IF(AND(D101&lt;&gt;"",G101="",F101&lt;&gt;"",F101&lt;TODAY()),TODAY()-F101,0)</f>
        <v>0</v>
      </c>
      <c r="J101" s="26"/>
    </row>
    <row r="102" customFormat="false" ht="15" hidden="false" customHeight="false" outlineLevel="0" collapsed="false">
      <c r="A102" s="26"/>
      <c r="B102" s="25"/>
      <c r="C102" s="26"/>
      <c r="D102" s="26"/>
      <c r="E102" s="26"/>
      <c r="F102" s="25"/>
      <c r="G102" s="25"/>
      <c r="H102" s="31" t="str">
        <f aca="true">IF(D102="","",IF(G102&lt;&gt;"","Cerrado",IF(AND(F102&lt;&gt;"",F102&lt;TODAY()),"Vencido","Abierto")))</f>
        <v/>
      </c>
      <c r="I102" s="21" t="n">
        <f aca="true">IF(AND(D102&lt;&gt;"",G102="",F102&lt;&gt;"",F102&lt;TODAY()),TODAY()-F102,0)</f>
        <v>0</v>
      </c>
      <c r="J102" s="26"/>
    </row>
    <row r="103" customFormat="false" ht="15" hidden="false" customHeight="false" outlineLevel="0" collapsed="false">
      <c r="A103" s="26"/>
      <c r="B103" s="25"/>
      <c r="C103" s="26"/>
      <c r="D103" s="26"/>
      <c r="E103" s="26"/>
      <c r="F103" s="25"/>
      <c r="G103" s="25"/>
      <c r="H103" s="31" t="str">
        <f aca="true">IF(D103="","",IF(G103&lt;&gt;"","Cerrado",IF(AND(F103&lt;&gt;"",F103&lt;TODAY()),"Vencido","Abierto")))</f>
        <v/>
      </c>
      <c r="I103" s="21" t="n">
        <f aca="true">IF(AND(D103&lt;&gt;"",G103="",F103&lt;&gt;"",F103&lt;TODAY()),TODAY()-F103,0)</f>
        <v>0</v>
      </c>
      <c r="J103" s="26"/>
    </row>
    <row r="104" customFormat="false" ht="15" hidden="false" customHeight="false" outlineLevel="0" collapsed="false">
      <c r="A104" s="26"/>
      <c r="B104" s="25"/>
      <c r="C104" s="26"/>
      <c r="D104" s="26"/>
      <c r="E104" s="26"/>
      <c r="F104" s="25"/>
      <c r="G104" s="25"/>
      <c r="H104" s="31" t="str">
        <f aca="true">IF(D104="","",IF(G104&lt;&gt;"","Cerrado",IF(AND(F104&lt;&gt;"",F104&lt;TODAY()),"Vencido","Abierto")))</f>
        <v/>
      </c>
      <c r="I104" s="21" t="n">
        <f aca="true">IF(AND(D104&lt;&gt;"",G104="",F104&lt;&gt;"",F104&lt;TODAY()),TODAY()-F104,0)</f>
        <v>0</v>
      </c>
      <c r="J104" s="26"/>
    </row>
    <row r="105" customFormat="false" ht="15" hidden="false" customHeight="false" outlineLevel="0" collapsed="false">
      <c r="A105" s="26"/>
      <c r="B105" s="25"/>
      <c r="C105" s="26"/>
      <c r="D105" s="26"/>
      <c r="E105" s="26"/>
      <c r="F105" s="25"/>
      <c r="G105" s="25"/>
      <c r="H105" s="31" t="str">
        <f aca="true">IF(D105="","",IF(G105&lt;&gt;"","Cerrado",IF(AND(F105&lt;&gt;"",F105&lt;TODAY()),"Vencido","Abierto")))</f>
        <v/>
      </c>
      <c r="I105" s="21" t="n">
        <f aca="true">IF(AND(D105&lt;&gt;"",G105="",F105&lt;&gt;"",F105&lt;TODAY()),TODAY()-F105,0)</f>
        <v>0</v>
      </c>
      <c r="J105" s="26"/>
    </row>
    <row r="106" customFormat="false" ht="15" hidden="false" customHeight="false" outlineLevel="0" collapsed="false">
      <c r="A106" s="26"/>
      <c r="B106" s="25"/>
      <c r="C106" s="26"/>
      <c r="D106" s="26"/>
      <c r="E106" s="26"/>
      <c r="F106" s="25"/>
      <c r="G106" s="25"/>
      <c r="H106" s="31" t="str">
        <f aca="true">IF(D106="","",IF(G106&lt;&gt;"","Cerrado",IF(AND(F106&lt;&gt;"",F106&lt;TODAY()),"Vencido","Abierto")))</f>
        <v/>
      </c>
      <c r="I106" s="21" t="n">
        <f aca="true">IF(AND(D106&lt;&gt;"",G106="",F106&lt;&gt;"",F106&lt;TODAY()),TODAY()-F106,0)</f>
        <v>0</v>
      </c>
      <c r="J106" s="26"/>
    </row>
    <row r="107" customFormat="false" ht="15" hidden="false" customHeight="false" outlineLevel="0" collapsed="false">
      <c r="A107" s="26"/>
      <c r="B107" s="25"/>
      <c r="C107" s="26"/>
      <c r="D107" s="26"/>
      <c r="E107" s="26"/>
      <c r="F107" s="25"/>
      <c r="G107" s="25"/>
      <c r="H107" s="31" t="str">
        <f aca="true">IF(D107="","",IF(G107&lt;&gt;"","Cerrado",IF(AND(F107&lt;&gt;"",F107&lt;TODAY()),"Vencido","Abierto")))</f>
        <v/>
      </c>
      <c r="I107" s="21" t="n">
        <f aca="true">IF(AND(D107&lt;&gt;"",G107="",F107&lt;&gt;"",F107&lt;TODAY()),TODAY()-F107,0)</f>
        <v>0</v>
      </c>
      <c r="J107" s="26"/>
    </row>
    <row r="108" customFormat="false" ht="15" hidden="false" customHeight="false" outlineLevel="0" collapsed="false">
      <c r="A108" s="26"/>
      <c r="B108" s="25"/>
      <c r="C108" s="26"/>
      <c r="D108" s="26"/>
      <c r="E108" s="26"/>
      <c r="F108" s="25"/>
      <c r="G108" s="25"/>
      <c r="H108" s="31" t="str">
        <f aca="true">IF(D108="","",IF(G108&lt;&gt;"","Cerrado",IF(AND(F108&lt;&gt;"",F108&lt;TODAY()),"Vencido","Abierto")))</f>
        <v/>
      </c>
      <c r="I108" s="21" t="n">
        <f aca="true">IF(AND(D108&lt;&gt;"",G108="",F108&lt;&gt;"",F108&lt;TODAY()),TODAY()-F108,0)</f>
        <v>0</v>
      </c>
      <c r="J108" s="26"/>
    </row>
    <row r="109" customFormat="false" ht="15" hidden="false" customHeight="false" outlineLevel="0" collapsed="false">
      <c r="A109" s="26"/>
      <c r="B109" s="25"/>
      <c r="C109" s="26"/>
      <c r="D109" s="26"/>
      <c r="E109" s="26"/>
      <c r="F109" s="25"/>
      <c r="G109" s="25"/>
      <c r="H109" s="31" t="str">
        <f aca="true">IF(D109="","",IF(G109&lt;&gt;"","Cerrado",IF(AND(F109&lt;&gt;"",F109&lt;TODAY()),"Vencido","Abierto")))</f>
        <v/>
      </c>
      <c r="I109" s="21" t="n">
        <f aca="true">IF(AND(D109&lt;&gt;"",G109="",F109&lt;&gt;"",F109&lt;TODAY()),TODAY()-F109,0)</f>
        <v>0</v>
      </c>
      <c r="J109" s="26"/>
    </row>
    <row r="110" customFormat="false" ht="15" hidden="false" customHeight="false" outlineLevel="0" collapsed="false">
      <c r="A110" s="26"/>
      <c r="B110" s="25"/>
      <c r="C110" s="26"/>
      <c r="D110" s="26"/>
      <c r="E110" s="26"/>
      <c r="F110" s="25"/>
      <c r="G110" s="25"/>
      <c r="H110" s="31" t="str">
        <f aca="true">IF(D110="","",IF(G110&lt;&gt;"","Cerrado",IF(AND(F110&lt;&gt;"",F110&lt;TODAY()),"Vencido","Abierto")))</f>
        <v/>
      </c>
      <c r="I110" s="21" t="n">
        <f aca="true">IF(AND(D110&lt;&gt;"",G110="",F110&lt;&gt;"",F110&lt;TODAY()),TODAY()-F110,0)</f>
        <v>0</v>
      </c>
      <c r="J110" s="26"/>
    </row>
    <row r="111" customFormat="false" ht="15" hidden="false" customHeight="false" outlineLevel="0" collapsed="false">
      <c r="A111" s="26"/>
      <c r="B111" s="25"/>
      <c r="C111" s="26"/>
      <c r="D111" s="26"/>
      <c r="E111" s="26"/>
      <c r="F111" s="25"/>
      <c r="G111" s="25"/>
      <c r="H111" s="31" t="str">
        <f aca="true">IF(D111="","",IF(G111&lt;&gt;"","Cerrado",IF(AND(F111&lt;&gt;"",F111&lt;TODAY()),"Vencido","Abierto")))</f>
        <v/>
      </c>
      <c r="I111" s="21" t="n">
        <f aca="true">IF(AND(D111&lt;&gt;"",G111="",F111&lt;&gt;"",F111&lt;TODAY()),TODAY()-F111,0)</f>
        <v>0</v>
      </c>
      <c r="J111" s="26"/>
    </row>
    <row r="112" customFormat="false" ht="15" hidden="false" customHeight="false" outlineLevel="0" collapsed="false">
      <c r="A112" s="26"/>
      <c r="B112" s="25"/>
      <c r="C112" s="26"/>
      <c r="D112" s="26"/>
      <c r="E112" s="26"/>
      <c r="F112" s="25"/>
      <c r="G112" s="25"/>
      <c r="H112" s="31" t="str">
        <f aca="true">IF(D112="","",IF(G112&lt;&gt;"","Cerrado",IF(AND(F112&lt;&gt;"",F112&lt;TODAY()),"Vencido","Abierto")))</f>
        <v/>
      </c>
      <c r="I112" s="21" t="n">
        <f aca="true">IF(AND(D112&lt;&gt;"",G112="",F112&lt;&gt;"",F112&lt;TODAY()),TODAY()-F112,0)</f>
        <v>0</v>
      </c>
      <c r="J112" s="26"/>
    </row>
    <row r="113" customFormat="false" ht="15" hidden="false" customHeight="false" outlineLevel="0" collapsed="false">
      <c r="A113" s="26"/>
      <c r="B113" s="25"/>
      <c r="C113" s="26"/>
      <c r="D113" s="26"/>
      <c r="E113" s="26"/>
      <c r="F113" s="25"/>
      <c r="G113" s="25"/>
      <c r="H113" s="31" t="str">
        <f aca="true">IF(D113="","",IF(G113&lt;&gt;"","Cerrado",IF(AND(F113&lt;&gt;"",F113&lt;TODAY()),"Vencido","Abierto")))</f>
        <v/>
      </c>
      <c r="I113" s="21" t="n">
        <f aca="true">IF(AND(D113&lt;&gt;"",G113="",F113&lt;&gt;"",F113&lt;TODAY()),TODAY()-F113,0)</f>
        <v>0</v>
      </c>
      <c r="J113" s="26"/>
    </row>
    <row r="114" customFormat="false" ht="15" hidden="false" customHeight="false" outlineLevel="0" collapsed="false">
      <c r="A114" s="26"/>
      <c r="B114" s="25"/>
      <c r="C114" s="26"/>
      <c r="D114" s="26"/>
      <c r="E114" s="26"/>
      <c r="F114" s="25"/>
      <c r="G114" s="25"/>
      <c r="H114" s="31" t="str">
        <f aca="true">IF(D114="","",IF(G114&lt;&gt;"","Cerrado",IF(AND(F114&lt;&gt;"",F114&lt;TODAY()),"Vencido","Abierto")))</f>
        <v/>
      </c>
      <c r="I114" s="21" t="n">
        <f aca="true">IF(AND(D114&lt;&gt;"",G114="",F114&lt;&gt;"",F114&lt;TODAY()),TODAY()-F114,0)</f>
        <v>0</v>
      </c>
      <c r="J114" s="26"/>
    </row>
    <row r="115" customFormat="false" ht="15" hidden="false" customHeight="false" outlineLevel="0" collapsed="false">
      <c r="A115" s="26"/>
      <c r="B115" s="25"/>
      <c r="C115" s="26"/>
      <c r="D115" s="26"/>
      <c r="E115" s="26"/>
      <c r="F115" s="25"/>
      <c r="G115" s="25"/>
      <c r="H115" s="31" t="str">
        <f aca="true">IF(D115="","",IF(G115&lt;&gt;"","Cerrado",IF(AND(F115&lt;&gt;"",F115&lt;TODAY()),"Vencido","Abierto")))</f>
        <v/>
      </c>
      <c r="I115" s="21" t="n">
        <f aca="true">IF(AND(D115&lt;&gt;"",G115="",F115&lt;&gt;"",F115&lt;TODAY()),TODAY()-F115,0)</f>
        <v>0</v>
      </c>
      <c r="J115" s="26"/>
    </row>
    <row r="116" customFormat="false" ht="15" hidden="false" customHeight="false" outlineLevel="0" collapsed="false">
      <c r="A116" s="26"/>
      <c r="B116" s="25"/>
      <c r="C116" s="26"/>
      <c r="D116" s="26"/>
      <c r="E116" s="26"/>
      <c r="F116" s="25"/>
      <c r="G116" s="25"/>
      <c r="H116" s="31" t="str">
        <f aca="true">IF(D116="","",IF(G116&lt;&gt;"","Cerrado",IF(AND(F116&lt;&gt;"",F116&lt;TODAY()),"Vencido","Abierto")))</f>
        <v/>
      </c>
      <c r="I116" s="21" t="n">
        <f aca="true">IF(AND(D116&lt;&gt;"",G116="",F116&lt;&gt;"",F116&lt;TODAY()),TODAY()-F116,0)</f>
        <v>0</v>
      </c>
      <c r="J116" s="26"/>
    </row>
    <row r="117" customFormat="false" ht="15" hidden="false" customHeight="false" outlineLevel="0" collapsed="false">
      <c r="A117" s="26"/>
      <c r="B117" s="25"/>
      <c r="C117" s="26"/>
      <c r="D117" s="26"/>
      <c r="E117" s="26"/>
      <c r="F117" s="25"/>
      <c r="G117" s="25"/>
      <c r="H117" s="31" t="str">
        <f aca="true">IF(D117="","",IF(G117&lt;&gt;"","Cerrado",IF(AND(F117&lt;&gt;"",F117&lt;TODAY()),"Vencido","Abierto")))</f>
        <v/>
      </c>
      <c r="I117" s="21" t="n">
        <f aca="true">IF(AND(D117&lt;&gt;"",G117="",F117&lt;&gt;"",F117&lt;TODAY()),TODAY()-F117,0)</f>
        <v>0</v>
      </c>
      <c r="J117" s="26"/>
    </row>
    <row r="118" customFormat="false" ht="15" hidden="false" customHeight="false" outlineLevel="0" collapsed="false">
      <c r="A118" s="26"/>
      <c r="B118" s="25"/>
      <c r="C118" s="26"/>
      <c r="D118" s="26"/>
      <c r="E118" s="26"/>
      <c r="F118" s="25"/>
      <c r="G118" s="25"/>
      <c r="H118" s="31" t="str">
        <f aca="true">IF(D118="","",IF(G118&lt;&gt;"","Cerrado",IF(AND(F118&lt;&gt;"",F118&lt;TODAY()),"Vencido","Abierto")))</f>
        <v/>
      </c>
      <c r="I118" s="21" t="n">
        <f aca="true">IF(AND(D118&lt;&gt;"",G118="",F118&lt;&gt;"",F118&lt;TODAY()),TODAY()-F118,0)</f>
        <v>0</v>
      </c>
      <c r="J118" s="26"/>
    </row>
    <row r="119" customFormat="false" ht="15" hidden="false" customHeight="false" outlineLevel="0" collapsed="false">
      <c r="A119" s="26"/>
      <c r="B119" s="25"/>
      <c r="C119" s="26"/>
      <c r="D119" s="26"/>
      <c r="E119" s="26"/>
      <c r="F119" s="25"/>
      <c r="G119" s="25"/>
      <c r="H119" s="31" t="str">
        <f aca="true">IF(D119="","",IF(G119&lt;&gt;"","Cerrado",IF(AND(F119&lt;&gt;"",F119&lt;TODAY()),"Vencido","Abierto")))</f>
        <v/>
      </c>
      <c r="I119" s="21" t="n">
        <f aca="true">IF(AND(D119&lt;&gt;"",G119="",F119&lt;&gt;"",F119&lt;TODAY()),TODAY()-F119,0)</f>
        <v>0</v>
      </c>
      <c r="J119" s="26"/>
    </row>
    <row r="120" customFormat="false" ht="15" hidden="false" customHeight="false" outlineLevel="0" collapsed="false">
      <c r="A120" s="26"/>
      <c r="B120" s="25"/>
      <c r="C120" s="26"/>
      <c r="D120" s="26"/>
      <c r="E120" s="26"/>
      <c r="F120" s="25"/>
      <c r="G120" s="25"/>
      <c r="H120" s="31" t="str">
        <f aca="true">IF(D120="","",IF(G120&lt;&gt;"","Cerrado",IF(AND(F120&lt;&gt;"",F120&lt;TODAY()),"Vencido","Abierto")))</f>
        <v/>
      </c>
      <c r="I120" s="21" t="n">
        <f aca="true">IF(AND(D120&lt;&gt;"",G120="",F120&lt;&gt;"",F120&lt;TODAY()),TODAY()-F120,0)</f>
        <v>0</v>
      </c>
      <c r="J120" s="26"/>
    </row>
    <row r="121" customFormat="false" ht="15" hidden="false" customHeight="false" outlineLevel="0" collapsed="false">
      <c r="A121" s="26"/>
      <c r="B121" s="25"/>
      <c r="C121" s="26"/>
      <c r="D121" s="26"/>
      <c r="E121" s="26"/>
      <c r="F121" s="25"/>
      <c r="G121" s="25"/>
      <c r="H121" s="31" t="str">
        <f aca="true">IF(D121="","",IF(G121&lt;&gt;"","Cerrado",IF(AND(F121&lt;&gt;"",F121&lt;TODAY()),"Vencido","Abierto")))</f>
        <v/>
      </c>
      <c r="I121" s="21" t="n">
        <f aca="true">IF(AND(D121&lt;&gt;"",G121="",F121&lt;&gt;"",F121&lt;TODAY()),TODAY()-F121,0)</f>
        <v>0</v>
      </c>
      <c r="J121" s="26"/>
    </row>
    <row r="122" customFormat="false" ht="15" hidden="false" customHeight="false" outlineLevel="0" collapsed="false">
      <c r="A122" s="26"/>
      <c r="B122" s="25"/>
      <c r="C122" s="26"/>
      <c r="D122" s="26"/>
      <c r="E122" s="26"/>
      <c r="F122" s="25"/>
      <c r="G122" s="25"/>
      <c r="H122" s="31" t="str">
        <f aca="true">IF(D122="","",IF(G122&lt;&gt;"","Cerrado",IF(AND(F122&lt;&gt;"",F122&lt;TODAY()),"Vencido","Abierto")))</f>
        <v/>
      </c>
      <c r="I122" s="21" t="n">
        <f aca="true">IF(AND(D122&lt;&gt;"",G122="",F122&lt;&gt;"",F122&lt;TODAY()),TODAY()-F122,0)</f>
        <v>0</v>
      </c>
      <c r="J122" s="26"/>
    </row>
    <row r="123" customFormat="false" ht="15" hidden="false" customHeight="false" outlineLevel="0" collapsed="false">
      <c r="A123" s="26"/>
      <c r="B123" s="25"/>
      <c r="C123" s="26"/>
      <c r="D123" s="26"/>
      <c r="E123" s="26"/>
      <c r="F123" s="25"/>
      <c r="G123" s="25"/>
      <c r="H123" s="31" t="str">
        <f aca="true">IF(D123="","",IF(G123&lt;&gt;"","Cerrado",IF(AND(F123&lt;&gt;"",F123&lt;TODAY()),"Vencido","Abierto")))</f>
        <v/>
      </c>
      <c r="I123" s="21" t="n">
        <f aca="true">IF(AND(D123&lt;&gt;"",G123="",F123&lt;&gt;"",F123&lt;TODAY()),TODAY()-F123,0)</f>
        <v>0</v>
      </c>
      <c r="J123" s="26"/>
    </row>
    <row r="124" customFormat="false" ht="15" hidden="false" customHeight="false" outlineLevel="0" collapsed="false">
      <c r="A124" s="26"/>
      <c r="B124" s="25"/>
      <c r="C124" s="26"/>
      <c r="D124" s="26"/>
      <c r="E124" s="26"/>
      <c r="F124" s="25"/>
      <c r="G124" s="25"/>
      <c r="H124" s="31" t="str">
        <f aca="true">IF(D124="","",IF(G124&lt;&gt;"","Cerrado",IF(AND(F124&lt;&gt;"",F124&lt;TODAY()),"Vencido","Abierto")))</f>
        <v/>
      </c>
      <c r="I124" s="21" t="n">
        <f aca="true">IF(AND(D124&lt;&gt;"",G124="",F124&lt;&gt;"",F124&lt;TODAY()),TODAY()-F124,0)</f>
        <v>0</v>
      </c>
      <c r="J124" s="26"/>
    </row>
    <row r="125" customFormat="false" ht="15" hidden="false" customHeight="false" outlineLevel="0" collapsed="false">
      <c r="A125" s="26"/>
      <c r="B125" s="25"/>
      <c r="C125" s="26"/>
      <c r="D125" s="26"/>
      <c r="E125" s="26"/>
      <c r="F125" s="25"/>
      <c r="G125" s="25"/>
      <c r="H125" s="31" t="str">
        <f aca="true">IF(D125="","",IF(G125&lt;&gt;"","Cerrado",IF(AND(F125&lt;&gt;"",F125&lt;TODAY()),"Vencido","Abierto")))</f>
        <v/>
      </c>
      <c r="I125" s="21" t="n">
        <f aca="true">IF(AND(D125&lt;&gt;"",G125="",F125&lt;&gt;"",F125&lt;TODAY()),TODAY()-F125,0)</f>
        <v>0</v>
      </c>
      <c r="J125" s="26"/>
    </row>
    <row r="126" customFormat="false" ht="15" hidden="false" customHeight="false" outlineLevel="0" collapsed="false">
      <c r="A126" s="26"/>
      <c r="B126" s="25"/>
      <c r="C126" s="26"/>
      <c r="D126" s="26"/>
      <c r="E126" s="26"/>
      <c r="F126" s="25"/>
      <c r="G126" s="25"/>
      <c r="H126" s="31" t="str">
        <f aca="true">IF(D126="","",IF(G126&lt;&gt;"","Cerrado",IF(AND(F126&lt;&gt;"",F126&lt;TODAY()),"Vencido","Abierto")))</f>
        <v/>
      </c>
      <c r="I126" s="21" t="n">
        <f aca="true">IF(AND(D126&lt;&gt;"",G126="",F126&lt;&gt;"",F126&lt;TODAY()),TODAY()-F126,0)</f>
        <v>0</v>
      </c>
      <c r="J126" s="26"/>
    </row>
    <row r="127" customFormat="false" ht="15" hidden="false" customHeight="false" outlineLevel="0" collapsed="false">
      <c r="A127" s="26"/>
      <c r="B127" s="25"/>
      <c r="C127" s="26"/>
      <c r="D127" s="26"/>
      <c r="E127" s="26"/>
      <c r="F127" s="25"/>
      <c r="G127" s="25"/>
      <c r="H127" s="31" t="str">
        <f aca="true">IF(D127="","",IF(G127&lt;&gt;"","Cerrado",IF(AND(F127&lt;&gt;"",F127&lt;TODAY()),"Vencido","Abierto")))</f>
        <v/>
      </c>
      <c r="I127" s="21" t="n">
        <f aca="true">IF(AND(D127&lt;&gt;"",G127="",F127&lt;&gt;"",F127&lt;TODAY()),TODAY()-F127,0)</f>
        <v>0</v>
      </c>
      <c r="J127" s="26"/>
    </row>
    <row r="128" customFormat="false" ht="15" hidden="false" customHeight="false" outlineLevel="0" collapsed="false">
      <c r="A128" s="26"/>
      <c r="B128" s="25"/>
      <c r="C128" s="26"/>
      <c r="D128" s="26"/>
      <c r="E128" s="26"/>
      <c r="F128" s="25"/>
      <c r="G128" s="25"/>
      <c r="H128" s="31" t="str">
        <f aca="true">IF(D128="","",IF(G128&lt;&gt;"","Cerrado",IF(AND(F128&lt;&gt;"",F128&lt;TODAY()),"Vencido","Abierto")))</f>
        <v/>
      </c>
      <c r="I128" s="21" t="n">
        <f aca="true">IF(AND(D128&lt;&gt;"",G128="",F128&lt;&gt;"",F128&lt;TODAY()),TODAY()-F128,0)</f>
        <v>0</v>
      </c>
      <c r="J128" s="26"/>
    </row>
    <row r="129" customFormat="false" ht="15" hidden="false" customHeight="false" outlineLevel="0" collapsed="false">
      <c r="A129" s="26"/>
      <c r="B129" s="25"/>
      <c r="C129" s="26"/>
      <c r="D129" s="26"/>
      <c r="E129" s="26"/>
      <c r="F129" s="25"/>
      <c r="G129" s="25"/>
      <c r="H129" s="31" t="str">
        <f aca="true">IF(D129="","",IF(G129&lt;&gt;"","Cerrado",IF(AND(F129&lt;&gt;"",F129&lt;TODAY()),"Vencido","Abierto")))</f>
        <v/>
      </c>
      <c r="I129" s="21" t="n">
        <f aca="true">IF(AND(D129&lt;&gt;"",G129="",F129&lt;&gt;"",F129&lt;TODAY()),TODAY()-F129,0)</f>
        <v>0</v>
      </c>
      <c r="J129" s="26"/>
    </row>
    <row r="130" customFormat="false" ht="15" hidden="false" customHeight="false" outlineLevel="0" collapsed="false">
      <c r="A130" s="26"/>
      <c r="B130" s="25"/>
      <c r="C130" s="26"/>
      <c r="D130" s="26"/>
      <c r="E130" s="26"/>
      <c r="F130" s="25"/>
      <c r="G130" s="25"/>
      <c r="H130" s="31" t="str">
        <f aca="true">IF(D130="","",IF(G130&lt;&gt;"","Cerrado",IF(AND(F130&lt;&gt;"",F130&lt;TODAY()),"Vencido","Abierto")))</f>
        <v/>
      </c>
      <c r="I130" s="21" t="n">
        <f aca="true">IF(AND(D130&lt;&gt;"",G130="",F130&lt;&gt;"",F130&lt;TODAY()),TODAY()-F130,0)</f>
        <v>0</v>
      </c>
      <c r="J130" s="26"/>
    </row>
    <row r="131" customFormat="false" ht="15" hidden="false" customHeight="false" outlineLevel="0" collapsed="false">
      <c r="A131" s="26"/>
      <c r="B131" s="25"/>
      <c r="C131" s="26"/>
      <c r="D131" s="26"/>
      <c r="E131" s="26"/>
      <c r="F131" s="25"/>
      <c r="G131" s="25"/>
      <c r="H131" s="31" t="str">
        <f aca="true">IF(D131="","",IF(G131&lt;&gt;"","Cerrado",IF(AND(F131&lt;&gt;"",F131&lt;TODAY()),"Vencido","Abierto")))</f>
        <v/>
      </c>
      <c r="I131" s="21" t="n">
        <f aca="true">IF(AND(D131&lt;&gt;"",G131="",F131&lt;&gt;"",F131&lt;TODAY()),TODAY()-F131,0)</f>
        <v>0</v>
      </c>
      <c r="J131" s="26"/>
    </row>
    <row r="132" customFormat="false" ht="15" hidden="false" customHeight="false" outlineLevel="0" collapsed="false">
      <c r="A132" s="26"/>
      <c r="B132" s="25"/>
      <c r="C132" s="26"/>
      <c r="D132" s="26"/>
      <c r="E132" s="26"/>
      <c r="F132" s="25"/>
      <c r="G132" s="25"/>
      <c r="H132" s="31" t="str">
        <f aca="true">IF(D132="","",IF(G132&lt;&gt;"","Cerrado",IF(AND(F132&lt;&gt;"",F132&lt;TODAY()),"Vencido","Abierto")))</f>
        <v/>
      </c>
      <c r="I132" s="21" t="n">
        <f aca="true">IF(AND(D132&lt;&gt;"",G132="",F132&lt;&gt;"",F132&lt;TODAY()),TODAY()-F132,0)</f>
        <v>0</v>
      </c>
      <c r="J132" s="26"/>
    </row>
    <row r="133" customFormat="false" ht="15" hidden="false" customHeight="false" outlineLevel="0" collapsed="false">
      <c r="A133" s="26"/>
      <c r="B133" s="25"/>
      <c r="C133" s="26"/>
      <c r="D133" s="26"/>
      <c r="E133" s="26"/>
      <c r="F133" s="25"/>
      <c r="G133" s="25"/>
      <c r="H133" s="31" t="str">
        <f aca="true">IF(D133="","",IF(G133&lt;&gt;"","Cerrado",IF(AND(F133&lt;&gt;"",F133&lt;TODAY()),"Vencido","Abierto")))</f>
        <v/>
      </c>
      <c r="I133" s="21" t="n">
        <f aca="true">IF(AND(D133&lt;&gt;"",G133="",F133&lt;&gt;"",F133&lt;TODAY()),TODAY()-F133,0)</f>
        <v>0</v>
      </c>
      <c r="J133" s="26"/>
    </row>
    <row r="134" customFormat="false" ht="15" hidden="false" customHeight="false" outlineLevel="0" collapsed="false">
      <c r="A134" s="26"/>
      <c r="B134" s="25"/>
      <c r="C134" s="26"/>
      <c r="D134" s="26"/>
      <c r="E134" s="26"/>
      <c r="F134" s="25"/>
      <c r="G134" s="25"/>
      <c r="H134" s="31" t="str">
        <f aca="true">IF(D134="","",IF(G134&lt;&gt;"","Cerrado",IF(AND(F134&lt;&gt;"",F134&lt;TODAY()),"Vencido","Abierto")))</f>
        <v/>
      </c>
      <c r="I134" s="21" t="n">
        <f aca="true">IF(AND(D134&lt;&gt;"",G134="",F134&lt;&gt;"",F134&lt;TODAY()),TODAY()-F134,0)</f>
        <v>0</v>
      </c>
      <c r="J134" s="26"/>
    </row>
    <row r="135" customFormat="false" ht="15" hidden="false" customHeight="false" outlineLevel="0" collapsed="false">
      <c r="A135" s="26"/>
      <c r="B135" s="25"/>
      <c r="C135" s="26"/>
      <c r="D135" s="26"/>
      <c r="E135" s="26"/>
      <c r="F135" s="25"/>
      <c r="G135" s="25"/>
      <c r="H135" s="31" t="str">
        <f aca="true">IF(D135="","",IF(G135&lt;&gt;"","Cerrado",IF(AND(F135&lt;&gt;"",F135&lt;TODAY()),"Vencido","Abierto")))</f>
        <v/>
      </c>
      <c r="I135" s="21" t="n">
        <f aca="true">IF(AND(D135&lt;&gt;"",G135="",F135&lt;&gt;"",F135&lt;TODAY()),TODAY()-F135,0)</f>
        <v>0</v>
      </c>
      <c r="J135" s="26"/>
    </row>
    <row r="136" customFormat="false" ht="15" hidden="false" customHeight="false" outlineLevel="0" collapsed="false">
      <c r="A136" s="26"/>
      <c r="B136" s="25"/>
      <c r="C136" s="26"/>
      <c r="D136" s="26"/>
      <c r="E136" s="26"/>
      <c r="F136" s="25"/>
      <c r="G136" s="25"/>
      <c r="H136" s="31" t="str">
        <f aca="true">IF(D136="","",IF(G136&lt;&gt;"","Cerrado",IF(AND(F136&lt;&gt;"",F136&lt;TODAY()),"Vencido","Abierto")))</f>
        <v/>
      </c>
      <c r="I136" s="21" t="n">
        <f aca="true">IF(AND(D136&lt;&gt;"",G136="",F136&lt;&gt;"",F136&lt;TODAY()),TODAY()-F136,0)</f>
        <v>0</v>
      </c>
      <c r="J136" s="26"/>
    </row>
    <row r="137" customFormat="false" ht="15" hidden="false" customHeight="false" outlineLevel="0" collapsed="false">
      <c r="A137" s="26"/>
      <c r="B137" s="25"/>
      <c r="C137" s="26"/>
      <c r="D137" s="26"/>
      <c r="E137" s="26"/>
      <c r="F137" s="25"/>
      <c r="G137" s="25"/>
      <c r="H137" s="31" t="str">
        <f aca="true">IF(D137="","",IF(G137&lt;&gt;"","Cerrado",IF(AND(F137&lt;&gt;"",F137&lt;TODAY()),"Vencido","Abierto")))</f>
        <v/>
      </c>
      <c r="I137" s="21" t="n">
        <f aca="true">IF(AND(D137&lt;&gt;"",G137="",F137&lt;&gt;"",F137&lt;TODAY()),TODAY()-F137,0)</f>
        <v>0</v>
      </c>
      <c r="J137" s="26"/>
    </row>
    <row r="138" customFormat="false" ht="15" hidden="false" customHeight="false" outlineLevel="0" collapsed="false">
      <c r="A138" s="26"/>
      <c r="B138" s="25"/>
      <c r="C138" s="26"/>
      <c r="D138" s="26"/>
      <c r="E138" s="26"/>
      <c r="F138" s="25"/>
      <c r="G138" s="25"/>
      <c r="H138" s="31" t="str">
        <f aca="true">IF(D138="","",IF(G138&lt;&gt;"","Cerrado",IF(AND(F138&lt;&gt;"",F138&lt;TODAY()),"Vencido","Abierto")))</f>
        <v/>
      </c>
      <c r="I138" s="21" t="n">
        <f aca="true">IF(AND(D138&lt;&gt;"",G138="",F138&lt;&gt;"",F138&lt;TODAY()),TODAY()-F138,0)</f>
        <v>0</v>
      </c>
      <c r="J138" s="26"/>
    </row>
    <row r="139" customFormat="false" ht="15" hidden="false" customHeight="false" outlineLevel="0" collapsed="false">
      <c r="A139" s="26"/>
      <c r="B139" s="25"/>
      <c r="C139" s="26"/>
      <c r="D139" s="26"/>
      <c r="E139" s="26"/>
      <c r="F139" s="25"/>
      <c r="G139" s="25"/>
      <c r="H139" s="31" t="str">
        <f aca="true">IF(D139="","",IF(G139&lt;&gt;"","Cerrado",IF(AND(F139&lt;&gt;"",F139&lt;TODAY()),"Vencido","Abierto")))</f>
        <v/>
      </c>
      <c r="I139" s="21" t="n">
        <f aca="true">IF(AND(D139&lt;&gt;"",G139="",F139&lt;&gt;"",F139&lt;TODAY()),TODAY()-F139,0)</f>
        <v>0</v>
      </c>
      <c r="J139" s="26"/>
    </row>
    <row r="140" customFormat="false" ht="15" hidden="false" customHeight="false" outlineLevel="0" collapsed="false">
      <c r="A140" s="26"/>
      <c r="B140" s="25"/>
      <c r="C140" s="26"/>
      <c r="D140" s="26"/>
      <c r="E140" s="26"/>
      <c r="F140" s="25"/>
      <c r="G140" s="25"/>
      <c r="H140" s="31" t="str">
        <f aca="true">IF(D140="","",IF(G140&lt;&gt;"","Cerrado",IF(AND(F140&lt;&gt;"",F140&lt;TODAY()),"Vencido","Abierto")))</f>
        <v/>
      </c>
      <c r="I140" s="21" t="n">
        <f aca="true">IF(AND(D140&lt;&gt;"",G140="",F140&lt;&gt;"",F140&lt;TODAY()),TODAY()-F140,0)</f>
        <v>0</v>
      </c>
      <c r="J140" s="26"/>
    </row>
    <row r="141" customFormat="false" ht="15" hidden="false" customHeight="false" outlineLevel="0" collapsed="false">
      <c r="A141" s="26"/>
      <c r="B141" s="25"/>
      <c r="C141" s="26"/>
      <c r="D141" s="26"/>
      <c r="E141" s="26"/>
      <c r="F141" s="25"/>
      <c r="G141" s="25"/>
      <c r="H141" s="31" t="str">
        <f aca="true">IF(D141="","",IF(G141&lt;&gt;"","Cerrado",IF(AND(F141&lt;&gt;"",F141&lt;TODAY()),"Vencido","Abierto")))</f>
        <v/>
      </c>
      <c r="I141" s="21" t="n">
        <f aca="true">IF(AND(D141&lt;&gt;"",G141="",F141&lt;&gt;"",F141&lt;TODAY()),TODAY()-F141,0)</f>
        <v>0</v>
      </c>
      <c r="J141" s="26"/>
    </row>
    <row r="142" customFormat="false" ht="15" hidden="false" customHeight="false" outlineLevel="0" collapsed="false">
      <c r="A142" s="26"/>
      <c r="B142" s="25"/>
      <c r="C142" s="26"/>
      <c r="D142" s="26"/>
      <c r="E142" s="26"/>
      <c r="F142" s="25"/>
      <c r="G142" s="25"/>
      <c r="H142" s="31" t="str">
        <f aca="true">IF(D142="","",IF(G142&lt;&gt;"","Cerrado",IF(AND(F142&lt;&gt;"",F142&lt;TODAY()),"Vencido","Abierto")))</f>
        <v/>
      </c>
      <c r="I142" s="21" t="n">
        <f aca="true">IF(AND(D142&lt;&gt;"",G142="",F142&lt;&gt;"",F142&lt;TODAY()),TODAY()-F142,0)</f>
        <v>0</v>
      </c>
      <c r="J142" s="26"/>
    </row>
    <row r="143" customFormat="false" ht="15" hidden="false" customHeight="false" outlineLevel="0" collapsed="false">
      <c r="A143" s="26"/>
      <c r="B143" s="25"/>
      <c r="C143" s="26"/>
      <c r="D143" s="26"/>
      <c r="E143" s="26"/>
      <c r="F143" s="25"/>
      <c r="G143" s="25"/>
      <c r="H143" s="31" t="str">
        <f aca="true">IF(D143="","",IF(G143&lt;&gt;"","Cerrado",IF(AND(F143&lt;&gt;"",F143&lt;TODAY()),"Vencido","Abierto")))</f>
        <v/>
      </c>
      <c r="I143" s="21" t="n">
        <f aca="true">IF(AND(D143&lt;&gt;"",G143="",F143&lt;&gt;"",F143&lt;TODAY()),TODAY()-F143,0)</f>
        <v>0</v>
      </c>
      <c r="J143" s="26"/>
    </row>
    <row r="144" customFormat="false" ht="15" hidden="false" customHeight="false" outlineLevel="0" collapsed="false">
      <c r="A144" s="26"/>
      <c r="B144" s="25"/>
      <c r="C144" s="26"/>
      <c r="D144" s="26"/>
      <c r="E144" s="26"/>
      <c r="F144" s="25"/>
      <c r="G144" s="25"/>
      <c r="H144" s="31" t="str">
        <f aca="true">IF(D144="","",IF(G144&lt;&gt;"","Cerrado",IF(AND(F144&lt;&gt;"",F144&lt;TODAY()),"Vencido","Abierto")))</f>
        <v/>
      </c>
      <c r="I144" s="21" t="n">
        <f aca="true">IF(AND(D144&lt;&gt;"",G144="",F144&lt;&gt;"",F144&lt;TODAY()),TODAY()-F144,0)</f>
        <v>0</v>
      </c>
      <c r="J144" s="26"/>
    </row>
    <row r="145" customFormat="false" ht="15" hidden="false" customHeight="false" outlineLevel="0" collapsed="false">
      <c r="A145" s="26"/>
      <c r="B145" s="25"/>
      <c r="C145" s="26"/>
      <c r="D145" s="26"/>
      <c r="E145" s="26"/>
      <c r="F145" s="25"/>
      <c r="G145" s="25"/>
      <c r="H145" s="31" t="str">
        <f aca="true">IF(D145="","",IF(G145&lt;&gt;"","Cerrado",IF(AND(F145&lt;&gt;"",F145&lt;TODAY()),"Vencido","Abierto")))</f>
        <v/>
      </c>
      <c r="I145" s="21" t="n">
        <f aca="true">IF(AND(D145&lt;&gt;"",G145="",F145&lt;&gt;"",F145&lt;TODAY()),TODAY()-F145,0)</f>
        <v>0</v>
      </c>
      <c r="J145" s="26"/>
    </row>
    <row r="146" customFormat="false" ht="15" hidden="false" customHeight="false" outlineLevel="0" collapsed="false">
      <c r="A146" s="26"/>
      <c r="B146" s="25"/>
      <c r="C146" s="26"/>
      <c r="D146" s="26"/>
      <c r="E146" s="26"/>
      <c r="F146" s="25"/>
      <c r="G146" s="25"/>
      <c r="H146" s="31" t="str">
        <f aca="true">IF(D146="","",IF(G146&lt;&gt;"","Cerrado",IF(AND(F146&lt;&gt;"",F146&lt;TODAY()),"Vencido","Abierto")))</f>
        <v/>
      </c>
      <c r="I146" s="21" t="n">
        <f aca="true">IF(AND(D146&lt;&gt;"",G146="",F146&lt;&gt;"",F146&lt;TODAY()),TODAY()-F146,0)</f>
        <v>0</v>
      </c>
      <c r="J146" s="26"/>
    </row>
    <row r="147" customFormat="false" ht="15" hidden="false" customHeight="false" outlineLevel="0" collapsed="false">
      <c r="A147" s="26"/>
      <c r="B147" s="25"/>
      <c r="C147" s="26"/>
      <c r="D147" s="26"/>
      <c r="E147" s="26"/>
      <c r="F147" s="25"/>
      <c r="G147" s="25"/>
      <c r="H147" s="31" t="str">
        <f aca="true">IF(D147="","",IF(G147&lt;&gt;"","Cerrado",IF(AND(F147&lt;&gt;"",F147&lt;TODAY()),"Vencido","Abierto")))</f>
        <v/>
      </c>
      <c r="I147" s="21" t="n">
        <f aca="true">IF(AND(D147&lt;&gt;"",G147="",F147&lt;&gt;"",F147&lt;TODAY()),TODAY()-F147,0)</f>
        <v>0</v>
      </c>
      <c r="J147" s="26"/>
    </row>
    <row r="148" customFormat="false" ht="15" hidden="false" customHeight="false" outlineLevel="0" collapsed="false">
      <c r="A148" s="26"/>
      <c r="B148" s="25"/>
      <c r="C148" s="26"/>
      <c r="D148" s="26"/>
      <c r="E148" s="26"/>
      <c r="F148" s="25"/>
      <c r="G148" s="25"/>
      <c r="H148" s="31" t="str">
        <f aca="true">IF(D148="","",IF(G148&lt;&gt;"","Cerrado",IF(AND(F148&lt;&gt;"",F148&lt;TODAY()),"Vencido","Abierto")))</f>
        <v/>
      </c>
      <c r="I148" s="21" t="n">
        <f aca="true">IF(AND(D148&lt;&gt;"",G148="",F148&lt;&gt;"",F148&lt;TODAY()),TODAY()-F148,0)</f>
        <v>0</v>
      </c>
      <c r="J148" s="26"/>
    </row>
    <row r="149" customFormat="false" ht="15" hidden="false" customHeight="false" outlineLevel="0" collapsed="false">
      <c r="A149" s="26"/>
      <c r="B149" s="25"/>
      <c r="C149" s="26"/>
      <c r="D149" s="26"/>
      <c r="E149" s="26"/>
      <c r="F149" s="25"/>
      <c r="G149" s="25"/>
      <c r="H149" s="31" t="str">
        <f aca="true">IF(D149="","",IF(G149&lt;&gt;"","Cerrado",IF(AND(F149&lt;&gt;"",F149&lt;TODAY()),"Vencido","Abierto")))</f>
        <v/>
      </c>
      <c r="I149" s="21" t="n">
        <f aca="true">IF(AND(D149&lt;&gt;"",G149="",F149&lt;&gt;"",F149&lt;TODAY()),TODAY()-F149,0)</f>
        <v>0</v>
      </c>
      <c r="J149" s="26"/>
    </row>
    <row r="150" customFormat="false" ht="15" hidden="false" customHeight="false" outlineLevel="0" collapsed="false">
      <c r="A150" s="26"/>
      <c r="B150" s="25"/>
      <c r="C150" s="26"/>
      <c r="D150" s="26"/>
      <c r="E150" s="26"/>
      <c r="F150" s="25"/>
      <c r="G150" s="25"/>
      <c r="H150" s="31" t="str">
        <f aca="true">IF(D150="","",IF(G150&lt;&gt;"","Cerrado",IF(AND(F150&lt;&gt;"",F150&lt;TODAY()),"Vencido","Abierto")))</f>
        <v/>
      </c>
      <c r="I150" s="21" t="n">
        <f aca="true">IF(AND(D150&lt;&gt;"",G150="",F150&lt;&gt;"",F150&lt;TODAY()),TODAY()-F150,0)</f>
        <v>0</v>
      </c>
      <c r="J150" s="26"/>
    </row>
    <row r="151" customFormat="false" ht="15" hidden="false" customHeight="false" outlineLevel="0" collapsed="false">
      <c r="A151" s="26"/>
      <c r="B151" s="25"/>
      <c r="C151" s="26"/>
      <c r="D151" s="26"/>
      <c r="E151" s="26"/>
      <c r="F151" s="25"/>
      <c r="G151" s="25"/>
      <c r="H151" s="31" t="str">
        <f aca="true">IF(D151="","",IF(G151&lt;&gt;"","Cerrado",IF(AND(F151&lt;&gt;"",F151&lt;TODAY()),"Vencido","Abierto")))</f>
        <v/>
      </c>
      <c r="I151" s="21" t="n">
        <f aca="true">IF(AND(D151&lt;&gt;"",G151="",F151&lt;&gt;"",F151&lt;TODAY()),TODAY()-F151,0)</f>
        <v>0</v>
      </c>
      <c r="J151" s="26"/>
    </row>
    <row r="152" customFormat="false" ht="15" hidden="false" customHeight="false" outlineLevel="0" collapsed="false">
      <c r="A152" s="26"/>
      <c r="B152" s="25"/>
      <c r="C152" s="26"/>
      <c r="D152" s="26"/>
      <c r="E152" s="26"/>
      <c r="F152" s="25"/>
      <c r="G152" s="25"/>
      <c r="H152" s="31" t="str">
        <f aca="true">IF(D152="","",IF(G152&lt;&gt;"","Cerrado",IF(AND(F152&lt;&gt;"",F152&lt;TODAY()),"Vencido","Abierto")))</f>
        <v/>
      </c>
      <c r="I152" s="21" t="n">
        <f aca="true">IF(AND(D152&lt;&gt;"",G152="",F152&lt;&gt;"",F152&lt;TODAY()),TODAY()-F152,0)</f>
        <v>0</v>
      </c>
      <c r="J152" s="26"/>
    </row>
    <row r="153" customFormat="false" ht="15" hidden="false" customHeight="false" outlineLevel="0" collapsed="false">
      <c r="A153" s="26"/>
      <c r="B153" s="25"/>
      <c r="C153" s="26"/>
      <c r="D153" s="26"/>
      <c r="E153" s="26"/>
      <c r="F153" s="25"/>
      <c r="G153" s="25"/>
      <c r="H153" s="31" t="str">
        <f aca="true">IF(D153="","",IF(G153&lt;&gt;"","Cerrado",IF(AND(F153&lt;&gt;"",F153&lt;TODAY()),"Vencido","Abierto")))</f>
        <v/>
      </c>
      <c r="I153" s="21" t="n">
        <f aca="true">IF(AND(D153&lt;&gt;"",G153="",F153&lt;&gt;"",F153&lt;TODAY()),TODAY()-F153,0)</f>
        <v>0</v>
      </c>
      <c r="J153" s="26"/>
    </row>
    <row r="154" customFormat="false" ht="15" hidden="false" customHeight="false" outlineLevel="0" collapsed="false">
      <c r="A154" s="26"/>
      <c r="B154" s="25"/>
      <c r="C154" s="26"/>
      <c r="D154" s="26"/>
      <c r="E154" s="26"/>
      <c r="F154" s="25"/>
      <c r="G154" s="25"/>
      <c r="H154" s="31" t="str">
        <f aca="true">IF(D154="","",IF(G154&lt;&gt;"","Cerrado",IF(AND(F154&lt;&gt;"",F154&lt;TODAY()),"Vencido","Abierto")))</f>
        <v/>
      </c>
      <c r="I154" s="21" t="n">
        <f aca="true">IF(AND(D154&lt;&gt;"",G154="",F154&lt;&gt;"",F154&lt;TODAY()),TODAY()-F154,0)</f>
        <v>0</v>
      </c>
      <c r="J154" s="26"/>
    </row>
    <row r="155" customFormat="false" ht="15" hidden="false" customHeight="false" outlineLevel="0" collapsed="false">
      <c r="A155" s="26"/>
      <c r="B155" s="25"/>
      <c r="C155" s="26"/>
      <c r="D155" s="26"/>
      <c r="E155" s="26"/>
      <c r="F155" s="25"/>
      <c r="G155" s="25"/>
      <c r="H155" s="31" t="str">
        <f aca="true">IF(D155="","",IF(G155&lt;&gt;"","Cerrado",IF(AND(F155&lt;&gt;"",F155&lt;TODAY()),"Vencido","Abierto")))</f>
        <v/>
      </c>
      <c r="I155" s="21" t="n">
        <f aca="true">IF(AND(D155&lt;&gt;"",G155="",F155&lt;&gt;"",F155&lt;TODAY()),TODAY()-F155,0)</f>
        <v>0</v>
      </c>
      <c r="J155" s="26"/>
    </row>
    <row r="156" customFormat="false" ht="15" hidden="false" customHeight="false" outlineLevel="0" collapsed="false">
      <c r="A156" s="26"/>
      <c r="B156" s="25"/>
      <c r="C156" s="26"/>
      <c r="D156" s="26"/>
      <c r="E156" s="26"/>
      <c r="F156" s="25"/>
      <c r="G156" s="25"/>
      <c r="H156" s="31" t="str">
        <f aca="true">IF(D156="","",IF(G156&lt;&gt;"","Cerrado",IF(AND(F156&lt;&gt;"",F156&lt;TODAY()),"Vencido","Abierto")))</f>
        <v/>
      </c>
      <c r="I156" s="21" t="n">
        <f aca="true">IF(AND(D156&lt;&gt;"",G156="",F156&lt;&gt;"",F156&lt;TODAY()),TODAY()-F156,0)</f>
        <v>0</v>
      </c>
      <c r="J156" s="26"/>
    </row>
  </sheetData>
  <mergeCells count="2">
    <mergeCell ref="A1:J1"/>
    <mergeCell ref="A2:J2"/>
  </mergeCells>
  <conditionalFormatting sqref="H7:H156">
    <cfRule type="expression" priority="2" aboveAverage="0" equalAverage="0" bottom="0" percent="0" rank="0" text="" dxfId="0">
      <formula>H7="Vencido"</formula>
    </cfRule>
    <cfRule type="expression" priority="3" aboveAverage="0" equalAverage="0" bottom="0" percent="0" rank="0" text="" dxfId="2">
      <formula>H7="Cerrado"</formula>
    </cfRule>
  </conditionalFormatting>
  <dataValidations count="1">
    <dataValidation allowBlank="true" errorStyle="stop" operator="between" showDropDown="false" showErrorMessage="false" showInputMessage="false" sqref="C7:C156" type="list">
      <formula1>"RFI,Pendiente,Minuta,Calidad,Seguridad"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0" min="9" style="0" width="16"/>
    <col collapsed="false" customWidth="true" hidden="false" outlineLevel="0" max="11" min="11" style="0" width="9"/>
    <col collapsed="false" customWidth="true" hidden="false" outlineLevel="0" max="12" min="12" style="0" width="30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5" hidden="false" customHeight="false" outlineLevel="0" collapsed="false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15" hidden="false" customHeight="false" outlineLevel="0" collapsed="false">
      <c r="A3" s="9" t="s">
        <v>13</v>
      </c>
      <c r="B3" s="10"/>
    </row>
    <row r="4" customFormat="false" ht="15" hidden="false" customHeight="false" outlineLevel="0" collapsed="false">
      <c r="A4" s="9" t="s">
        <v>14</v>
      </c>
      <c r="B4" s="10"/>
    </row>
    <row r="6" customFormat="false" ht="30" hidden="false" customHeight="true" outlineLevel="0" collapsed="false">
      <c r="A6" s="11" t="s">
        <v>43</v>
      </c>
      <c r="B6" s="11" t="s">
        <v>111</v>
      </c>
      <c r="C6" s="11" t="s">
        <v>112</v>
      </c>
      <c r="D6" s="11" t="s">
        <v>113</v>
      </c>
      <c r="E6" s="11" t="s">
        <v>114</v>
      </c>
      <c r="F6" s="11" t="s">
        <v>115</v>
      </c>
      <c r="G6" s="11" t="s">
        <v>116</v>
      </c>
      <c r="H6" s="11" t="s">
        <v>117</v>
      </c>
      <c r="I6" s="11" t="s">
        <v>118</v>
      </c>
      <c r="J6" s="11" t="s">
        <v>119</v>
      </c>
      <c r="K6" s="11" t="s">
        <v>120</v>
      </c>
      <c r="L6" s="11" t="s">
        <v>121</v>
      </c>
    </row>
    <row r="7" customFormat="false" ht="22.35" hidden="false" customHeight="false" outlineLevel="0" collapsed="false">
      <c r="A7" s="25" t="n">
        <v>46342</v>
      </c>
      <c r="B7" s="26" t="s">
        <v>122</v>
      </c>
      <c r="C7" s="26" t="s">
        <v>123</v>
      </c>
      <c r="D7" s="26" t="s">
        <v>124</v>
      </c>
      <c r="E7" s="26" t="n">
        <v>250</v>
      </c>
      <c r="F7" s="26" t="n">
        <v>262</v>
      </c>
      <c r="G7" s="14" t="n">
        <f aca="false">IF(OR(E7="",F7="",E7=0),"",F7/E7)</f>
        <v>1.048</v>
      </c>
      <c r="H7" s="31" t="str">
        <f aca="false">IF(G7="","",IF(G7&gt;=1,"Sí","No"))</f>
        <v>Sí</v>
      </c>
      <c r="I7" s="26" t="s">
        <v>125</v>
      </c>
      <c r="J7" s="26" t="s">
        <v>126</v>
      </c>
      <c r="K7" s="26" t="n">
        <v>20</v>
      </c>
      <c r="L7" s="26"/>
    </row>
    <row r="8" customFormat="false" ht="22.35" hidden="false" customHeight="false" outlineLevel="0" collapsed="false">
      <c r="A8" s="25" t="n">
        <v>46320</v>
      </c>
      <c r="B8" s="26" t="s">
        <v>127</v>
      </c>
      <c r="C8" s="26" t="s">
        <v>128</v>
      </c>
      <c r="D8" s="26" t="s">
        <v>129</v>
      </c>
      <c r="E8" s="26" t="n">
        <v>0.95</v>
      </c>
      <c r="F8" s="26" t="n">
        <v>0.93</v>
      </c>
      <c r="G8" s="14" t="n">
        <f aca="false">IF(OR(E8="",F8="",E8=0),"",F8/E8)</f>
        <v>0.978947368421053</v>
      </c>
      <c r="H8" s="31" t="str">
        <f aca="false">IF(G8="","",IF(G8&gt;=1,"Sí","No"))</f>
        <v>No</v>
      </c>
      <c r="I8" s="26" t="s">
        <v>130</v>
      </c>
      <c r="J8" s="26" t="s">
        <v>131</v>
      </c>
      <c r="K8" s="26" t="n">
        <v>15</v>
      </c>
      <c r="L8" s="26" t="s">
        <v>132</v>
      </c>
    </row>
    <row r="9" customFormat="false" ht="15" hidden="false" customHeight="false" outlineLevel="0" collapsed="false">
      <c r="A9" s="25"/>
      <c r="B9" s="26"/>
      <c r="C9" s="26"/>
      <c r="D9" s="26"/>
      <c r="E9" s="26"/>
      <c r="F9" s="26"/>
      <c r="G9" s="14" t="str">
        <f aca="false">IF(OR(E9="",F9="",E9=0),"",F9/E9)</f>
        <v/>
      </c>
      <c r="H9" s="31" t="str">
        <f aca="false">IF(G9="","",IF(G9&gt;=1,"Sí","No"))</f>
        <v/>
      </c>
      <c r="I9" s="26"/>
      <c r="J9" s="26"/>
      <c r="K9" s="26"/>
      <c r="L9" s="26"/>
    </row>
    <row r="10" customFormat="false" ht="15" hidden="false" customHeight="false" outlineLevel="0" collapsed="false">
      <c r="A10" s="25"/>
      <c r="B10" s="26"/>
      <c r="C10" s="26"/>
      <c r="D10" s="26"/>
      <c r="E10" s="26"/>
      <c r="F10" s="26"/>
      <c r="G10" s="14" t="str">
        <f aca="false">IF(OR(E10="",F10="",E10=0),"",F10/E10)</f>
        <v/>
      </c>
      <c r="H10" s="31" t="str">
        <f aca="false">IF(G10="","",IF(G10&gt;=1,"Sí","No"))</f>
        <v/>
      </c>
      <c r="I10" s="26"/>
      <c r="J10" s="26"/>
      <c r="K10" s="26"/>
      <c r="L10" s="26"/>
    </row>
    <row r="11" customFormat="false" ht="15" hidden="false" customHeight="false" outlineLevel="0" collapsed="false">
      <c r="A11" s="25"/>
      <c r="B11" s="26"/>
      <c r="C11" s="26"/>
      <c r="D11" s="26"/>
      <c r="E11" s="26"/>
      <c r="F11" s="26"/>
      <c r="G11" s="14" t="str">
        <f aca="false">IF(OR(E11="",F11="",E11=0),"",F11/E11)</f>
        <v/>
      </c>
      <c r="H11" s="31" t="str">
        <f aca="false">IF(G11="","",IF(G11&gt;=1,"Sí","No"))</f>
        <v/>
      </c>
      <c r="I11" s="26"/>
      <c r="J11" s="26"/>
      <c r="K11" s="26"/>
      <c r="L11" s="26"/>
    </row>
    <row r="12" customFormat="false" ht="15" hidden="false" customHeight="false" outlineLevel="0" collapsed="false">
      <c r="A12" s="25"/>
      <c r="B12" s="26"/>
      <c r="C12" s="26"/>
      <c r="D12" s="26"/>
      <c r="E12" s="26"/>
      <c r="F12" s="26"/>
      <c r="G12" s="14" t="str">
        <f aca="false">IF(OR(E12="",F12="",E12=0),"",F12/E12)</f>
        <v/>
      </c>
      <c r="H12" s="31" t="str">
        <f aca="false">IF(G12="","",IF(G12&gt;=1,"Sí","No"))</f>
        <v/>
      </c>
      <c r="I12" s="26"/>
      <c r="J12" s="26"/>
      <c r="K12" s="26"/>
      <c r="L12" s="26"/>
    </row>
    <row r="13" customFormat="false" ht="15" hidden="false" customHeight="false" outlineLevel="0" collapsed="false">
      <c r="A13" s="25"/>
      <c r="B13" s="26"/>
      <c r="C13" s="26"/>
      <c r="D13" s="26"/>
      <c r="E13" s="26"/>
      <c r="F13" s="26"/>
      <c r="G13" s="14" t="str">
        <f aca="false">IF(OR(E13="",F13="",E13=0),"",F13/E13)</f>
        <v/>
      </c>
      <c r="H13" s="31" t="str">
        <f aca="false">IF(G13="","",IF(G13&gt;=1,"Sí","No"))</f>
        <v/>
      </c>
      <c r="I13" s="26"/>
      <c r="J13" s="26"/>
      <c r="K13" s="26"/>
      <c r="L13" s="26"/>
    </row>
    <row r="14" customFormat="false" ht="15" hidden="false" customHeight="false" outlineLevel="0" collapsed="false">
      <c r="A14" s="25"/>
      <c r="B14" s="26"/>
      <c r="C14" s="26"/>
      <c r="D14" s="26"/>
      <c r="E14" s="26"/>
      <c r="F14" s="26"/>
      <c r="G14" s="14" t="str">
        <f aca="false">IF(OR(E14="",F14="",E14=0),"",F14/E14)</f>
        <v/>
      </c>
      <c r="H14" s="31" t="str">
        <f aca="false">IF(G14="","",IF(G14&gt;=1,"Sí","No"))</f>
        <v/>
      </c>
      <c r="I14" s="26"/>
      <c r="J14" s="26"/>
      <c r="K14" s="26"/>
      <c r="L14" s="26"/>
    </row>
    <row r="15" customFormat="false" ht="15" hidden="false" customHeight="false" outlineLevel="0" collapsed="false">
      <c r="A15" s="25"/>
      <c r="B15" s="26"/>
      <c r="C15" s="26"/>
      <c r="D15" s="26"/>
      <c r="E15" s="26"/>
      <c r="F15" s="26"/>
      <c r="G15" s="14" t="str">
        <f aca="false">IF(OR(E15="",F15="",E15=0),"",F15/E15)</f>
        <v/>
      </c>
      <c r="H15" s="31" t="str">
        <f aca="false">IF(G15="","",IF(G15&gt;=1,"Sí","No"))</f>
        <v/>
      </c>
      <c r="I15" s="26"/>
      <c r="J15" s="26"/>
      <c r="K15" s="26"/>
      <c r="L15" s="26"/>
    </row>
    <row r="16" customFormat="false" ht="15" hidden="false" customHeight="false" outlineLevel="0" collapsed="false">
      <c r="A16" s="25"/>
      <c r="B16" s="26"/>
      <c r="C16" s="26"/>
      <c r="D16" s="26"/>
      <c r="E16" s="26"/>
      <c r="F16" s="26"/>
      <c r="G16" s="14" t="str">
        <f aca="false">IF(OR(E16="",F16="",E16=0),"",F16/E16)</f>
        <v/>
      </c>
      <c r="H16" s="31" t="str">
        <f aca="false">IF(G16="","",IF(G16&gt;=1,"Sí","No"))</f>
        <v/>
      </c>
      <c r="I16" s="26"/>
      <c r="J16" s="26"/>
      <c r="K16" s="26"/>
      <c r="L16" s="26"/>
    </row>
    <row r="17" customFormat="false" ht="15" hidden="false" customHeight="false" outlineLevel="0" collapsed="false">
      <c r="A17" s="25"/>
      <c r="B17" s="26"/>
      <c r="C17" s="26"/>
      <c r="D17" s="26"/>
      <c r="E17" s="26"/>
      <c r="F17" s="26"/>
      <c r="G17" s="14" t="str">
        <f aca="false">IF(OR(E17="",F17="",E17=0),"",F17/E17)</f>
        <v/>
      </c>
      <c r="H17" s="31" t="str">
        <f aca="false">IF(G17="","",IF(G17&gt;=1,"Sí","No"))</f>
        <v/>
      </c>
      <c r="I17" s="26"/>
      <c r="J17" s="26"/>
      <c r="K17" s="26"/>
      <c r="L17" s="26"/>
    </row>
    <row r="18" customFormat="false" ht="15" hidden="false" customHeight="false" outlineLevel="0" collapsed="false">
      <c r="A18" s="25"/>
      <c r="B18" s="26"/>
      <c r="C18" s="26"/>
      <c r="D18" s="26"/>
      <c r="E18" s="26"/>
      <c r="F18" s="26"/>
      <c r="G18" s="14" t="str">
        <f aca="false">IF(OR(E18="",F18="",E18=0),"",F18/E18)</f>
        <v/>
      </c>
      <c r="H18" s="31" t="str">
        <f aca="false">IF(G18="","",IF(G18&gt;=1,"Sí","No"))</f>
        <v/>
      </c>
      <c r="I18" s="26"/>
      <c r="J18" s="26"/>
      <c r="K18" s="26"/>
      <c r="L18" s="26"/>
    </row>
    <row r="19" customFormat="false" ht="15" hidden="false" customHeight="false" outlineLevel="0" collapsed="false">
      <c r="A19" s="25"/>
      <c r="B19" s="26"/>
      <c r="C19" s="26"/>
      <c r="D19" s="26"/>
      <c r="E19" s="26"/>
      <c r="F19" s="26"/>
      <c r="G19" s="14" t="str">
        <f aca="false">IF(OR(E19="",F19="",E19=0),"",F19/E19)</f>
        <v/>
      </c>
      <c r="H19" s="31" t="str">
        <f aca="false">IF(G19="","",IF(G19&gt;=1,"Sí","No"))</f>
        <v/>
      </c>
      <c r="I19" s="26"/>
      <c r="J19" s="26"/>
      <c r="K19" s="26"/>
      <c r="L19" s="26"/>
    </row>
    <row r="20" customFormat="false" ht="15" hidden="false" customHeight="false" outlineLevel="0" collapsed="false">
      <c r="A20" s="25"/>
      <c r="B20" s="26"/>
      <c r="C20" s="26"/>
      <c r="D20" s="26"/>
      <c r="E20" s="26"/>
      <c r="F20" s="26"/>
      <c r="G20" s="14" t="str">
        <f aca="false">IF(OR(E20="",F20="",E20=0),"",F20/E20)</f>
        <v/>
      </c>
      <c r="H20" s="31" t="str">
        <f aca="false">IF(G20="","",IF(G20&gt;=1,"Sí","No"))</f>
        <v/>
      </c>
      <c r="I20" s="26"/>
      <c r="J20" s="26"/>
      <c r="K20" s="26"/>
      <c r="L20" s="26"/>
    </row>
    <row r="21" customFormat="false" ht="15" hidden="false" customHeight="false" outlineLevel="0" collapsed="false">
      <c r="A21" s="25"/>
      <c r="B21" s="26"/>
      <c r="C21" s="26"/>
      <c r="D21" s="26"/>
      <c r="E21" s="26"/>
      <c r="F21" s="26"/>
      <c r="G21" s="14" t="str">
        <f aca="false">IF(OR(E21="",F21="",E21=0),"",F21/E21)</f>
        <v/>
      </c>
      <c r="H21" s="31" t="str">
        <f aca="false">IF(G21="","",IF(G21&gt;=1,"Sí","No"))</f>
        <v/>
      </c>
      <c r="I21" s="26"/>
      <c r="J21" s="26"/>
      <c r="K21" s="26"/>
      <c r="L21" s="26"/>
    </row>
    <row r="22" customFormat="false" ht="15" hidden="false" customHeight="false" outlineLevel="0" collapsed="false">
      <c r="A22" s="25"/>
      <c r="B22" s="26"/>
      <c r="C22" s="26"/>
      <c r="D22" s="26"/>
      <c r="E22" s="26"/>
      <c r="F22" s="26"/>
      <c r="G22" s="14" t="str">
        <f aca="false">IF(OR(E22="",F22="",E22=0),"",F22/E22)</f>
        <v/>
      </c>
      <c r="H22" s="31" t="str">
        <f aca="false">IF(G22="","",IF(G22&gt;=1,"Sí","No"))</f>
        <v/>
      </c>
      <c r="I22" s="26"/>
      <c r="J22" s="26"/>
      <c r="K22" s="26"/>
      <c r="L22" s="26"/>
    </row>
    <row r="23" customFormat="false" ht="15" hidden="false" customHeight="false" outlineLevel="0" collapsed="false">
      <c r="A23" s="25"/>
      <c r="B23" s="26"/>
      <c r="C23" s="26"/>
      <c r="D23" s="26"/>
      <c r="E23" s="26"/>
      <c r="F23" s="26"/>
      <c r="G23" s="14" t="str">
        <f aca="false">IF(OR(E23="",F23="",E23=0),"",F23/E23)</f>
        <v/>
      </c>
      <c r="H23" s="31" t="str">
        <f aca="false">IF(G23="","",IF(G23&gt;=1,"Sí","No"))</f>
        <v/>
      </c>
      <c r="I23" s="26"/>
      <c r="J23" s="26"/>
      <c r="K23" s="26"/>
      <c r="L23" s="26"/>
    </row>
    <row r="24" customFormat="false" ht="15" hidden="false" customHeight="false" outlineLevel="0" collapsed="false">
      <c r="A24" s="25"/>
      <c r="B24" s="26"/>
      <c r="C24" s="26"/>
      <c r="D24" s="26"/>
      <c r="E24" s="26"/>
      <c r="F24" s="26"/>
      <c r="G24" s="14" t="str">
        <f aca="false">IF(OR(E24="",F24="",E24=0),"",F24/E24)</f>
        <v/>
      </c>
      <c r="H24" s="31" t="str">
        <f aca="false">IF(G24="","",IF(G24&gt;=1,"Sí","No"))</f>
        <v/>
      </c>
      <c r="I24" s="26"/>
      <c r="J24" s="26"/>
      <c r="K24" s="26"/>
      <c r="L24" s="26"/>
    </row>
    <row r="25" customFormat="false" ht="15" hidden="false" customHeight="false" outlineLevel="0" collapsed="false">
      <c r="A25" s="25"/>
      <c r="B25" s="26"/>
      <c r="C25" s="26"/>
      <c r="D25" s="26"/>
      <c r="E25" s="26"/>
      <c r="F25" s="26"/>
      <c r="G25" s="14" t="str">
        <f aca="false">IF(OR(E25="",F25="",E25=0),"",F25/E25)</f>
        <v/>
      </c>
      <c r="H25" s="31" t="str">
        <f aca="false">IF(G25="","",IF(G25&gt;=1,"Sí","No"))</f>
        <v/>
      </c>
      <c r="I25" s="26"/>
      <c r="J25" s="26"/>
      <c r="K25" s="26"/>
      <c r="L25" s="26"/>
    </row>
    <row r="26" customFormat="false" ht="15" hidden="false" customHeight="false" outlineLevel="0" collapsed="false">
      <c r="A26" s="25"/>
      <c r="B26" s="26"/>
      <c r="C26" s="26"/>
      <c r="D26" s="26"/>
      <c r="E26" s="26"/>
      <c r="F26" s="26"/>
      <c r="G26" s="14" t="str">
        <f aca="false">IF(OR(E26="",F26="",E26=0),"",F26/E26)</f>
        <v/>
      </c>
      <c r="H26" s="31" t="str">
        <f aca="false">IF(G26="","",IF(G26&gt;=1,"Sí","No"))</f>
        <v/>
      </c>
      <c r="I26" s="26"/>
      <c r="J26" s="26"/>
      <c r="K26" s="26"/>
      <c r="L26" s="26"/>
    </row>
    <row r="27" customFormat="false" ht="15" hidden="false" customHeight="false" outlineLevel="0" collapsed="false">
      <c r="A27" s="25"/>
      <c r="B27" s="26"/>
      <c r="C27" s="26"/>
      <c r="D27" s="26"/>
      <c r="E27" s="26"/>
      <c r="F27" s="26"/>
      <c r="G27" s="14" t="str">
        <f aca="false">IF(OR(E27="",F27="",E27=0),"",F27/E27)</f>
        <v/>
      </c>
      <c r="H27" s="31" t="str">
        <f aca="false">IF(G27="","",IF(G27&gt;=1,"Sí","No"))</f>
        <v/>
      </c>
      <c r="I27" s="26"/>
      <c r="J27" s="26"/>
      <c r="K27" s="26"/>
      <c r="L27" s="26"/>
    </row>
    <row r="28" customFormat="false" ht="15" hidden="false" customHeight="false" outlineLevel="0" collapsed="false">
      <c r="A28" s="25"/>
      <c r="B28" s="26"/>
      <c r="C28" s="26"/>
      <c r="D28" s="26"/>
      <c r="E28" s="26"/>
      <c r="F28" s="26"/>
      <c r="G28" s="14" t="str">
        <f aca="false">IF(OR(E28="",F28="",E28=0),"",F28/E28)</f>
        <v/>
      </c>
      <c r="H28" s="31" t="str">
        <f aca="false">IF(G28="","",IF(G28&gt;=1,"Sí","No"))</f>
        <v/>
      </c>
      <c r="I28" s="26"/>
      <c r="J28" s="26"/>
      <c r="K28" s="26"/>
      <c r="L28" s="26"/>
    </row>
    <row r="29" customFormat="false" ht="15" hidden="false" customHeight="false" outlineLevel="0" collapsed="false">
      <c r="A29" s="25"/>
      <c r="B29" s="26"/>
      <c r="C29" s="26"/>
      <c r="D29" s="26"/>
      <c r="E29" s="26"/>
      <c r="F29" s="26"/>
      <c r="G29" s="14" t="str">
        <f aca="false">IF(OR(E29="",F29="",E29=0),"",F29/E29)</f>
        <v/>
      </c>
      <c r="H29" s="31" t="str">
        <f aca="false">IF(G29="","",IF(G29&gt;=1,"Sí","No"))</f>
        <v/>
      </c>
      <c r="I29" s="26"/>
      <c r="J29" s="26"/>
      <c r="K29" s="26"/>
      <c r="L29" s="26"/>
    </row>
    <row r="30" customFormat="false" ht="15" hidden="false" customHeight="false" outlineLevel="0" collapsed="false">
      <c r="A30" s="25"/>
      <c r="B30" s="26"/>
      <c r="C30" s="26"/>
      <c r="D30" s="26"/>
      <c r="E30" s="26"/>
      <c r="F30" s="26"/>
      <c r="G30" s="14" t="str">
        <f aca="false">IF(OR(E30="",F30="",E30=0),"",F30/E30)</f>
        <v/>
      </c>
      <c r="H30" s="31" t="str">
        <f aca="false">IF(G30="","",IF(G30&gt;=1,"Sí","No"))</f>
        <v/>
      </c>
      <c r="I30" s="26"/>
      <c r="J30" s="26"/>
      <c r="K30" s="26"/>
      <c r="L30" s="26"/>
    </row>
    <row r="31" customFormat="false" ht="15" hidden="false" customHeight="false" outlineLevel="0" collapsed="false">
      <c r="A31" s="25"/>
      <c r="B31" s="26"/>
      <c r="C31" s="26"/>
      <c r="D31" s="26"/>
      <c r="E31" s="26"/>
      <c r="F31" s="26"/>
      <c r="G31" s="14" t="str">
        <f aca="false">IF(OR(E31="",F31="",E31=0),"",F31/E31)</f>
        <v/>
      </c>
      <c r="H31" s="31" t="str">
        <f aca="false">IF(G31="","",IF(G31&gt;=1,"Sí","No"))</f>
        <v/>
      </c>
      <c r="I31" s="26"/>
      <c r="J31" s="26"/>
      <c r="K31" s="26"/>
      <c r="L31" s="26"/>
    </row>
    <row r="32" customFormat="false" ht="15" hidden="false" customHeight="false" outlineLevel="0" collapsed="false">
      <c r="A32" s="25"/>
      <c r="B32" s="26"/>
      <c r="C32" s="26"/>
      <c r="D32" s="26"/>
      <c r="E32" s="26"/>
      <c r="F32" s="26"/>
      <c r="G32" s="14" t="str">
        <f aca="false">IF(OR(E32="",F32="",E32=0),"",F32/E32)</f>
        <v/>
      </c>
      <c r="H32" s="31" t="str">
        <f aca="false">IF(G32="","",IF(G32&gt;=1,"Sí","No"))</f>
        <v/>
      </c>
      <c r="I32" s="26"/>
      <c r="J32" s="26"/>
      <c r="K32" s="26"/>
      <c r="L32" s="26"/>
    </row>
    <row r="33" customFormat="false" ht="15" hidden="false" customHeight="false" outlineLevel="0" collapsed="false">
      <c r="A33" s="25"/>
      <c r="B33" s="26"/>
      <c r="C33" s="26"/>
      <c r="D33" s="26"/>
      <c r="E33" s="26"/>
      <c r="F33" s="26"/>
      <c r="G33" s="14" t="str">
        <f aca="false">IF(OR(E33="",F33="",E33=0),"",F33/E33)</f>
        <v/>
      </c>
      <c r="H33" s="31" t="str">
        <f aca="false">IF(G33="","",IF(G33&gt;=1,"Sí","No"))</f>
        <v/>
      </c>
      <c r="I33" s="26"/>
      <c r="J33" s="26"/>
      <c r="K33" s="26"/>
      <c r="L33" s="26"/>
    </row>
    <row r="34" customFormat="false" ht="15" hidden="false" customHeight="false" outlineLevel="0" collapsed="false">
      <c r="A34" s="25"/>
      <c r="B34" s="26"/>
      <c r="C34" s="26"/>
      <c r="D34" s="26"/>
      <c r="E34" s="26"/>
      <c r="F34" s="26"/>
      <c r="G34" s="14" t="str">
        <f aca="false">IF(OR(E34="",F34="",E34=0),"",F34/E34)</f>
        <v/>
      </c>
      <c r="H34" s="31" t="str">
        <f aca="false">IF(G34="","",IF(G34&gt;=1,"Sí","No"))</f>
        <v/>
      </c>
      <c r="I34" s="26"/>
      <c r="J34" s="26"/>
      <c r="K34" s="26"/>
      <c r="L34" s="26"/>
    </row>
    <row r="35" customFormat="false" ht="15" hidden="false" customHeight="false" outlineLevel="0" collapsed="false">
      <c r="A35" s="25"/>
      <c r="B35" s="26"/>
      <c r="C35" s="26"/>
      <c r="D35" s="26"/>
      <c r="E35" s="26"/>
      <c r="F35" s="26"/>
      <c r="G35" s="14" t="str">
        <f aca="false">IF(OR(E35="",F35="",E35=0),"",F35/E35)</f>
        <v/>
      </c>
      <c r="H35" s="31" t="str">
        <f aca="false">IF(G35="","",IF(G35&gt;=1,"Sí","No"))</f>
        <v/>
      </c>
      <c r="I35" s="26"/>
      <c r="J35" s="26"/>
      <c r="K35" s="26"/>
      <c r="L35" s="26"/>
    </row>
    <row r="36" customFormat="false" ht="15" hidden="false" customHeight="false" outlineLevel="0" collapsed="false">
      <c r="A36" s="25"/>
      <c r="B36" s="26"/>
      <c r="C36" s="26"/>
      <c r="D36" s="26"/>
      <c r="E36" s="26"/>
      <c r="F36" s="26"/>
      <c r="G36" s="14" t="str">
        <f aca="false">IF(OR(E36="",F36="",E36=0),"",F36/E36)</f>
        <v/>
      </c>
      <c r="H36" s="31" t="str">
        <f aca="false">IF(G36="","",IF(G36&gt;=1,"Sí","No"))</f>
        <v/>
      </c>
      <c r="I36" s="26"/>
      <c r="J36" s="26"/>
      <c r="K36" s="26"/>
      <c r="L36" s="26"/>
    </row>
    <row r="37" customFormat="false" ht="15" hidden="false" customHeight="false" outlineLevel="0" collapsed="false">
      <c r="A37" s="25"/>
      <c r="B37" s="26"/>
      <c r="C37" s="26"/>
      <c r="D37" s="26"/>
      <c r="E37" s="26"/>
      <c r="F37" s="26"/>
      <c r="G37" s="14" t="str">
        <f aca="false">IF(OR(E37="",F37="",E37=0),"",F37/E37)</f>
        <v/>
      </c>
      <c r="H37" s="31" t="str">
        <f aca="false">IF(G37="","",IF(G37&gt;=1,"Sí","No"))</f>
        <v/>
      </c>
      <c r="I37" s="26"/>
      <c r="J37" s="26"/>
      <c r="K37" s="26"/>
      <c r="L37" s="26"/>
    </row>
    <row r="38" customFormat="false" ht="15" hidden="false" customHeight="false" outlineLevel="0" collapsed="false">
      <c r="A38" s="25"/>
      <c r="B38" s="26"/>
      <c r="C38" s="26"/>
      <c r="D38" s="26"/>
      <c r="E38" s="26"/>
      <c r="F38" s="26"/>
      <c r="G38" s="14" t="str">
        <f aca="false">IF(OR(E38="",F38="",E38=0),"",F38/E38)</f>
        <v/>
      </c>
      <c r="H38" s="31" t="str">
        <f aca="false">IF(G38="","",IF(G38&gt;=1,"Sí","No"))</f>
        <v/>
      </c>
      <c r="I38" s="26"/>
      <c r="J38" s="26"/>
      <c r="K38" s="26"/>
      <c r="L38" s="26"/>
    </row>
    <row r="39" customFormat="false" ht="15" hidden="false" customHeight="false" outlineLevel="0" collapsed="false">
      <c r="A39" s="25"/>
      <c r="B39" s="26"/>
      <c r="C39" s="26"/>
      <c r="D39" s="26"/>
      <c r="E39" s="26"/>
      <c r="F39" s="26"/>
      <c r="G39" s="14" t="str">
        <f aca="false">IF(OR(E39="",F39="",E39=0),"",F39/E39)</f>
        <v/>
      </c>
      <c r="H39" s="31" t="str">
        <f aca="false">IF(G39="","",IF(G39&gt;=1,"Sí","No"))</f>
        <v/>
      </c>
      <c r="I39" s="26"/>
      <c r="J39" s="26"/>
      <c r="K39" s="26"/>
      <c r="L39" s="26"/>
    </row>
    <row r="40" customFormat="false" ht="15" hidden="false" customHeight="false" outlineLevel="0" collapsed="false">
      <c r="A40" s="25"/>
      <c r="B40" s="26"/>
      <c r="C40" s="26"/>
      <c r="D40" s="26"/>
      <c r="E40" s="26"/>
      <c r="F40" s="26"/>
      <c r="G40" s="14" t="str">
        <f aca="false">IF(OR(E40="",F40="",E40=0),"",F40/E40)</f>
        <v/>
      </c>
      <c r="H40" s="31" t="str">
        <f aca="false">IF(G40="","",IF(G40&gt;=1,"Sí","No"))</f>
        <v/>
      </c>
      <c r="I40" s="26"/>
      <c r="J40" s="26"/>
      <c r="K40" s="26"/>
      <c r="L40" s="26"/>
    </row>
    <row r="41" customFormat="false" ht="15" hidden="false" customHeight="false" outlineLevel="0" collapsed="false">
      <c r="A41" s="25"/>
      <c r="B41" s="26"/>
      <c r="C41" s="26"/>
      <c r="D41" s="26"/>
      <c r="E41" s="26"/>
      <c r="F41" s="26"/>
      <c r="G41" s="14" t="str">
        <f aca="false">IF(OR(E41="",F41="",E41=0),"",F41/E41)</f>
        <v/>
      </c>
      <c r="H41" s="31" t="str">
        <f aca="false">IF(G41="","",IF(G41&gt;=1,"Sí","No"))</f>
        <v/>
      </c>
      <c r="I41" s="26"/>
      <c r="J41" s="26"/>
      <c r="K41" s="26"/>
      <c r="L41" s="26"/>
    </row>
    <row r="42" customFormat="false" ht="15" hidden="false" customHeight="false" outlineLevel="0" collapsed="false">
      <c r="A42" s="25"/>
      <c r="B42" s="26"/>
      <c r="C42" s="26"/>
      <c r="D42" s="26"/>
      <c r="E42" s="26"/>
      <c r="F42" s="26"/>
      <c r="G42" s="14" t="str">
        <f aca="false">IF(OR(E42="",F42="",E42=0),"",F42/E42)</f>
        <v/>
      </c>
      <c r="H42" s="31" t="str">
        <f aca="false">IF(G42="","",IF(G42&gt;=1,"Sí","No"))</f>
        <v/>
      </c>
      <c r="I42" s="26"/>
      <c r="J42" s="26"/>
      <c r="K42" s="26"/>
      <c r="L42" s="26"/>
    </row>
    <row r="43" customFormat="false" ht="15" hidden="false" customHeight="false" outlineLevel="0" collapsed="false">
      <c r="A43" s="25"/>
      <c r="B43" s="26"/>
      <c r="C43" s="26"/>
      <c r="D43" s="26"/>
      <c r="E43" s="26"/>
      <c r="F43" s="26"/>
      <c r="G43" s="14" t="str">
        <f aca="false">IF(OR(E43="",F43="",E43=0),"",F43/E43)</f>
        <v/>
      </c>
      <c r="H43" s="31" t="str">
        <f aca="false">IF(G43="","",IF(G43&gt;=1,"Sí","No"))</f>
        <v/>
      </c>
      <c r="I43" s="26"/>
      <c r="J43" s="26"/>
      <c r="K43" s="26"/>
      <c r="L43" s="26"/>
    </row>
    <row r="44" customFormat="false" ht="15" hidden="false" customHeight="false" outlineLevel="0" collapsed="false">
      <c r="A44" s="25"/>
      <c r="B44" s="26"/>
      <c r="C44" s="26"/>
      <c r="D44" s="26"/>
      <c r="E44" s="26"/>
      <c r="F44" s="26"/>
      <c r="G44" s="14" t="str">
        <f aca="false">IF(OR(E44="",F44="",E44=0),"",F44/E44)</f>
        <v/>
      </c>
      <c r="H44" s="31" t="str">
        <f aca="false">IF(G44="","",IF(G44&gt;=1,"Sí","No"))</f>
        <v/>
      </c>
      <c r="I44" s="26"/>
      <c r="J44" s="26"/>
      <c r="K44" s="26"/>
      <c r="L44" s="26"/>
    </row>
    <row r="45" customFormat="false" ht="15" hidden="false" customHeight="false" outlineLevel="0" collapsed="false">
      <c r="A45" s="25"/>
      <c r="B45" s="26"/>
      <c r="C45" s="26"/>
      <c r="D45" s="26"/>
      <c r="E45" s="26"/>
      <c r="F45" s="26"/>
      <c r="G45" s="14" t="str">
        <f aca="false">IF(OR(E45="",F45="",E45=0),"",F45/E45)</f>
        <v/>
      </c>
      <c r="H45" s="31" t="str">
        <f aca="false">IF(G45="","",IF(G45&gt;=1,"Sí","No"))</f>
        <v/>
      </c>
      <c r="I45" s="26"/>
      <c r="J45" s="26"/>
      <c r="K45" s="26"/>
      <c r="L45" s="26"/>
    </row>
    <row r="46" customFormat="false" ht="15" hidden="false" customHeight="false" outlineLevel="0" collapsed="false">
      <c r="A46" s="25"/>
      <c r="B46" s="26"/>
      <c r="C46" s="26"/>
      <c r="D46" s="26"/>
      <c r="E46" s="26"/>
      <c r="F46" s="26"/>
      <c r="G46" s="14" t="str">
        <f aca="false">IF(OR(E46="",F46="",E46=0),"",F46/E46)</f>
        <v/>
      </c>
      <c r="H46" s="31" t="str">
        <f aca="false">IF(G46="","",IF(G46&gt;=1,"Sí","No"))</f>
        <v/>
      </c>
      <c r="I46" s="26"/>
      <c r="J46" s="26"/>
      <c r="K46" s="26"/>
      <c r="L46" s="26"/>
    </row>
    <row r="47" customFormat="false" ht="15" hidden="false" customHeight="false" outlineLevel="0" collapsed="false">
      <c r="A47" s="25"/>
      <c r="B47" s="26"/>
      <c r="C47" s="26"/>
      <c r="D47" s="26"/>
      <c r="E47" s="26"/>
      <c r="F47" s="26"/>
      <c r="G47" s="14" t="str">
        <f aca="false">IF(OR(E47="",F47="",E47=0),"",F47/E47)</f>
        <v/>
      </c>
      <c r="H47" s="31" t="str">
        <f aca="false">IF(G47="","",IF(G47&gt;=1,"Sí","No"))</f>
        <v/>
      </c>
      <c r="I47" s="26"/>
      <c r="J47" s="26"/>
      <c r="K47" s="26"/>
      <c r="L47" s="26"/>
    </row>
    <row r="48" customFormat="false" ht="15" hidden="false" customHeight="false" outlineLevel="0" collapsed="false">
      <c r="A48" s="25"/>
      <c r="B48" s="26"/>
      <c r="C48" s="26"/>
      <c r="D48" s="26"/>
      <c r="E48" s="26"/>
      <c r="F48" s="26"/>
      <c r="G48" s="14" t="str">
        <f aca="false">IF(OR(E48="",F48="",E48=0),"",F48/E48)</f>
        <v/>
      </c>
      <c r="H48" s="31" t="str">
        <f aca="false">IF(G48="","",IF(G48&gt;=1,"Sí","No"))</f>
        <v/>
      </c>
      <c r="I48" s="26"/>
      <c r="J48" s="26"/>
      <c r="K48" s="26"/>
      <c r="L48" s="26"/>
    </row>
    <row r="49" customFormat="false" ht="15" hidden="false" customHeight="false" outlineLevel="0" collapsed="false">
      <c r="A49" s="25"/>
      <c r="B49" s="26"/>
      <c r="C49" s="26"/>
      <c r="D49" s="26"/>
      <c r="E49" s="26"/>
      <c r="F49" s="26"/>
      <c r="G49" s="14" t="str">
        <f aca="false">IF(OR(E49="",F49="",E49=0),"",F49/E49)</f>
        <v/>
      </c>
      <c r="H49" s="31" t="str">
        <f aca="false">IF(G49="","",IF(G49&gt;=1,"Sí","No"))</f>
        <v/>
      </c>
      <c r="I49" s="26"/>
      <c r="J49" s="26"/>
      <c r="K49" s="26"/>
      <c r="L49" s="26"/>
    </row>
    <row r="50" customFormat="false" ht="15" hidden="false" customHeight="false" outlineLevel="0" collapsed="false">
      <c r="A50" s="25"/>
      <c r="B50" s="26"/>
      <c r="C50" s="26"/>
      <c r="D50" s="26"/>
      <c r="E50" s="26"/>
      <c r="F50" s="26"/>
      <c r="G50" s="14" t="str">
        <f aca="false">IF(OR(E50="",F50="",E50=0),"",F50/E50)</f>
        <v/>
      </c>
      <c r="H50" s="31" t="str">
        <f aca="false">IF(G50="","",IF(G50&gt;=1,"Sí","No"))</f>
        <v/>
      </c>
      <c r="I50" s="26"/>
      <c r="J50" s="26"/>
      <c r="K50" s="26"/>
      <c r="L50" s="26"/>
    </row>
    <row r="51" customFormat="false" ht="15" hidden="false" customHeight="false" outlineLevel="0" collapsed="false">
      <c r="A51" s="25"/>
      <c r="B51" s="26"/>
      <c r="C51" s="26"/>
      <c r="D51" s="26"/>
      <c r="E51" s="26"/>
      <c r="F51" s="26"/>
      <c r="G51" s="14" t="str">
        <f aca="false">IF(OR(E51="",F51="",E51=0),"",F51/E51)</f>
        <v/>
      </c>
      <c r="H51" s="31" t="str">
        <f aca="false">IF(G51="","",IF(G51&gt;=1,"Sí","No"))</f>
        <v/>
      </c>
      <c r="I51" s="26"/>
      <c r="J51" s="26"/>
      <c r="K51" s="26"/>
      <c r="L51" s="26"/>
    </row>
    <row r="52" customFormat="false" ht="15" hidden="false" customHeight="false" outlineLevel="0" collapsed="false">
      <c r="A52" s="25"/>
      <c r="B52" s="26"/>
      <c r="C52" s="26"/>
      <c r="D52" s="26"/>
      <c r="E52" s="26"/>
      <c r="F52" s="26"/>
      <c r="G52" s="14" t="str">
        <f aca="false">IF(OR(E52="",F52="",E52=0),"",F52/E52)</f>
        <v/>
      </c>
      <c r="H52" s="31" t="str">
        <f aca="false">IF(G52="","",IF(G52&gt;=1,"Sí","No"))</f>
        <v/>
      </c>
      <c r="I52" s="26"/>
      <c r="J52" s="26"/>
      <c r="K52" s="26"/>
      <c r="L52" s="26"/>
    </row>
    <row r="53" customFormat="false" ht="15" hidden="false" customHeight="false" outlineLevel="0" collapsed="false">
      <c r="A53" s="25"/>
      <c r="B53" s="26"/>
      <c r="C53" s="26"/>
      <c r="D53" s="26"/>
      <c r="E53" s="26"/>
      <c r="F53" s="26"/>
      <c r="G53" s="14" t="str">
        <f aca="false">IF(OR(E53="",F53="",E53=0),"",F53/E53)</f>
        <v/>
      </c>
      <c r="H53" s="31" t="str">
        <f aca="false">IF(G53="","",IF(G53&gt;=1,"Sí","No"))</f>
        <v/>
      </c>
      <c r="I53" s="26"/>
      <c r="J53" s="26"/>
      <c r="K53" s="26"/>
      <c r="L53" s="26"/>
    </row>
    <row r="54" customFormat="false" ht="15" hidden="false" customHeight="false" outlineLevel="0" collapsed="false">
      <c r="A54" s="25"/>
      <c r="B54" s="26"/>
      <c r="C54" s="26"/>
      <c r="D54" s="26"/>
      <c r="E54" s="26"/>
      <c r="F54" s="26"/>
      <c r="G54" s="14" t="str">
        <f aca="false">IF(OR(E54="",F54="",E54=0),"",F54/E54)</f>
        <v/>
      </c>
      <c r="H54" s="31" t="str">
        <f aca="false">IF(G54="","",IF(G54&gt;=1,"Sí","No"))</f>
        <v/>
      </c>
      <c r="I54" s="26"/>
      <c r="J54" s="26"/>
      <c r="K54" s="26"/>
      <c r="L54" s="26"/>
    </row>
    <row r="55" customFormat="false" ht="15" hidden="false" customHeight="false" outlineLevel="0" collapsed="false">
      <c r="A55" s="25"/>
      <c r="B55" s="26"/>
      <c r="C55" s="26"/>
      <c r="D55" s="26"/>
      <c r="E55" s="26"/>
      <c r="F55" s="26"/>
      <c r="G55" s="14" t="str">
        <f aca="false">IF(OR(E55="",F55="",E55=0),"",F55/E55)</f>
        <v/>
      </c>
      <c r="H55" s="31" t="str">
        <f aca="false">IF(G55="","",IF(G55&gt;=1,"Sí","No"))</f>
        <v/>
      </c>
      <c r="I55" s="26"/>
      <c r="J55" s="26"/>
      <c r="K55" s="26"/>
      <c r="L55" s="26"/>
    </row>
    <row r="56" customFormat="false" ht="15" hidden="false" customHeight="false" outlineLevel="0" collapsed="false">
      <c r="A56" s="25"/>
      <c r="B56" s="26"/>
      <c r="C56" s="26"/>
      <c r="D56" s="26"/>
      <c r="E56" s="26"/>
      <c r="F56" s="26"/>
      <c r="G56" s="14" t="str">
        <f aca="false">IF(OR(E56="",F56="",E56=0),"",F56/E56)</f>
        <v/>
      </c>
      <c r="H56" s="31" t="str">
        <f aca="false">IF(G56="","",IF(G56&gt;=1,"Sí","No"))</f>
        <v/>
      </c>
      <c r="I56" s="26"/>
      <c r="J56" s="26"/>
      <c r="K56" s="26"/>
      <c r="L56" s="26"/>
    </row>
    <row r="57" customFormat="false" ht="15" hidden="false" customHeight="false" outlineLevel="0" collapsed="false">
      <c r="A57" s="25"/>
      <c r="B57" s="26"/>
      <c r="C57" s="26"/>
      <c r="D57" s="26"/>
      <c r="E57" s="26"/>
      <c r="F57" s="26"/>
      <c r="G57" s="14" t="str">
        <f aca="false">IF(OR(E57="",F57="",E57=0),"",F57/E57)</f>
        <v/>
      </c>
      <c r="H57" s="31" t="str">
        <f aca="false">IF(G57="","",IF(G57&gt;=1,"Sí","No"))</f>
        <v/>
      </c>
      <c r="I57" s="26"/>
      <c r="J57" s="26"/>
      <c r="K57" s="26"/>
      <c r="L57" s="26"/>
    </row>
    <row r="58" customFormat="false" ht="15" hidden="false" customHeight="false" outlineLevel="0" collapsed="false">
      <c r="A58" s="25"/>
      <c r="B58" s="26"/>
      <c r="C58" s="26"/>
      <c r="D58" s="26"/>
      <c r="E58" s="26"/>
      <c r="F58" s="26"/>
      <c r="G58" s="14" t="str">
        <f aca="false">IF(OR(E58="",F58="",E58=0),"",F58/E58)</f>
        <v/>
      </c>
      <c r="H58" s="31" t="str">
        <f aca="false">IF(G58="","",IF(G58&gt;=1,"Sí","No"))</f>
        <v/>
      </c>
      <c r="I58" s="26"/>
      <c r="J58" s="26"/>
      <c r="K58" s="26"/>
      <c r="L58" s="26"/>
    </row>
    <row r="59" customFormat="false" ht="15" hidden="false" customHeight="false" outlineLevel="0" collapsed="false">
      <c r="A59" s="25"/>
      <c r="B59" s="26"/>
      <c r="C59" s="26"/>
      <c r="D59" s="26"/>
      <c r="E59" s="26"/>
      <c r="F59" s="26"/>
      <c r="G59" s="14" t="str">
        <f aca="false">IF(OR(E59="",F59="",E59=0),"",F59/E59)</f>
        <v/>
      </c>
      <c r="H59" s="31" t="str">
        <f aca="false">IF(G59="","",IF(G59&gt;=1,"Sí","No"))</f>
        <v/>
      </c>
      <c r="I59" s="26"/>
      <c r="J59" s="26"/>
      <c r="K59" s="26"/>
      <c r="L59" s="26"/>
    </row>
    <row r="60" customFormat="false" ht="15" hidden="false" customHeight="false" outlineLevel="0" collapsed="false">
      <c r="A60" s="25"/>
      <c r="B60" s="26"/>
      <c r="C60" s="26"/>
      <c r="D60" s="26"/>
      <c r="E60" s="26"/>
      <c r="F60" s="26"/>
      <c r="G60" s="14" t="str">
        <f aca="false">IF(OR(E60="",F60="",E60=0),"",F60/E60)</f>
        <v/>
      </c>
      <c r="H60" s="31" t="str">
        <f aca="false">IF(G60="","",IF(G60&gt;=1,"Sí","No"))</f>
        <v/>
      </c>
      <c r="I60" s="26"/>
      <c r="J60" s="26"/>
      <c r="K60" s="26"/>
      <c r="L60" s="26"/>
    </row>
    <row r="61" customFormat="false" ht="15" hidden="false" customHeight="false" outlineLevel="0" collapsed="false">
      <c r="A61" s="25"/>
      <c r="B61" s="26"/>
      <c r="C61" s="26"/>
      <c r="D61" s="26"/>
      <c r="E61" s="26"/>
      <c r="F61" s="26"/>
      <c r="G61" s="14" t="str">
        <f aca="false">IF(OR(E61="",F61="",E61=0),"",F61/E61)</f>
        <v/>
      </c>
      <c r="H61" s="31" t="str">
        <f aca="false">IF(G61="","",IF(G61&gt;=1,"Sí","No"))</f>
        <v/>
      </c>
      <c r="I61" s="26"/>
      <c r="J61" s="26"/>
      <c r="K61" s="26"/>
      <c r="L61" s="26"/>
    </row>
    <row r="62" customFormat="false" ht="15" hidden="false" customHeight="false" outlineLevel="0" collapsed="false">
      <c r="A62" s="25"/>
      <c r="B62" s="26"/>
      <c r="C62" s="26"/>
      <c r="D62" s="26"/>
      <c r="E62" s="26"/>
      <c r="F62" s="26"/>
      <c r="G62" s="14" t="str">
        <f aca="false">IF(OR(E62="",F62="",E62=0),"",F62/E62)</f>
        <v/>
      </c>
      <c r="H62" s="31" t="str">
        <f aca="false">IF(G62="","",IF(G62&gt;=1,"Sí","No"))</f>
        <v/>
      </c>
      <c r="I62" s="26"/>
      <c r="J62" s="26"/>
      <c r="K62" s="26"/>
      <c r="L62" s="26"/>
    </row>
    <row r="63" customFormat="false" ht="15" hidden="false" customHeight="false" outlineLevel="0" collapsed="false">
      <c r="A63" s="25"/>
      <c r="B63" s="26"/>
      <c r="C63" s="26"/>
      <c r="D63" s="26"/>
      <c r="E63" s="26"/>
      <c r="F63" s="26"/>
      <c r="G63" s="14" t="str">
        <f aca="false">IF(OR(E63="",F63="",E63=0),"",F63/E63)</f>
        <v/>
      </c>
      <c r="H63" s="31" t="str">
        <f aca="false">IF(G63="","",IF(G63&gt;=1,"Sí","No"))</f>
        <v/>
      </c>
      <c r="I63" s="26"/>
      <c r="J63" s="26"/>
      <c r="K63" s="26"/>
      <c r="L63" s="26"/>
    </row>
    <row r="64" customFormat="false" ht="15" hidden="false" customHeight="false" outlineLevel="0" collapsed="false">
      <c r="A64" s="25"/>
      <c r="B64" s="26"/>
      <c r="C64" s="26"/>
      <c r="D64" s="26"/>
      <c r="E64" s="26"/>
      <c r="F64" s="26"/>
      <c r="G64" s="14" t="str">
        <f aca="false">IF(OR(E64="",F64="",E64=0),"",F64/E64)</f>
        <v/>
      </c>
      <c r="H64" s="31" t="str">
        <f aca="false">IF(G64="","",IF(G64&gt;=1,"Sí","No"))</f>
        <v/>
      </c>
      <c r="I64" s="26"/>
      <c r="J64" s="26"/>
      <c r="K64" s="26"/>
      <c r="L64" s="26"/>
    </row>
    <row r="65" customFormat="false" ht="15" hidden="false" customHeight="false" outlineLevel="0" collapsed="false">
      <c r="A65" s="25"/>
      <c r="B65" s="26"/>
      <c r="C65" s="26"/>
      <c r="D65" s="26"/>
      <c r="E65" s="26"/>
      <c r="F65" s="26"/>
      <c r="G65" s="14" t="str">
        <f aca="false">IF(OR(E65="",F65="",E65=0),"",F65/E65)</f>
        <v/>
      </c>
      <c r="H65" s="31" t="str">
        <f aca="false">IF(G65="","",IF(G65&gt;=1,"Sí","No"))</f>
        <v/>
      </c>
      <c r="I65" s="26"/>
      <c r="J65" s="26"/>
      <c r="K65" s="26"/>
      <c r="L65" s="26"/>
    </row>
    <row r="66" customFormat="false" ht="15" hidden="false" customHeight="false" outlineLevel="0" collapsed="false">
      <c r="A66" s="25"/>
      <c r="B66" s="26"/>
      <c r="C66" s="26"/>
      <c r="D66" s="26"/>
      <c r="E66" s="26"/>
      <c r="F66" s="26"/>
      <c r="G66" s="14" t="str">
        <f aca="false">IF(OR(E66="",F66="",E66=0),"",F66/E66)</f>
        <v/>
      </c>
      <c r="H66" s="31" t="str">
        <f aca="false">IF(G66="","",IF(G66&gt;=1,"Sí","No"))</f>
        <v/>
      </c>
      <c r="I66" s="26"/>
      <c r="J66" s="26"/>
      <c r="K66" s="26"/>
      <c r="L66" s="26"/>
    </row>
    <row r="67" customFormat="false" ht="15" hidden="false" customHeight="false" outlineLevel="0" collapsed="false">
      <c r="A67" s="25"/>
      <c r="B67" s="26"/>
      <c r="C67" s="26"/>
      <c r="D67" s="26"/>
      <c r="E67" s="26"/>
      <c r="F67" s="26"/>
      <c r="G67" s="14" t="str">
        <f aca="false">IF(OR(E67="",F67="",E67=0),"",F67/E67)</f>
        <v/>
      </c>
      <c r="H67" s="31" t="str">
        <f aca="false">IF(G67="","",IF(G67&gt;=1,"Sí","No"))</f>
        <v/>
      </c>
      <c r="I67" s="26"/>
      <c r="J67" s="26"/>
      <c r="K67" s="26"/>
      <c r="L67" s="26"/>
    </row>
    <row r="68" customFormat="false" ht="15" hidden="false" customHeight="false" outlineLevel="0" collapsed="false">
      <c r="A68" s="25"/>
      <c r="B68" s="26"/>
      <c r="C68" s="26"/>
      <c r="D68" s="26"/>
      <c r="E68" s="26"/>
      <c r="F68" s="26"/>
      <c r="G68" s="14" t="str">
        <f aca="false">IF(OR(E68="",F68="",E68=0),"",F68/E68)</f>
        <v/>
      </c>
      <c r="H68" s="31" t="str">
        <f aca="false">IF(G68="","",IF(G68&gt;=1,"Sí","No"))</f>
        <v/>
      </c>
      <c r="I68" s="26"/>
      <c r="J68" s="26"/>
      <c r="K68" s="26"/>
      <c r="L68" s="26"/>
    </row>
    <row r="69" customFormat="false" ht="15" hidden="false" customHeight="false" outlineLevel="0" collapsed="false">
      <c r="A69" s="25"/>
      <c r="B69" s="26"/>
      <c r="C69" s="26"/>
      <c r="D69" s="26"/>
      <c r="E69" s="26"/>
      <c r="F69" s="26"/>
      <c r="G69" s="14" t="str">
        <f aca="false">IF(OR(E69="",F69="",E69=0),"",F69/E69)</f>
        <v/>
      </c>
      <c r="H69" s="31" t="str">
        <f aca="false">IF(G69="","",IF(G69&gt;=1,"Sí","No"))</f>
        <v/>
      </c>
      <c r="I69" s="26"/>
      <c r="J69" s="26"/>
      <c r="K69" s="26"/>
      <c r="L69" s="26"/>
    </row>
    <row r="70" customFormat="false" ht="15" hidden="false" customHeight="false" outlineLevel="0" collapsed="false">
      <c r="A70" s="25"/>
      <c r="B70" s="26"/>
      <c r="C70" s="26"/>
      <c r="D70" s="26"/>
      <c r="E70" s="26"/>
      <c r="F70" s="26"/>
      <c r="G70" s="14" t="str">
        <f aca="false">IF(OR(E70="",F70="",E70=0),"",F70/E70)</f>
        <v/>
      </c>
      <c r="H70" s="31" t="str">
        <f aca="false">IF(G70="","",IF(G70&gt;=1,"Sí","No"))</f>
        <v/>
      </c>
      <c r="I70" s="26"/>
      <c r="J70" s="26"/>
      <c r="K70" s="26"/>
      <c r="L70" s="26"/>
    </row>
    <row r="71" customFormat="false" ht="15" hidden="false" customHeight="false" outlineLevel="0" collapsed="false">
      <c r="A71" s="25"/>
      <c r="B71" s="26"/>
      <c r="C71" s="26"/>
      <c r="D71" s="26"/>
      <c r="E71" s="26"/>
      <c r="F71" s="26"/>
      <c r="G71" s="14" t="str">
        <f aca="false">IF(OR(E71="",F71="",E71=0),"",F71/E71)</f>
        <v/>
      </c>
      <c r="H71" s="31" t="str">
        <f aca="false">IF(G71="","",IF(G71&gt;=1,"Sí","No"))</f>
        <v/>
      </c>
      <c r="I71" s="26"/>
      <c r="J71" s="26"/>
      <c r="K71" s="26"/>
      <c r="L71" s="26"/>
    </row>
    <row r="72" customFormat="false" ht="15" hidden="false" customHeight="false" outlineLevel="0" collapsed="false">
      <c r="A72" s="25"/>
      <c r="B72" s="26"/>
      <c r="C72" s="26"/>
      <c r="D72" s="26"/>
      <c r="E72" s="26"/>
      <c r="F72" s="26"/>
      <c r="G72" s="14" t="str">
        <f aca="false">IF(OR(E72="",F72="",E72=0),"",F72/E72)</f>
        <v/>
      </c>
      <c r="H72" s="31" t="str">
        <f aca="false">IF(G72="","",IF(G72&gt;=1,"Sí","No"))</f>
        <v/>
      </c>
      <c r="I72" s="26"/>
      <c r="J72" s="26"/>
      <c r="K72" s="26"/>
      <c r="L72" s="26"/>
    </row>
    <row r="73" customFormat="false" ht="15" hidden="false" customHeight="false" outlineLevel="0" collapsed="false">
      <c r="A73" s="25"/>
      <c r="B73" s="26"/>
      <c r="C73" s="26"/>
      <c r="D73" s="26"/>
      <c r="E73" s="26"/>
      <c r="F73" s="26"/>
      <c r="G73" s="14" t="str">
        <f aca="false">IF(OR(E73="",F73="",E73=0),"",F73/E73)</f>
        <v/>
      </c>
      <c r="H73" s="31" t="str">
        <f aca="false">IF(G73="","",IF(G73&gt;=1,"Sí","No"))</f>
        <v/>
      </c>
      <c r="I73" s="26"/>
      <c r="J73" s="26"/>
      <c r="K73" s="26"/>
      <c r="L73" s="26"/>
    </row>
    <row r="74" customFormat="false" ht="15" hidden="false" customHeight="false" outlineLevel="0" collapsed="false">
      <c r="A74" s="25"/>
      <c r="B74" s="26"/>
      <c r="C74" s="26"/>
      <c r="D74" s="26"/>
      <c r="E74" s="26"/>
      <c r="F74" s="26"/>
      <c r="G74" s="14" t="str">
        <f aca="false">IF(OR(E74="",F74="",E74=0),"",F74/E74)</f>
        <v/>
      </c>
      <c r="H74" s="31" t="str">
        <f aca="false">IF(G74="","",IF(G74&gt;=1,"Sí","No"))</f>
        <v/>
      </c>
      <c r="I74" s="26"/>
      <c r="J74" s="26"/>
      <c r="K74" s="26"/>
      <c r="L74" s="26"/>
    </row>
    <row r="75" customFormat="false" ht="15" hidden="false" customHeight="false" outlineLevel="0" collapsed="false">
      <c r="A75" s="25"/>
      <c r="B75" s="26"/>
      <c r="C75" s="26"/>
      <c r="D75" s="26"/>
      <c r="E75" s="26"/>
      <c r="F75" s="26"/>
      <c r="G75" s="14" t="str">
        <f aca="false">IF(OR(E75="",F75="",E75=0),"",F75/E75)</f>
        <v/>
      </c>
      <c r="H75" s="31" t="str">
        <f aca="false">IF(G75="","",IF(G75&gt;=1,"Sí","No"))</f>
        <v/>
      </c>
      <c r="I75" s="26"/>
      <c r="J75" s="26"/>
      <c r="K75" s="26"/>
      <c r="L75" s="26"/>
    </row>
    <row r="76" customFormat="false" ht="15" hidden="false" customHeight="false" outlineLevel="0" collapsed="false">
      <c r="A76" s="25"/>
      <c r="B76" s="26"/>
      <c r="C76" s="26"/>
      <c r="D76" s="26"/>
      <c r="E76" s="26"/>
      <c r="F76" s="26"/>
      <c r="G76" s="14" t="str">
        <f aca="false">IF(OR(E76="",F76="",E76=0),"",F76/E76)</f>
        <v/>
      </c>
      <c r="H76" s="31" t="str">
        <f aca="false">IF(G76="","",IF(G76&gt;=1,"Sí","No"))</f>
        <v/>
      </c>
      <c r="I76" s="26"/>
      <c r="J76" s="26"/>
      <c r="K76" s="26"/>
      <c r="L76" s="26"/>
    </row>
    <row r="77" customFormat="false" ht="15" hidden="false" customHeight="false" outlineLevel="0" collapsed="false">
      <c r="A77" s="25"/>
      <c r="B77" s="26"/>
      <c r="C77" s="26"/>
      <c r="D77" s="26"/>
      <c r="E77" s="26"/>
      <c r="F77" s="26"/>
      <c r="G77" s="14" t="str">
        <f aca="false">IF(OR(E77="",F77="",E77=0),"",F77/E77)</f>
        <v/>
      </c>
      <c r="H77" s="31" t="str">
        <f aca="false">IF(G77="","",IF(G77&gt;=1,"Sí","No"))</f>
        <v/>
      </c>
      <c r="I77" s="26"/>
      <c r="J77" s="26"/>
      <c r="K77" s="26"/>
      <c r="L77" s="26"/>
    </row>
    <row r="78" customFormat="false" ht="15" hidden="false" customHeight="false" outlineLevel="0" collapsed="false">
      <c r="A78" s="25"/>
      <c r="B78" s="26"/>
      <c r="C78" s="26"/>
      <c r="D78" s="26"/>
      <c r="E78" s="26"/>
      <c r="F78" s="26"/>
      <c r="G78" s="14" t="str">
        <f aca="false">IF(OR(E78="",F78="",E78=0),"",F78/E78)</f>
        <v/>
      </c>
      <c r="H78" s="31" t="str">
        <f aca="false">IF(G78="","",IF(G78&gt;=1,"Sí","No"))</f>
        <v/>
      </c>
      <c r="I78" s="26"/>
      <c r="J78" s="26"/>
      <c r="K78" s="26"/>
      <c r="L78" s="26"/>
    </row>
    <row r="79" customFormat="false" ht="15" hidden="false" customHeight="false" outlineLevel="0" collapsed="false">
      <c r="A79" s="25"/>
      <c r="B79" s="26"/>
      <c r="C79" s="26"/>
      <c r="D79" s="26"/>
      <c r="E79" s="26"/>
      <c r="F79" s="26"/>
      <c r="G79" s="14" t="str">
        <f aca="false">IF(OR(E79="",F79="",E79=0),"",F79/E79)</f>
        <v/>
      </c>
      <c r="H79" s="31" t="str">
        <f aca="false">IF(G79="","",IF(G79&gt;=1,"Sí","No"))</f>
        <v/>
      </c>
      <c r="I79" s="26"/>
      <c r="J79" s="26"/>
      <c r="K79" s="26"/>
      <c r="L79" s="26"/>
    </row>
    <row r="80" customFormat="false" ht="15" hidden="false" customHeight="false" outlineLevel="0" collapsed="false">
      <c r="A80" s="25"/>
      <c r="B80" s="26"/>
      <c r="C80" s="26"/>
      <c r="D80" s="26"/>
      <c r="E80" s="26"/>
      <c r="F80" s="26"/>
      <c r="G80" s="14" t="str">
        <f aca="false">IF(OR(E80="",F80="",E80=0),"",F80/E80)</f>
        <v/>
      </c>
      <c r="H80" s="31" t="str">
        <f aca="false">IF(G80="","",IF(G80&gt;=1,"Sí","No"))</f>
        <v/>
      </c>
      <c r="I80" s="26"/>
      <c r="J80" s="26"/>
      <c r="K80" s="26"/>
      <c r="L80" s="26"/>
    </row>
    <row r="81" customFormat="false" ht="15" hidden="false" customHeight="false" outlineLevel="0" collapsed="false">
      <c r="A81" s="25"/>
      <c r="B81" s="26"/>
      <c r="C81" s="26"/>
      <c r="D81" s="26"/>
      <c r="E81" s="26"/>
      <c r="F81" s="26"/>
      <c r="G81" s="14" t="str">
        <f aca="false">IF(OR(E81="",F81="",E81=0),"",F81/E81)</f>
        <v/>
      </c>
      <c r="H81" s="31" t="str">
        <f aca="false">IF(G81="","",IF(G81&gt;=1,"Sí","No"))</f>
        <v/>
      </c>
      <c r="I81" s="26"/>
      <c r="J81" s="26"/>
      <c r="K81" s="26"/>
      <c r="L81" s="26"/>
    </row>
    <row r="82" customFormat="false" ht="15" hidden="false" customHeight="false" outlineLevel="0" collapsed="false">
      <c r="A82" s="25"/>
      <c r="B82" s="26"/>
      <c r="C82" s="26"/>
      <c r="D82" s="26"/>
      <c r="E82" s="26"/>
      <c r="F82" s="26"/>
      <c r="G82" s="14" t="str">
        <f aca="false">IF(OR(E82="",F82="",E82=0),"",F82/E82)</f>
        <v/>
      </c>
      <c r="H82" s="31" t="str">
        <f aca="false">IF(G82="","",IF(G82&gt;=1,"Sí","No"))</f>
        <v/>
      </c>
      <c r="I82" s="26"/>
      <c r="J82" s="26"/>
      <c r="K82" s="26"/>
      <c r="L82" s="26"/>
    </row>
    <row r="83" customFormat="false" ht="15" hidden="false" customHeight="false" outlineLevel="0" collapsed="false">
      <c r="A83" s="25"/>
      <c r="B83" s="26"/>
      <c r="C83" s="26"/>
      <c r="D83" s="26"/>
      <c r="E83" s="26"/>
      <c r="F83" s="26"/>
      <c r="G83" s="14" t="str">
        <f aca="false">IF(OR(E83="",F83="",E83=0),"",F83/E83)</f>
        <v/>
      </c>
      <c r="H83" s="31" t="str">
        <f aca="false">IF(G83="","",IF(G83&gt;=1,"Sí","No"))</f>
        <v/>
      </c>
      <c r="I83" s="26"/>
      <c r="J83" s="26"/>
      <c r="K83" s="26"/>
      <c r="L83" s="26"/>
    </row>
    <row r="84" customFormat="false" ht="15" hidden="false" customHeight="false" outlineLevel="0" collapsed="false">
      <c r="A84" s="25"/>
      <c r="B84" s="26"/>
      <c r="C84" s="26"/>
      <c r="D84" s="26"/>
      <c r="E84" s="26"/>
      <c r="F84" s="26"/>
      <c r="G84" s="14" t="str">
        <f aca="false">IF(OR(E84="",F84="",E84=0),"",F84/E84)</f>
        <v/>
      </c>
      <c r="H84" s="31" t="str">
        <f aca="false">IF(G84="","",IF(G84&gt;=1,"Sí","No"))</f>
        <v/>
      </c>
      <c r="I84" s="26"/>
      <c r="J84" s="26"/>
      <c r="K84" s="26"/>
      <c r="L84" s="26"/>
    </row>
    <row r="85" customFormat="false" ht="15" hidden="false" customHeight="false" outlineLevel="0" collapsed="false">
      <c r="A85" s="25"/>
      <c r="B85" s="26"/>
      <c r="C85" s="26"/>
      <c r="D85" s="26"/>
      <c r="E85" s="26"/>
      <c r="F85" s="26"/>
      <c r="G85" s="14" t="str">
        <f aca="false">IF(OR(E85="",F85="",E85=0),"",F85/E85)</f>
        <v/>
      </c>
      <c r="H85" s="31" t="str">
        <f aca="false">IF(G85="","",IF(G85&gt;=1,"Sí","No"))</f>
        <v/>
      </c>
      <c r="I85" s="26"/>
      <c r="J85" s="26"/>
      <c r="K85" s="26"/>
      <c r="L85" s="26"/>
    </row>
    <row r="86" customFormat="false" ht="15" hidden="false" customHeight="false" outlineLevel="0" collapsed="false">
      <c r="A86" s="25"/>
      <c r="B86" s="26"/>
      <c r="C86" s="26"/>
      <c r="D86" s="26"/>
      <c r="E86" s="26"/>
      <c r="F86" s="26"/>
      <c r="G86" s="14" t="str">
        <f aca="false">IF(OR(E86="",F86="",E86=0),"",F86/E86)</f>
        <v/>
      </c>
      <c r="H86" s="31" t="str">
        <f aca="false">IF(G86="","",IF(G86&gt;=1,"Sí","No"))</f>
        <v/>
      </c>
      <c r="I86" s="26"/>
      <c r="J86" s="26"/>
      <c r="K86" s="26"/>
      <c r="L86" s="26"/>
    </row>
    <row r="87" customFormat="false" ht="15" hidden="false" customHeight="false" outlineLevel="0" collapsed="false">
      <c r="A87" s="25"/>
      <c r="B87" s="26"/>
      <c r="C87" s="26"/>
      <c r="D87" s="26"/>
      <c r="E87" s="26"/>
      <c r="F87" s="26"/>
      <c r="G87" s="14" t="str">
        <f aca="false">IF(OR(E87="",F87="",E87=0),"",F87/E87)</f>
        <v/>
      </c>
      <c r="H87" s="31" t="str">
        <f aca="false">IF(G87="","",IF(G87&gt;=1,"Sí","No"))</f>
        <v/>
      </c>
      <c r="I87" s="26"/>
      <c r="J87" s="26"/>
      <c r="K87" s="26"/>
      <c r="L87" s="26"/>
    </row>
    <row r="88" customFormat="false" ht="15" hidden="false" customHeight="false" outlineLevel="0" collapsed="false">
      <c r="A88" s="25"/>
      <c r="B88" s="26"/>
      <c r="C88" s="26"/>
      <c r="D88" s="26"/>
      <c r="E88" s="26"/>
      <c r="F88" s="26"/>
      <c r="G88" s="14" t="str">
        <f aca="false">IF(OR(E88="",F88="",E88=0),"",F88/E88)</f>
        <v/>
      </c>
      <c r="H88" s="31" t="str">
        <f aca="false">IF(G88="","",IF(G88&gt;=1,"Sí","No"))</f>
        <v/>
      </c>
      <c r="I88" s="26"/>
      <c r="J88" s="26"/>
      <c r="K88" s="26"/>
      <c r="L88" s="26"/>
    </row>
    <row r="89" customFormat="false" ht="15" hidden="false" customHeight="false" outlineLevel="0" collapsed="false">
      <c r="A89" s="25"/>
      <c r="B89" s="26"/>
      <c r="C89" s="26"/>
      <c r="D89" s="26"/>
      <c r="E89" s="26"/>
      <c r="F89" s="26"/>
      <c r="G89" s="14" t="str">
        <f aca="false">IF(OR(E89="",F89="",E89=0),"",F89/E89)</f>
        <v/>
      </c>
      <c r="H89" s="31" t="str">
        <f aca="false">IF(G89="","",IF(G89&gt;=1,"Sí","No"))</f>
        <v/>
      </c>
      <c r="I89" s="26"/>
      <c r="J89" s="26"/>
      <c r="K89" s="26"/>
      <c r="L89" s="26"/>
    </row>
    <row r="90" customFormat="false" ht="15" hidden="false" customHeight="false" outlineLevel="0" collapsed="false">
      <c r="A90" s="25"/>
      <c r="B90" s="26"/>
      <c r="C90" s="26"/>
      <c r="D90" s="26"/>
      <c r="E90" s="26"/>
      <c r="F90" s="26"/>
      <c r="G90" s="14" t="str">
        <f aca="false">IF(OR(E90="",F90="",E90=0),"",F90/E90)</f>
        <v/>
      </c>
      <c r="H90" s="31" t="str">
        <f aca="false">IF(G90="","",IF(G90&gt;=1,"Sí","No"))</f>
        <v/>
      </c>
      <c r="I90" s="26"/>
      <c r="J90" s="26"/>
      <c r="K90" s="26"/>
      <c r="L90" s="26"/>
    </row>
    <row r="91" customFormat="false" ht="15" hidden="false" customHeight="false" outlineLevel="0" collapsed="false">
      <c r="A91" s="25"/>
      <c r="B91" s="26"/>
      <c r="C91" s="26"/>
      <c r="D91" s="26"/>
      <c r="E91" s="26"/>
      <c r="F91" s="26"/>
      <c r="G91" s="14" t="str">
        <f aca="false">IF(OR(E91="",F91="",E91=0),"",F91/E91)</f>
        <v/>
      </c>
      <c r="H91" s="31" t="str">
        <f aca="false">IF(G91="","",IF(G91&gt;=1,"Sí","No"))</f>
        <v/>
      </c>
      <c r="I91" s="26"/>
      <c r="J91" s="26"/>
      <c r="K91" s="26"/>
      <c r="L91" s="26"/>
    </row>
    <row r="92" customFormat="false" ht="15" hidden="false" customHeight="false" outlineLevel="0" collapsed="false">
      <c r="A92" s="25"/>
      <c r="B92" s="26"/>
      <c r="C92" s="26"/>
      <c r="D92" s="26"/>
      <c r="E92" s="26"/>
      <c r="F92" s="26"/>
      <c r="G92" s="14" t="str">
        <f aca="false">IF(OR(E92="",F92="",E92=0),"",F92/E92)</f>
        <v/>
      </c>
      <c r="H92" s="31" t="str">
        <f aca="false">IF(G92="","",IF(G92&gt;=1,"Sí","No"))</f>
        <v/>
      </c>
      <c r="I92" s="26"/>
      <c r="J92" s="26"/>
      <c r="K92" s="26"/>
      <c r="L92" s="26"/>
    </row>
    <row r="93" customFormat="false" ht="15" hidden="false" customHeight="false" outlineLevel="0" collapsed="false">
      <c r="A93" s="25"/>
      <c r="B93" s="26"/>
      <c r="C93" s="26"/>
      <c r="D93" s="26"/>
      <c r="E93" s="26"/>
      <c r="F93" s="26"/>
      <c r="G93" s="14" t="str">
        <f aca="false">IF(OR(E93="",F93="",E93=0),"",F93/E93)</f>
        <v/>
      </c>
      <c r="H93" s="31" t="str">
        <f aca="false">IF(G93="","",IF(G93&gt;=1,"Sí","No"))</f>
        <v/>
      </c>
      <c r="I93" s="26"/>
      <c r="J93" s="26"/>
      <c r="K93" s="26"/>
      <c r="L93" s="26"/>
    </row>
    <row r="94" customFormat="false" ht="15" hidden="false" customHeight="false" outlineLevel="0" collapsed="false">
      <c r="A94" s="25"/>
      <c r="B94" s="26"/>
      <c r="C94" s="26"/>
      <c r="D94" s="26"/>
      <c r="E94" s="26"/>
      <c r="F94" s="26"/>
      <c r="G94" s="14" t="str">
        <f aca="false">IF(OR(E94="",F94="",E94=0),"",F94/E94)</f>
        <v/>
      </c>
      <c r="H94" s="31" t="str">
        <f aca="false">IF(G94="","",IF(G94&gt;=1,"Sí","No"))</f>
        <v/>
      </c>
      <c r="I94" s="26"/>
      <c r="J94" s="26"/>
      <c r="K94" s="26"/>
      <c r="L94" s="26"/>
    </row>
    <row r="95" customFormat="false" ht="15" hidden="false" customHeight="false" outlineLevel="0" collapsed="false">
      <c r="A95" s="25"/>
      <c r="B95" s="26"/>
      <c r="C95" s="26"/>
      <c r="D95" s="26"/>
      <c r="E95" s="26"/>
      <c r="F95" s="26"/>
      <c r="G95" s="14" t="str">
        <f aca="false">IF(OR(E95="",F95="",E95=0),"",F95/E95)</f>
        <v/>
      </c>
      <c r="H95" s="31" t="str">
        <f aca="false">IF(G95="","",IF(G95&gt;=1,"Sí","No"))</f>
        <v/>
      </c>
      <c r="I95" s="26"/>
      <c r="J95" s="26"/>
      <c r="K95" s="26"/>
      <c r="L95" s="26"/>
    </row>
    <row r="96" customFormat="false" ht="15" hidden="false" customHeight="false" outlineLevel="0" collapsed="false">
      <c r="A96" s="25"/>
      <c r="B96" s="26"/>
      <c r="C96" s="26"/>
      <c r="D96" s="26"/>
      <c r="E96" s="26"/>
      <c r="F96" s="26"/>
      <c r="G96" s="14" t="str">
        <f aca="false">IF(OR(E96="",F96="",E96=0),"",F96/E96)</f>
        <v/>
      </c>
      <c r="H96" s="31" t="str">
        <f aca="false">IF(G96="","",IF(G96&gt;=1,"Sí","No"))</f>
        <v/>
      </c>
      <c r="I96" s="26"/>
      <c r="J96" s="26"/>
      <c r="K96" s="26"/>
      <c r="L96" s="26"/>
    </row>
    <row r="97" customFormat="false" ht="15" hidden="false" customHeight="false" outlineLevel="0" collapsed="false">
      <c r="A97" s="25"/>
      <c r="B97" s="26"/>
      <c r="C97" s="26"/>
      <c r="D97" s="26"/>
      <c r="E97" s="26"/>
      <c r="F97" s="26"/>
      <c r="G97" s="14" t="str">
        <f aca="false">IF(OR(E97="",F97="",E97=0),"",F97/E97)</f>
        <v/>
      </c>
      <c r="H97" s="31" t="str">
        <f aca="false">IF(G97="","",IF(G97&gt;=1,"Sí","No"))</f>
        <v/>
      </c>
      <c r="I97" s="26"/>
      <c r="J97" s="26"/>
      <c r="K97" s="26"/>
      <c r="L97" s="26"/>
    </row>
    <row r="98" customFormat="false" ht="15" hidden="false" customHeight="false" outlineLevel="0" collapsed="false">
      <c r="A98" s="25"/>
      <c r="B98" s="26"/>
      <c r="C98" s="26"/>
      <c r="D98" s="26"/>
      <c r="E98" s="26"/>
      <c r="F98" s="26"/>
      <c r="G98" s="14" t="str">
        <f aca="false">IF(OR(E98="",F98="",E98=0),"",F98/E98)</f>
        <v/>
      </c>
      <c r="H98" s="31" t="str">
        <f aca="false">IF(G98="","",IF(G98&gt;=1,"Sí","No"))</f>
        <v/>
      </c>
      <c r="I98" s="26"/>
      <c r="J98" s="26"/>
      <c r="K98" s="26"/>
      <c r="L98" s="26"/>
    </row>
    <row r="99" customFormat="false" ht="15" hidden="false" customHeight="false" outlineLevel="0" collapsed="false">
      <c r="A99" s="25"/>
      <c r="B99" s="26"/>
      <c r="C99" s="26"/>
      <c r="D99" s="26"/>
      <c r="E99" s="26"/>
      <c r="F99" s="26"/>
      <c r="G99" s="14" t="str">
        <f aca="false">IF(OR(E99="",F99="",E99=0),"",F99/E99)</f>
        <v/>
      </c>
      <c r="H99" s="31" t="str">
        <f aca="false">IF(G99="","",IF(G99&gt;=1,"Sí","No"))</f>
        <v/>
      </c>
      <c r="I99" s="26"/>
      <c r="J99" s="26"/>
      <c r="K99" s="26"/>
      <c r="L99" s="26"/>
    </row>
    <row r="100" customFormat="false" ht="15" hidden="false" customHeight="false" outlineLevel="0" collapsed="false">
      <c r="A100" s="25"/>
      <c r="B100" s="26"/>
      <c r="C100" s="26"/>
      <c r="D100" s="26"/>
      <c r="E100" s="26"/>
      <c r="F100" s="26"/>
      <c r="G100" s="14" t="str">
        <f aca="false">IF(OR(E100="",F100="",E100=0),"",F100/E100)</f>
        <v/>
      </c>
      <c r="H100" s="31" t="str">
        <f aca="false">IF(G100="","",IF(G100&gt;=1,"Sí","No"))</f>
        <v/>
      </c>
      <c r="I100" s="26"/>
      <c r="J100" s="26"/>
      <c r="K100" s="26"/>
      <c r="L100" s="26"/>
    </row>
    <row r="101" customFormat="false" ht="15" hidden="false" customHeight="false" outlineLevel="0" collapsed="false">
      <c r="A101" s="25"/>
      <c r="B101" s="26"/>
      <c r="C101" s="26"/>
      <c r="D101" s="26"/>
      <c r="E101" s="26"/>
      <c r="F101" s="26"/>
      <c r="G101" s="14" t="str">
        <f aca="false">IF(OR(E101="",F101="",E101=0),"",F101/E101)</f>
        <v/>
      </c>
      <c r="H101" s="31" t="str">
        <f aca="false">IF(G101="","",IF(G101&gt;=1,"Sí","No"))</f>
        <v/>
      </c>
      <c r="I101" s="26"/>
      <c r="J101" s="26"/>
      <c r="K101" s="26"/>
      <c r="L101" s="26"/>
    </row>
    <row r="102" customFormat="false" ht="15" hidden="false" customHeight="false" outlineLevel="0" collapsed="false">
      <c r="A102" s="25"/>
      <c r="B102" s="26"/>
      <c r="C102" s="26"/>
      <c r="D102" s="26"/>
      <c r="E102" s="26"/>
      <c r="F102" s="26"/>
      <c r="G102" s="14" t="str">
        <f aca="false">IF(OR(E102="",F102="",E102=0),"",F102/E102)</f>
        <v/>
      </c>
      <c r="H102" s="31" t="str">
        <f aca="false">IF(G102="","",IF(G102&gt;=1,"Sí","No"))</f>
        <v/>
      </c>
      <c r="I102" s="26"/>
      <c r="J102" s="26"/>
      <c r="K102" s="26"/>
      <c r="L102" s="26"/>
    </row>
    <row r="103" customFormat="false" ht="15" hidden="false" customHeight="false" outlineLevel="0" collapsed="false">
      <c r="A103" s="25"/>
      <c r="B103" s="26"/>
      <c r="C103" s="26"/>
      <c r="D103" s="26"/>
      <c r="E103" s="26"/>
      <c r="F103" s="26"/>
      <c r="G103" s="14" t="str">
        <f aca="false">IF(OR(E103="",F103="",E103=0),"",F103/E103)</f>
        <v/>
      </c>
      <c r="H103" s="31" t="str">
        <f aca="false">IF(G103="","",IF(G103&gt;=1,"Sí","No"))</f>
        <v/>
      </c>
      <c r="I103" s="26"/>
      <c r="J103" s="26"/>
      <c r="K103" s="26"/>
      <c r="L103" s="26"/>
    </row>
    <row r="104" customFormat="false" ht="15" hidden="false" customHeight="false" outlineLevel="0" collapsed="false">
      <c r="A104" s="25"/>
      <c r="B104" s="26"/>
      <c r="C104" s="26"/>
      <c r="D104" s="26"/>
      <c r="E104" s="26"/>
      <c r="F104" s="26"/>
      <c r="G104" s="14" t="str">
        <f aca="false">IF(OR(E104="",F104="",E104=0),"",F104/E104)</f>
        <v/>
      </c>
      <c r="H104" s="31" t="str">
        <f aca="false">IF(G104="","",IF(G104&gt;=1,"Sí","No"))</f>
        <v/>
      </c>
      <c r="I104" s="26"/>
      <c r="J104" s="26"/>
      <c r="K104" s="26"/>
      <c r="L104" s="26"/>
    </row>
    <row r="105" customFormat="false" ht="15" hidden="false" customHeight="false" outlineLevel="0" collapsed="false">
      <c r="A105" s="25"/>
      <c r="B105" s="26"/>
      <c r="C105" s="26"/>
      <c r="D105" s="26"/>
      <c r="E105" s="26"/>
      <c r="F105" s="26"/>
      <c r="G105" s="14" t="str">
        <f aca="false">IF(OR(E105="",F105="",E105=0),"",F105/E105)</f>
        <v/>
      </c>
      <c r="H105" s="31" t="str">
        <f aca="false">IF(G105="","",IF(G105&gt;=1,"Sí","No"))</f>
        <v/>
      </c>
      <c r="I105" s="26"/>
      <c r="J105" s="26"/>
      <c r="K105" s="26"/>
      <c r="L105" s="26"/>
    </row>
    <row r="106" customFormat="false" ht="15" hidden="false" customHeight="false" outlineLevel="0" collapsed="false">
      <c r="A106" s="25"/>
      <c r="B106" s="26"/>
      <c r="C106" s="26"/>
      <c r="D106" s="26"/>
      <c r="E106" s="26"/>
      <c r="F106" s="26"/>
      <c r="G106" s="14" t="str">
        <f aca="false">IF(OR(E106="",F106="",E106=0),"",F106/E106)</f>
        <v/>
      </c>
      <c r="H106" s="31" t="str">
        <f aca="false">IF(G106="","",IF(G106&gt;=1,"Sí","No"))</f>
        <v/>
      </c>
      <c r="I106" s="26"/>
      <c r="J106" s="26"/>
      <c r="K106" s="26"/>
      <c r="L106" s="26"/>
    </row>
    <row r="107" customFormat="false" ht="15" hidden="false" customHeight="false" outlineLevel="0" collapsed="false">
      <c r="A107" s="25"/>
      <c r="B107" s="26"/>
      <c r="C107" s="26"/>
      <c r="D107" s="26"/>
      <c r="E107" s="26"/>
      <c r="F107" s="26"/>
      <c r="G107" s="14" t="str">
        <f aca="false">IF(OR(E107="",F107="",E107=0),"",F107/E107)</f>
        <v/>
      </c>
      <c r="H107" s="31" t="str">
        <f aca="false">IF(G107="","",IF(G107&gt;=1,"Sí","No"))</f>
        <v/>
      </c>
      <c r="I107" s="26"/>
      <c r="J107" s="26"/>
      <c r="K107" s="26"/>
      <c r="L107" s="26"/>
    </row>
    <row r="108" customFormat="false" ht="15" hidden="false" customHeight="false" outlineLevel="0" collapsed="false">
      <c r="A108" s="25"/>
      <c r="B108" s="26"/>
      <c r="C108" s="26"/>
      <c r="D108" s="26"/>
      <c r="E108" s="26"/>
      <c r="F108" s="26"/>
      <c r="G108" s="14" t="str">
        <f aca="false">IF(OR(E108="",F108="",E108=0),"",F108/E108)</f>
        <v/>
      </c>
      <c r="H108" s="31" t="str">
        <f aca="false">IF(G108="","",IF(G108&gt;=1,"Sí","No"))</f>
        <v/>
      </c>
      <c r="I108" s="26"/>
      <c r="J108" s="26"/>
      <c r="K108" s="26"/>
      <c r="L108" s="26"/>
    </row>
    <row r="109" customFormat="false" ht="15" hidden="false" customHeight="false" outlineLevel="0" collapsed="false">
      <c r="A109" s="25"/>
      <c r="B109" s="26"/>
      <c r="C109" s="26"/>
      <c r="D109" s="26"/>
      <c r="E109" s="26"/>
      <c r="F109" s="26"/>
      <c r="G109" s="14" t="str">
        <f aca="false">IF(OR(E109="",F109="",E109=0),"",F109/E109)</f>
        <v/>
      </c>
      <c r="H109" s="31" t="str">
        <f aca="false">IF(G109="","",IF(G109&gt;=1,"Sí","No"))</f>
        <v/>
      </c>
      <c r="I109" s="26"/>
      <c r="J109" s="26"/>
      <c r="K109" s="26"/>
      <c r="L109" s="26"/>
    </row>
    <row r="110" customFormat="false" ht="15" hidden="false" customHeight="false" outlineLevel="0" collapsed="false">
      <c r="A110" s="25"/>
      <c r="B110" s="26"/>
      <c r="C110" s="26"/>
      <c r="D110" s="26"/>
      <c r="E110" s="26"/>
      <c r="F110" s="26"/>
      <c r="G110" s="14" t="str">
        <f aca="false">IF(OR(E110="",F110="",E110=0),"",F110/E110)</f>
        <v/>
      </c>
      <c r="H110" s="31" t="str">
        <f aca="false">IF(G110="","",IF(G110&gt;=1,"Sí","No"))</f>
        <v/>
      </c>
      <c r="I110" s="26"/>
      <c r="J110" s="26"/>
      <c r="K110" s="26"/>
      <c r="L110" s="26"/>
    </row>
    <row r="111" customFormat="false" ht="15" hidden="false" customHeight="false" outlineLevel="0" collapsed="false">
      <c r="A111" s="25"/>
      <c r="B111" s="26"/>
      <c r="C111" s="26"/>
      <c r="D111" s="26"/>
      <c r="E111" s="26"/>
      <c r="F111" s="26"/>
      <c r="G111" s="14" t="str">
        <f aca="false">IF(OR(E111="",F111="",E111=0),"",F111/E111)</f>
        <v/>
      </c>
      <c r="H111" s="31" t="str">
        <f aca="false">IF(G111="","",IF(G111&gt;=1,"Sí","No"))</f>
        <v/>
      </c>
      <c r="I111" s="26"/>
      <c r="J111" s="26"/>
      <c r="K111" s="26"/>
      <c r="L111" s="26"/>
    </row>
    <row r="112" customFormat="false" ht="15" hidden="false" customHeight="false" outlineLevel="0" collapsed="false">
      <c r="A112" s="25"/>
      <c r="B112" s="26"/>
      <c r="C112" s="26"/>
      <c r="D112" s="26"/>
      <c r="E112" s="26"/>
      <c r="F112" s="26"/>
      <c r="G112" s="14" t="str">
        <f aca="false">IF(OR(E112="",F112="",E112=0),"",F112/E112)</f>
        <v/>
      </c>
      <c r="H112" s="31" t="str">
        <f aca="false">IF(G112="","",IF(G112&gt;=1,"Sí","No"))</f>
        <v/>
      </c>
      <c r="I112" s="26"/>
      <c r="J112" s="26"/>
      <c r="K112" s="26"/>
      <c r="L112" s="26"/>
    </row>
    <row r="113" customFormat="false" ht="15" hidden="false" customHeight="false" outlineLevel="0" collapsed="false">
      <c r="A113" s="25"/>
      <c r="B113" s="26"/>
      <c r="C113" s="26"/>
      <c r="D113" s="26"/>
      <c r="E113" s="26"/>
      <c r="F113" s="26"/>
      <c r="G113" s="14" t="str">
        <f aca="false">IF(OR(E113="",F113="",E113=0),"",F113/E113)</f>
        <v/>
      </c>
      <c r="H113" s="31" t="str">
        <f aca="false">IF(G113="","",IF(G113&gt;=1,"Sí","No"))</f>
        <v/>
      </c>
      <c r="I113" s="26"/>
      <c r="J113" s="26"/>
      <c r="K113" s="26"/>
      <c r="L113" s="26"/>
    </row>
    <row r="114" customFormat="false" ht="15" hidden="false" customHeight="false" outlineLevel="0" collapsed="false">
      <c r="A114" s="25"/>
      <c r="B114" s="26"/>
      <c r="C114" s="26"/>
      <c r="D114" s="26"/>
      <c r="E114" s="26"/>
      <c r="F114" s="26"/>
      <c r="G114" s="14" t="str">
        <f aca="false">IF(OR(E114="",F114="",E114=0),"",F114/E114)</f>
        <v/>
      </c>
      <c r="H114" s="31" t="str">
        <f aca="false">IF(G114="","",IF(G114&gt;=1,"Sí","No"))</f>
        <v/>
      </c>
      <c r="I114" s="26"/>
      <c r="J114" s="26"/>
      <c r="K114" s="26"/>
      <c r="L114" s="26"/>
    </row>
    <row r="115" customFormat="false" ht="15" hidden="false" customHeight="false" outlineLevel="0" collapsed="false">
      <c r="A115" s="25"/>
      <c r="B115" s="26"/>
      <c r="C115" s="26"/>
      <c r="D115" s="26"/>
      <c r="E115" s="26"/>
      <c r="F115" s="26"/>
      <c r="G115" s="14" t="str">
        <f aca="false">IF(OR(E115="",F115="",E115=0),"",F115/E115)</f>
        <v/>
      </c>
      <c r="H115" s="31" t="str">
        <f aca="false">IF(G115="","",IF(G115&gt;=1,"Sí","No"))</f>
        <v/>
      </c>
      <c r="I115" s="26"/>
      <c r="J115" s="26"/>
      <c r="K115" s="26"/>
      <c r="L115" s="26"/>
    </row>
    <row r="116" customFormat="false" ht="15" hidden="false" customHeight="false" outlineLevel="0" collapsed="false">
      <c r="A116" s="25"/>
      <c r="B116" s="26"/>
      <c r="C116" s="26"/>
      <c r="D116" s="26"/>
      <c r="E116" s="26"/>
      <c r="F116" s="26"/>
      <c r="G116" s="14" t="str">
        <f aca="false">IF(OR(E116="",F116="",E116=0),"",F116/E116)</f>
        <v/>
      </c>
      <c r="H116" s="31" t="str">
        <f aca="false">IF(G116="","",IF(G116&gt;=1,"Sí","No"))</f>
        <v/>
      </c>
      <c r="I116" s="26"/>
      <c r="J116" s="26"/>
      <c r="K116" s="26"/>
      <c r="L116" s="26"/>
    </row>
    <row r="117" customFormat="false" ht="15" hidden="false" customHeight="false" outlineLevel="0" collapsed="false">
      <c r="A117" s="25"/>
      <c r="B117" s="26"/>
      <c r="C117" s="26"/>
      <c r="D117" s="26"/>
      <c r="E117" s="26"/>
      <c r="F117" s="26"/>
      <c r="G117" s="14" t="str">
        <f aca="false">IF(OR(E117="",F117="",E117=0),"",F117/E117)</f>
        <v/>
      </c>
      <c r="H117" s="31" t="str">
        <f aca="false">IF(G117="","",IF(G117&gt;=1,"Sí","No"))</f>
        <v/>
      </c>
      <c r="I117" s="26"/>
      <c r="J117" s="26"/>
      <c r="K117" s="26"/>
      <c r="L117" s="26"/>
    </row>
    <row r="118" customFormat="false" ht="15" hidden="false" customHeight="false" outlineLevel="0" collapsed="false">
      <c r="A118" s="25"/>
      <c r="B118" s="26"/>
      <c r="C118" s="26"/>
      <c r="D118" s="26"/>
      <c r="E118" s="26"/>
      <c r="F118" s="26"/>
      <c r="G118" s="14" t="str">
        <f aca="false">IF(OR(E118="",F118="",E118=0),"",F118/E118)</f>
        <v/>
      </c>
      <c r="H118" s="31" t="str">
        <f aca="false">IF(G118="","",IF(G118&gt;=1,"Sí","No"))</f>
        <v/>
      </c>
      <c r="I118" s="26"/>
      <c r="J118" s="26"/>
      <c r="K118" s="26"/>
      <c r="L118" s="26"/>
    </row>
    <row r="119" customFormat="false" ht="15" hidden="false" customHeight="false" outlineLevel="0" collapsed="false">
      <c r="A119" s="25"/>
      <c r="B119" s="26"/>
      <c r="C119" s="26"/>
      <c r="D119" s="26"/>
      <c r="E119" s="26"/>
      <c r="F119" s="26"/>
      <c r="G119" s="14" t="str">
        <f aca="false">IF(OR(E119="",F119="",E119=0),"",F119/E119)</f>
        <v/>
      </c>
      <c r="H119" s="31" t="str">
        <f aca="false">IF(G119="","",IF(G119&gt;=1,"Sí","No"))</f>
        <v/>
      </c>
      <c r="I119" s="26"/>
      <c r="J119" s="26"/>
      <c r="K119" s="26"/>
      <c r="L119" s="26"/>
    </row>
    <row r="120" customFormat="false" ht="15" hidden="false" customHeight="false" outlineLevel="0" collapsed="false">
      <c r="A120" s="25"/>
      <c r="B120" s="26"/>
      <c r="C120" s="26"/>
      <c r="D120" s="26"/>
      <c r="E120" s="26"/>
      <c r="F120" s="26"/>
      <c r="G120" s="14" t="str">
        <f aca="false">IF(OR(E120="",F120="",E120=0),"",F120/E120)</f>
        <v/>
      </c>
      <c r="H120" s="31" t="str">
        <f aca="false">IF(G120="","",IF(G120&gt;=1,"Sí","No"))</f>
        <v/>
      </c>
      <c r="I120" s="26"/>
      <c r="J120" s="26"/>
      <c r="K120" s="26"/>
      <c r="L120" s="26"/>
    </row>
    <row r="121" customFormat="false" ht="15" hidden="false" customHeight="false" outlineLevel="0" collapsed="false">
      <c r="A121" s="25"/>
      <c r="B121" s="26"/>
      <c r="C121" s="26"/>
      <c r="D121" s="26"/>
      <c r="E121" s="26"/>
      <c r="F121" s="26"/>
      <c r="G121" s="14" t="str">
        <f aca="false">IF(OR(E121="",F121="",E121=0),"",F121/E121)</f>
        <v/>
      </c>
      <c r="H121" s="31" t="str">
        <f aca="false">IF(G121="","",IF(G121&gt;=1,"Sí","No"))</f>
        <v/>
      </c>
      <c r="I121" s="26"/>
      <c r="J121" s="26"/>
      <c r="K121" s="26"/>
      <c r="L121" s="26"/>
    </row>
    <row r="122" customFormat="false" ht="15" hidden="false" customHeight="false" outlineLevel="0" collapsed="false">
      <c r="A122" s="25"/>
      <c r="B122" s="26"/>
      <c r="C122" s="26"/>
      <c r="D122" s="26"/>
      <c r="E122" s="26"/>
      <c r="F122" s="26"/>
      <c r="G122" s="14" t="str">
        <f aca="false">IF(OR(E122="",F122="",E122=0),"",F122/E122)</f>
        <v/>
      </c>
      <c r="H122" s="31" t="str">
        <f aca="false">IF(G122="","",IF(G122&gt;=1,"Sí","No"))</f>
        <v/>
      </c>
      <c r="I122" s="26"/>
      <c r="J122" s="26"/>
      <c r="K122" s="26"/>
      <c r="L122" s="26"/>
    </row>
    <row r="123" customFormat="false" ht="15" hidden="false" customHeight="false" outlineLevel="0" collapsed="false">
      <c r="A123" s="25"/>
      <c r="B123" s="26"/>
      <c r="C123" s="26"/>
      <c r="D123" s="26"/>
      <c r="E123" s="26"/>
      <c r="F123" s="26"/>
      <c r="G123" s="14" t="str">
        <f aca="false">IF(OR(E123="",F123="",E123=0),"",F123/E123)</f>
        <v/>
      </c>
      <c r="H123" s="31" t="str">
        <f aca="false">IF(G123="","",IF(G123&gt;=1,"Sí","No"))</f>
        <v/>
      </c>
      <c r="I123" s="26"/>
      <c r="J123" s="26"/>
      <c r="K123" s="26"/>
      <c r="L123" s="26"/>
    </row>
    <row r="124" customFormat="false" ht="15" hidden="false" customHeight="false" outlineLevel="0" collapsed="false">
      <c r="A124" s="25"/>
      <c r="B124" s="26"/>
      <c r="C124" s="26"/>
      <c r="D124" s="26"/>
      <c r="E124" s="26"/>
      <c r="F124" s="26"/>
      <c r="G124" s="14" t="str">
        <f aca="false">IF(OR(E124="",F124="",E124=0),"",F124/E124)</f>
        <v/>
      </c>
      <c r="H124" s="31" t="str">
        <f aca="false">IF(G124="","",IF(G124&gt;=1,"Sí","No"))</f>
        <v/>
      </c>
      <c r="I124" s="26"/>
      <c r="J124" s="26"/>
      <c r="K124" s="26"/>
      <c r="L124" s="26"/>
    </row>
    <row r="125" customFormat="false" ht="15" hidden="false" customHeight="false" outlineLevel="0" collapsed="false">
      <c r="A125" s="25"/>
      <c r="B125" s="26"/>
      <c r="C125" s="26"/>
      <c r="D125" s="26"/>
      <c r="E125" s="26"/>
      <c r="F125" s="26"/>
      <c r="G125" s="14" t="str">
        <f aca="false">IF(OR(E125="",F125="",E125=0),"",F125/E125)</f>
        <v/>
      </c>
      <c r="H125" s="31" t="str">
        <f aca="false">IF(G125="","",IF(G125&gt;=1,"Sí","No"))</f>
        <v/>
      </c>
      <c r="I125" s="26"/>
      <c r="J125" s="26"/>
      <c r="K125" s="26"/>
      <c r="L125" s="26"/>
    </row>
    <row r="126" customFormat="false" ht="15" hidden="false" customHeight="false" outlineLevel="0" collapsed="false">
      <c r="A126" s="25"/>
      <c r="B126" s="26"/>
      <c r="C126" s="26"/>
      <c r="D126" s="26"/>
      <c r="E126" s="26"/>
      <c r="F126" s="26"/>
      <c r="G126" s="14" t="str">
        <f aca="false">IF(OR(E126="",F126="",E126=0),"",F126/E126)</f>
        <v/>
      </c>
      <c r="H126" s="31" t="str">
        <f aca="false">IF(G126="","",IF(G126&gt;=1,"Sí","No"))</f>
        <v/>
      </c>
      <c r="I126" s="26"/>
      <c r="J126" s="26"/>
      <c r="K126" s="26"/>
      <c r="L126" s="26"/>
    </row>
    <row r="127" customFormat="false" ht="15" hidden="false" customHeight="false" outlineLevel="0" collapsed="false">
      <c r="A127" s="25"/>
      <c r="B127" s="26"/>
      <c r="C127" s="26"/>
      <c r="D127" s="26"/>
      <c r="E127" s="26"/>
      <c r="F127" s="26"/>
      <c r="G127" s="14" t="str">
        <f aca="false">IF(OR(E127="",F127="",E127=0),"",F127/E127)</f>
        <v/>
      </c>
      <c r="H127" s="31" t="str">
        <f aca="false">IF(G127="","",IF(G127&gt;=1,"Sí","No"))</f>
        <v/>
      </c>
      <c r="I127" s="26"/>
      <c r="J127" s="26"/>
      <c r="K127" s="26"/>
      <c r="L127" s="26"/>
    </row>
    <row r="128" customFormat="false" ht="15" hidden="false" customHeight="false" outlineLevel="0" collapsed="false">
      <c r="A128" s="25"/>
      <c r="B128" s="26"/>
      <c r="C128" s="26"/>
      <c r="D128" s="26"/>
      <c r="E128" s="26"/>
      <c r="F128" s="26"/>
      <c r="G128" s="14" t="str">
        <f aca="false">IF(OR(E128="",F128="",E128=0),"",F128/E128)</f>
        <v/>
      </c>
      <c r="H128" s="31" t="str">
        <f aca="false">IF(G128="","",IF(G128&gt;=1,"Sí","No"))</f>
        <v/>
      </c>
      <c r="I128" s="26"/>
      <c r="J128" s="26"/>
      <c r="K128" s="26"/>
      <c r="L128" s="26"/>
    </row>
    <row r="129" customFormat="false" ht="15" hidden="false" customHeight="false" outlineLevel="0" collapsed="false">
      <c r="A129" s="25"/>
      <c r="B129" s="26"/>
      <c r="C129" s="26"/>
      <c r="D129" s="26"/>
      <c r="E129" s="26"/>
      <c r="F129" s="26"/>
      <c r="G129" s="14" t="str">
        <f aca="false">IF(OR(E129="",F129="",E129=0),"",F129/E129)</f>
        <v/>
      </c>
      <c r="H129" s="31" t="str">
        <f aca="false">IF(G129="","",IF(G129&gt;=1,"Sí","No"))</f>
        <v/>
      </c>
      <c r="I129" s="26"/>
      <c r="J129" s="26"/>
      <c r="K129" s="26"/>
      <c r="L129" s="26"/>
    </row>
    <row r="130" customFormat="false" ht="15" hidden="false" customHeight="false" outlineLevel="0" collapsed="false">
      <c r="A130" s="25"/>
      <c r="B130" s="26"/>
      <c r="C130" s="26"/>
      <c r="D130" s="26"/>
      <c r="E130" s="26"/>
      <c r="F130" s="26"/>
      <c r="G130" s="14" t="str">
        <f aca="false">IF(OR(E130="",F130="",E130=0),"",F130/E130)</f>
        <v/>
      </c>
      <c r="H130" s="31" t="str">
        <f aca="false">IF(G130="","",IF(G130&gt;=1,"Sí","No"))</f>
        <v/>
      </c>
      <c r="I130" s="26"/>
      <c r="J130" s="26"/>
      <c r="K130" s="26"/>
      <c r="L130" s="26"/>
    </row>
    <row r="131" customFormat="false" ht="15" hidden="false" customHeight="false" outlineLevel="0" collapsed="false">
      <c r="A131" s="25"/>
      <c r="B131" s="26"/>
      <c r="C131" s="26"/>
      <c r="D131" s="26"/>
      <c r="E131" s="26"/>
      <c r="F131" s="26"/>
      <c r="G131" s="14" t="str">
        <f aca="false">IF(OR(E131="",F131="",E131=0),"",F131/E131)</f>
        <v/>
      </c>
      <c r="H131" s="31" t="str">
        <f aca="false">IF(G131="","",IF(G131&gt;=1,"Sí","No"))</f>
        <v/>
      </c>
      <c r="I131" s="26"/>
      <c r="J131" s="26"/>
      <c r="K131" s="26"/>
      <c r="L131" s="26"/>
    </row>
    <row r="132" customFormat="false" ht="15" hidden="false" customHeight="false" outlineLevel="0" collapsed="false">
      <c r="A132" s="25"/>
      <c r="B132" s="26"/>
      <c r="C132" s="26"/>
      <c r="D132" s="26"/>
      <c r="E132" s="26"/>
      <c r="F132" s="26"/>
      <c r="G132" s="14" t="str">
        <f aca="false">IF(OR(E132="",F132="",E132=0),"",F132/E132)</f>
        <v/>
      </c>
      <c r="H132" s="31" t="str">
        <f aca="false">IF(G132="","",IF(G132&gt;=1,"Sí","No"))</f>
        <v/>
      </c>
      <c r="I132" s="26"/>
      <c r="J132" s="26"/>
      <c r="K132" s="26"/>
      <c r="L132" s="26"/>
    </row>
    <row r="133" customFormat="false" ht="15" hidden="false" customHeight="false" outlineLevel="0" collapsed="false">
      <c r="A133" s="25"/>
      <c r="B133" s="26"/>
      <c r="C133" s="26"/>
      <c r="D133" s="26"/>
      <c r="E133" s="26"/>
      <c r="F133" s="26"/>
      <c r="G133" s="14" t="str">
        <f aca="false">IF(OR(E133="",F133="",E133=0),"",F133/E133)</f>
        <v/>
      </c>
      <c r="H133" s="31" t="str">
        <f aca="false">IF(G133="","",IF(G133&gt;=1,"Sí","No"))</f>
        <v/>
      </c>
      <c r="I133" s="26"/>
      <c r="J133" s="26"/>
      <c r="K133" s="26"/>
      <c r="L133" s="26"/>
    </row>
    <row r="134" customFormat="false" ht="15" hidden="false" customHeight="false" outlineLevel="0" collapsed="false">
      <c r="A134" s="25"/>
      <c r="B134" s="26"/>
      <c r="C134" s="26"/>
      <c r="D134" s="26"/>
      <c r="E134" s="26"/>
      <c r="F134" s="26"/>
      <c r="G134" s="14" t="str">
        <f aca="false">IF(OR(E134="",F134="",E134=0),"",F134/E134)</f>
        <v/>
      </c>
      <c r="H134" s="31" t="str">
        <f aca="false">IF(G134="","",IF(G134&gt;=1,"Sí","No"))</f>
        <v/>
      </c>
      <c r="I134" s="26"/>
      <c r="J134" s="26"/>
      <c r="K134" s="26"/>
      <c r="L134" s="26"/>
    </row>
    <row r="135" customFormat="false" ht="15" hidden="false" customHeight="false" outlineLevel="0" collapsed="false">
      <c r="A135" s="25"/>
      <c r="B135" s="26"/>
      <c r="C135" s="26"/>
      <c r="D135" s="26"/>
      <c r="E135" s="26"/>
      <c r="F135" s="26"/>
      <c r="G135" s="14" t="str">
        <f aca="false">IF(OR(E135="",F135="",E135=0),"",F135/E135)</f>
        <v/>
      </c>
      <c r="H135" s="31" t="str">
        <f aca="false">IF(G135="","",IF(G135&gt;=1,"Sí","No"))</f>
        <v/>
      </c>
      <c r="I135" s="26"/>
      <c r="J135" s="26"/>
      <c r="K135" s="26"/>
      <c r="L135" s="26"/>
    </row>
    <row r="136" customFormat="false" ht="15" hidden="false" customHeight="false" outlineLevel="0" collapsed="false">
      <c r="A136" s="25"/>
      <c r="B136" s="26"/>
      <c r="C136" s="26"/>
      <c r="D136" s="26"/>
      <c r="E136" s="26"/>
      <c r="F136" s="26"/>
      <c r="G136" s="14" t="str">
        <f aca="false">IF(OR(E136="",F136="",E136=0),"",F136/E136)</f>
        <v/>
      </c>
      <c r="H136" s="31" t="str">
        <f aca="false">IF(G136="","",IF(G136&gt;=1,"Sí","No"))</f>
        <v/>
      </c>
      <c r="I136" s="26"/>
      <c r="J136" s="26"/>
      <c r="K136" s="26"/>
      <c r="L136" s="26"/>
    </row>
    <row r="137" customFormat="false" ht="15" hidden="false" customHeight="false" outlineLevel="0" collapsed="false">
      <c r="A137" s="25"/>
      <c r="B137" s="26"/>
      <c r="C137" s="26"/>
      <c r="D137" s="26"/>
      <c r="E137" s="26"/>
      <c r="F137" s="26"/>
      <c r="G137" s="14" t="str">
        <f aca="false">IF(OR(E137="",F137="",E137=0),"",F137/E137)</f>
        <v/>
      </c>
      <c r="H137" s="31" t="str">
        <f aca="false">IF(G137="","",IF(G137&gt;=1,"Sí","No"))</f>
        <v/>
      </c>
      <c r="I137" s="26"/>
      <c r="J137" s="26"/>
      <c r="K137" s="26"/>
      <c r="L137" s="26"/>
    </row>
    <row r="138" customFormat="false" ht="15" hidden="false" customHeight="false" outlineLevel="0" collapsed="false">
      <c r="A138" s="25"/>
      <c r="B138" s="26"/>
      <c r="C138" s="26"/>
      <c r="D138" s="26"/>
      <c r="E138" s="26"/>
      <c r="F138" s="26"/>
      <c r="G138" s="14" t="str">
        <f aca="false">IF(OR(E138="",F138="",E138=0),"",F138/E138)</f>
        <v/>
      </c>
      <c r="H138" s="31" t="str">
        <f aca="false">IF(G138="","",IF(G138&gt;=1,"Sí","No"))</f>
        <v/>
      </c>
      <c r="I138" s="26"/>
      <c r="J138" s="26"/>
      <c r="K138" s="26"/>
      <c r="L138" s="26"/>
    </row>
    <row r="139" customFormat="false" ht="15" hidden="false" customHeight="false" outlineLevel="0" collapsed="false">
      <c r="A139" s="25"/>
      <c r="B139" s="26"/>
      <c r="C139" s="26"/>
      <c r="D139" s="26"/>
      <c r="E139" s="26"/>
      <c r="F139" s="26"/>
      <c r="G139" s="14" t="str">
        <f aca="false">IF(OR(E139="",F139="",E139=0),"",F139/E139)</f>
        <v/>
      </c>
      <c r="H139" s="31" t="str">
        <f aca="false">IF(G139="","",IF(G139&gt;=1,"Sí","No"))</f>
        <v/>
      </c>
      <c r="I139" s="26"/>
      <c r="J139" s="26"/>
      <c r="K139" s="26"/>
      <c r="L139" s="26"/>
    </row>
    <row r="140" customFormat="false" ht="15" hidden="false" customHeight="false" outlineLevel="0" collapsed="false">
      <c r="A140" s="25"/>
      <c r="B140" s="26"/>
      <c r="C140" s="26"/>
      <c r="D140" s="26"/>
      <c r="E140" s="26"/>
      <c r="F140" s="26"/>
      <c r="G140" s="14" t="str">
        <f aca="false">IF(OR(E140="",F140="",E140=0),"",F140/E140)</f>
        <v/>
      </c>
      <c r="H140" s="31" t="str">
        <f aca="false">IF(G140="","",IF(G140&gt;=1,"Sí","No"))</f>
        <v/>
      </c>
      <c r="I140" s="26"/>
      <c r="J140" s="26"/>
      <c r="K140" s="26"/>
      <c r="L140" s="26"/>
    </row>
    <row r="141" customFormat="false" ht="15" hidden="false" customHeight="false" outlineLevel="0" collapsed="false">
      <c r="A141" s="25"/>
      <c r="B141" s="26"/>
      <c r="C141" s="26"/>
      <c r="D141" s="26"/>
      <c r="E141" s="26"/>
      <c r="F141" s="26"/>
      <c r="G141" s="14" t="str">
        <f aca="false">IF(OR(E141="",F141="",E141=0),"",F141/E141)</f>
        <v/>
      </c>
      <c r="H141" s="31" t="str">
        <f aca="false">IF(G141="","",IF(G141&gt;=1,"Sí","No"))</f>
        <v/>
      </c>
      <c r="I141" s="26"/>
      <c r="J141" s="26"/>
      <c r="K141" s="26"/>
      <c r="L141" s="26"/>
    </row>
    <row r="142" customFormat="false" ht="15" hidden="false" customHeight="false" outlineLevel="0" collapsed="false">
      <c r="A142" s="25"/>
      <c r="B142" s="26"/>
      <c r="C142" s="26"/>
      <c r="D142" s="26"/>
      <c r="E142" s="26"/>
      <c r="F142" s="26"/>
      <c r="G142" s="14" t="str">
        <f aca="false">IF(OR(E142="",F142="",E142=0),"",F142/E142)</f>
        <v/>
      </c>
      <c r="H142" s="31" t="str">
        <f aca="false">IF(G142="","",IF(G142&gt;=1,"Sí","No"))</f>
        <v/>
      </c>
      <c r="I142" s="26"/>
      <c r="J142" s="26"/>
      <c r="K142" s="26"/>
      <c r="L142" s="26"/>
    </row>
    <row r="143" customFormat="false" ht="15" hidden="false" customHeight="false" outlineLevel="0" collapsed="false">
      <c r="A143" s="25"/>
      <c r="B143" s="26"/>
      <c r="C143" s="26"/>
      <c r="D143" s="26"/>
      <c r="E143" s="26"/>
      <c r="F143" s="26"/>
      <c r="G143" s="14" t="str">
        <f aca="false">IF(OR(E143="",F143="",E143=0),"",F143/E143)</f>
        <v/>
      </c>
      <c r="H143" s="31" t="str">
        <f aca="false">IF(G143="","",IF(G143&gt;=1,"Sí","No"))</f>
        <v/>
      </c>
      <c r="I143" s="26"/>
      <c r="J143" s="26"/>
      <c r="K143" s="26"/>
      <c r="L143" s="26"/>
    </row>
    <row r="144" customFormat="false" ht="15" hidden="false" customHeight="false" outlineLevel="0" collapsed="false">
      <c r="A144" s="25"/>
      <c r="B144" s="26"/>
      <c r="C144" s="26"/>
      <c r="D144" s="26"/>
      <c r="E144" s="26"/>
      <c r="F144" s="26"/>
      <c r="G144" s="14" t="str">
        <f aca="false">IF(OR(E144="",F144="",E144=0),"",F144/E144)</f>
        <v/>
      </c>
      <c r="H144" s="31" t="str">
        <f aca="false">IF(G144="","",IF(G144&gt;=1,"Sí","No"))</f>
        <v/>
      </c>
      <c r="I144" s="26"/>
      <c r="J144" s="26"/>
      <c r="K144" s="26"/>
      <c r="L144" s="26"/>
    </row>
    <row r="145" customFormat="false" ht="15" hidden="false" customHeight="false" outlineLevel="0" collapsed="false">
      <c r="A145" s="25"/>
      <c r="B145" s="26"/>
      <c r="C145" s="26"/>
      <c r="D145" s="26"/>
      <c r="E145" s="26"/>
      <c r="F145" s="26"/>
      <c r="G145" s="14" t="str">
        <f aca="false">IF(OR(E145="",F145="",E145=0),"",F145/E145)</f>
        <v/>
      </c>
      <c r="H145" s="31" t="str">
        <f aca="false">IF(G145="","",IF(G145&gt;=1,"Sí","No"))</f>
        <v/>
      </c>
      <c r="I145" s="26"/>
      <c r="J145" s="26"/>
      <c r="K145" s="26"/>
      <c r="L145" s="26"/>
    </row>
    <row r="146" customFormat="false" ht="15" hidden="false" customHeight="false" outlineLevel="0" collapsed="false">
      <c r="A146" s="25"/>
      <c r="B146" s="26"/>
      <c r="C146" s="26"/>
      <c r="D146" s="26"/>
      <c r="E146" s="26"/>
      <c r="F146" s="26"/>
      <c r="G146" s="14" t="str">
        <f aca="false">IF(OR(E146="",F146="",E146=0),"",F146/E146)</f>
        <v/>
      </c>
      <c r="H146" s="31" t="str">
        <f aca="false">IF(G146="","",IF(G146&gt;=1,"Sí","No"))</f>
        <v/>
      </c>
      <c r="I146" s="26"/>
      <c r="J146" s="26"/>
      <c r="K146" s="26"/>
      <c r="L146" s="26"/>
    </row>
    <row r="147" customFormat="false" ht="15" hidden="false" customHeight="false" outlineLevel="0" collapsed="false">
      <c r="A147" s="25"/>
      <c r="B147" s="26"/>
      <c r="C147" s="26"/>
      <c r="D147" s="26"/>
      <c r="E147" s="26"/>
      <c r="F147" s="26"/>
      <c r="G147" s="14" t="str">
        <f aca="false">IF(OR(E147="",F147="",E147=0),"",F147/E147)</f>
        <v/>
      </c>
      <c r="H147" s="31" t="str">
        <f aca="false">IF(G147="","",IF(G147&gt;=1,"Sí","No"))</f>
        <v/>
      </c>
      <c r="I147" s="26"/>
      <c r="J147" s="26"/>
      <c r="K147" s="26"/>
      <c r="L147" s="26"/>
    </row>
    <row r="148" customFormat="false" ht="15" hidden="false" customHeight="false" outlineLevel="0" collapsed="false">
      <c r="A148" s="25"/>
      <c r="B148" s="26"/>
      <c r="C148" s="26"/>
      <c r="D148" s="26"/>
      <c r="E148" s="26"/>
      <c r="F148" s="26"/>
      <c r="G148" s="14" t="str">
        <f aca="false">IF(OR(E148="",F148="",E148=0),"",F148/E148)</f>
        <v/>
      </c>
      <c r="H148" s="31" t="str">
        <f aca="false">IF(G148="","",IF(G148&gt;=1,"Sí","No"))</f>
        <v/>
      </c>
      <c r="I148" s="26"/>
      <c r="J148" s="26"/>
      <c r="K148" s="26"/>
      <c r="L148" s="26"/>
    </row>
    <row r="149" customFormat="false" ht="15" hidden="false" customHeight="false" outlineLevel="0" collapsed="false">
      <c r="A149" s="25"/>
      <c r="B149" s="26"/>
      <c r="C149" s="26"/>
      <c r="D149" s="26"/>
      <c r="E149" s="26"/>
      <c r="F149" s="26"/>
      <c r="G149" s="14" t="str">
        <f aca="false">IF(OR(E149="",F149="",E149=0),"",F149/E149)</f>
        <v/>
      </c>
      <c r="H149" s="31" t="str">
        <f aca="false">IF(G149="","",IF(G149&gt;=1,"Sí","No"))</f>
        <v/>
      </c>
      <c r="I149" s="26"/>
      <c r="J149" s="26"/>
      <c r="K149" s="26"/>
      <c r="L149" s="26"/>
    </row>
    <row r="150" customFormat="false" ht="15" hidden="false" customHeight="false" outlineLevel="0" collapsed="false">
      <c r="A150" s="25"/>
      <c r="B150" s="26"/>
      <c r="C150" s="26"/>
      <c r="D150" s="26"/>
      <c r="E150" s="26"/>
      <c r="F150" s="26"/>
      <c r="G150" s="14" t="str">
        <f aca="false">IF(OR(E150="",F150="",E150=0),"",F150/E150)</f>
        <v/>
      </c>
      <c r="H150" s="31" t="str">
        <f aca="false">IF(G150="","",IF(G150&gt;=1,"Sí","No"))</f>
        <v/>
      </c>
      <c r="I150" s="26"/>
      <c r="J150" s="26"/>
      <c r="K150" s="26"/>
      <c r="L150" s="26"/>
    </row>
    <row r="151" customFormat="false" ht="15" hidden="false" customHeight="false" outlineLevel="0" collapsed="false">
      <c r="A151" s="25"/>
      <c r="B151" s="26"/>
      <c r="C151" s="26"/>
      <c r="D151" s="26"/>
      <c r="E151" s="26"/>
      <c r="F151" s="26"/>
      <c r="G151" s="14" t="str">
        <f aca="false">IF(OR(E151="",F151="",E151=0),"",F151/E151)</f>
        <v/>
      </c>
      <c r="H151" s="31" t="str">
        <f aca="false">IF(G151="","",IF(G151&gt;=1,"Sí","No"))</f>
        <v/>
      </c>
      <c r="I151" s="26"/>
      <c r="J151" s="26"/>
      <c r="K151" s="26"/>
      <c r="L151" s="26"/>
    </row>
    <row r="152" customFormat="false" ht="15" hidden="false" customHeight="false" outlineLevel="0" collapsed="false">
      <c r="A152" s="25"/>
      <c r="B152" s="26"/>
      <c r="C152" s="26"/>
      <c r="D152" s="26"/>
      <c r="E152" s="26"/>
      <c r="F152" s="26"/>
      <c r="G152" s="14" t="str">
        <f aca="false">IF(OR(E152="",F152="",E152=0),"",F152/E152)</f>
        <v/>
      </c>
      <c r="H152" s="31" t="str">
        <f aca="false">IF(G152="","",IF(G152&gt;=1,"Sí","No"))</f>
        <v/>
      </c>
      <c r="I152" s="26"/>
      <c r="J152" s="26"/>
      <c r="K152" s="26"/>
      <c r="L152" s="26"/>
    </row>
    <row r="153" customFormat="false" ht="15" hidden="false" customHeight="false" outlineLevel="0" collapsed="false">
      <c r="A153" s="25"/>
      <c r="B153" s="26"/>
      <c r="C153" s="26"/>
      <c r="D153" s="26"/>
      <c r="E153" s="26"/>
      <c r="F153" s="26"/>
      <c r="G153" s="14" t="str">
        <f aca="false">IF(OR(E153="",F153="",E153=0),"",F153/E153)</f>
        <v/>
      </c>
      <c r="H153" s="31" t="str">
        <f aca="false">IF(G153="","",IF(G153&gt;=1,"Sí","No"))</f>
        <v/>
      </c>
      <c r="I153" s="26"/>
      <c r="J153" s="26"/>
      <c r="K153" s="26"/>
      <c r="L153" s="26"/>
    </row>
    <row r="154" customFormat="false" ht="15" hidden="false" customHeight="false" outlineLevel="0" collapsed="false">
      <c r="A154" s="25"/>
      <c r="B154" s="26"/>
      <c r="C154" s="26"/>
      <c r="D154" s="26"/>
      <c r="E154" s="26"/>
      <c r="F154" s="26"/>
      <c r="G154" s="14" t="str">
        <f aca="false">IF(OR(E154="",F154="",E154=0),"",F154/E154)</f>
        <v/>
      </c>
      <c r="H154" s="31" t="str">
        <f aca="false">IF(G154="","",IF(G154&gt;=1,"Sí","No"))</f>
        <v/>
      </c>
      <c r="I154" s="26"/>
      <c r="J154" s="26"/>
      <c r="K154" s="26"/>
      <c r="L154" s="26"/>
    </row>
    <row r="155" customFormat="false" ht="15" hidden="false" customHeight="false" outlineLevel="0" collapsed="false">
      <c r="A155" s="25"/>
      <c r="B155" s="26"/>
      <c r="C155" s="26"/>
      <c r="D155" s="26"/>
      <c r="E155" s="26"/>
      <c r="F155" s="26"/>
      <c r="G155" s="14" t="str">
        <f aca="false">IF(OR(E155="",F155="",E155=0),"",F155/E155)</f>
        <v/>
      </c>
      <c r="H155" s="31" t="str">
        <f aca="false">IF(G155="","",IF(G155&gt;=1,"Sí","No"))</f>
        <v/>
      </c>
      <c r="I155" s="26"/>
      <c r="J155" s="26"/>
      <c r="K155" s="26"/>
      <c r="L155" s="26"/>
    </row>
    <row r="156" customFormat="false" ht="15" hidden="false" customHeight="false" outlineLevel="0" collapsed="false">
      <c r="A156" s="25"/>
      <c r="B156" s="26"/>
      <c r="C156" s="26"/>
      <c r="D156" s="26"/>
      <c r="E156" s="26"/>
      <c r="F156" s="26"/>
      <c r="G156" s="14" t="str">
        <f aca="false">IF(OR(E156="",F156="",E156=0),"",F156/E156)</f>
        <v/>
      </c>
      <c r="H156" s="31" t="str">
        <f aca="false">IF(G156="","",IF(G156&gt;=1,"Sí","No"))</f>
        <v/>
      </c>
      <c r="I156" s="26"/>
      <c r="J156" s="26"/>
      <c r="K156" s="26"/>
      <c r="L156" s="26"/>
    </row>
  </sheetData>
  <mergeCells count="2">
    <mergeCell ref="A1:L1"/>
    <mergeCell ref="A2:L2"/>
  </mergeCells>
  <conditionalFormatting sqref="H7:H156">
    <cfRule type="expression" priority="2" aboveAverage="0" equalAverage="0" bottom="0" percent="0" rank="0" text="" dxfId="0">
      <formula>H7="No"</formula>
    </cfRule>
    <cfRule type="expression" priority="3" aboveAverage="0" equalAverage="0" bottom="0" percent="0" rank="0" text="" dxfId="2">
      <formula>H7="Sí"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2026-10-19T09:06:04Z</dcterms:created>
  <dc:creator>openpyxl</dc:creator>
  <dc:description/>
  <dc:language>en-US</dc:language>
  <cp:lastModifiedBy/>
  <dcterms:modified xsi:type="dcterms:W3CDTF">2026-10-19T02:06:10Z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