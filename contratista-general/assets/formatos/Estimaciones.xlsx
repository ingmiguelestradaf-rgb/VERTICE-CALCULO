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rátula" sheetId="2" state="visible" r:id="rId4"/>
    <sheet name="Datos" sheetId="3" state="visible" r:id="rId5"/>
    <sheet name="Catálogo" sheetId="4" state="visible" r:id="rId6"/>
    <sheet name="Generadores" sheetId="5" state="visible" r:id="rId7"/>
    <sheet name="Reporte fotográfic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<sst xmlns="http://schemas.openxmlformats.org/spreadsheetml/2006/main" count="173" uniqueCount="127">
  <si>
    <t xml:space="preserve">VÉRTICE  ·  Ingeniería, Arquitectura y Proyectos</t>
  </si>
  <si>
    <t xml:space="preserve">ESTIMACIÓN DE OBRA CON NÚMEROS GENERADORES</t>
  </si>
  <si>
    <t xml:space="preserve">Captura</t>
  </si>
  <si>
    <t xml:space="preserve">Celdas amarillas con texto azul = datos que capturas. Texto negro = fórmulas: no escribas encima. La fila de ejemplo muestra el formato esperado; sustitúyela por tus datos.</t>
  </si>
  <si>
    <t xml:space="preserve">Para qué sirve:</t>
  </si>
  <si>
    <t xml:space="preserve">Integra la estimación (cobro periódico) de un contrato a precios unitarios: catálogo contratado, números generadores, acumulados, carátula con amortización de anticipo, fondo de garantía, IVA y neto a pagar, y reporte fotográfico.</t>
  </si>
  <si>
    <t xml:space="preserve">Cómo se llena cada periodo:</t>
  </si>
  <si>
    <t xml:space="preserve">1. «Datos»: número de estimación, periodo, porcentajes del contrato (cláusulas de ANTICIPO y ESTIMACIONES).</t>
  </si>
  <si>
    <t xml:space="preserve">2. «Catálogo»: el catálogo del Anexo B del contrato (clave, concepto, unidad, cantidad y PU). La «cantidad acumulada anterior» es la acumulada de la estimación pasada: copia la columna I de la estimación anterior como valores.</t>
  </si>
  <si>
    <t xml:space="preserve">3. «Generadores»: una fila por medición (eje, nivel, largo, ancho, alto, piezas). Las celdas vacías no cuentan en el producto. Usa signo -1 para descontar huecos. La cantidad de cada clave pasa sola al catálogo.</t>
  </si>
  <si>
    <t xml:space="preserve">4. «Carátula»: revisa y firma. Si el contrato prevé la retención de IVA del art. 1-A fr. IV LIVA, captura 6 % en Datos; si no, déjalo en 0.</t>
  </si>
  <si>
    <t xml:space="preserve">Reglas que ya trae el libro:</t>
  </si>
  <si>
    <t xml:space="preserve">Marca EXCEDE cuando el acumulado supera la cantidad contratada: eso es un volumen adicional que requiere orden de cambio o PU extraordinario (cláusula CONCEPTOS FUERA DE CATÁLOGO).</t>
  </si>
  <si>
    <t xml:space="preserve">La base del IVA es la estimación menos la amortización del anticipo (el anticipo ya se facturó con IVA). El fondo de garantía es una retención de pago y no reduce la base del IVA.</t>
  </si>
  <si>
    <t xml:space="preserve">Para medir cantidades en campo apóyate en las calculadoras de ObraLab (concreto, block, tablaroca, plafón, pintura, acero).</t>
  </si>
  <si>
    <t xml:space="preserve">CARÁTULA DE ESTIMACIÓN</t>
  </si>
  <si>
    <t xml:space="preserve">Obra:</t>
  </si>
  <si>
    <t xml:space="preserve">Contrato:</t>
  </si>
  <si>
    <t xml:space="preserve">Estimación No.</t>
  </si>
  <si>
    <t xml:space="preserve">Periodo</t>
  </si>
  <si>
    <t xml:space="preserve">Contratista</t>
  </si>
  <si>
    <t xml:space="preserve">Cliente</t>
  </si>
  <si>
    <t xml:space="preserve">RESUMEN DEL CONTRATO</t>
  </si>
  <si>
    <t xml:space="preserve">Importe de trabajos ejecutados en el periodo</t>
  </si>
  <si>
    <t xml:space="preserve">Monto del contrato</t>
  </si>
  <si>
    <t xml:space="preserve">(-) Amortización del anticipo</t>
  </si>
  <si>
    <t xml:space="preserve">Estimado acumulado (incluye ésta)</t>
  </si>
  <si>
    <t xml:space="preserve">Subtotal (base del IVA)</t>
  </si>
  <si>
    <t xml:space="preserve">Avance financiero</t>
  </si>
  <si>
    <t xml:space="preserve">(+) IVA</t>
  </si>
  <si>
    <t xml:space="preserve">Anticipo otorgado</t>
  </si>
  <si>
    <t xml:space="preserve">Total de la estimación (importe del CFDI)</t>
  </si>
  <si>
    <t xml:space="preserve">Anticipo amortizado acumulado</t>
  </si>
  <si>
    <t xml:space="preserve">(-) Retención de IVA</t>
  </si>
  <si>
    <t xml:space="preserve">Saldo de anticipo por amortizar</t>
  </si>
  <si>
    <t xml:space="preserve">(-) Retención fondo de garantía</t>
  </si>
  <si>
    <t xml:space="preserve">Fondo de garantía acumulado</t>
  </si>
  <si>
    <t xml:space="preserve">(-) Otras deducciones</t>
  </si>
  <si>
    <t xml:space="preserve">Saldo del contrato por estimar</t>
  </si>
  <si>
    <t xml:space="preserve">NETO A PAGAR</t>
  </si>
  <si>
    <t xml:space="preserve">Alertas del catálogo:</t>
  </si>
  <si>
    <t xml:space="preserve">El pago de esta estimación no implica la aceptación de los trabajos (ver cláusula de pago del contrato).</t>
  </si>
  <si>
    <t xml:space="preserve">____________________________</t>
  </si>
  <si>
    <t xml:space="preserve">Elaboró — superintendente del contratista</t>
  </si>
  <si>
    <t xml:space="preserve">Revisó — supervisión</t>
  </si>
  <si>
    <t xml:space="preserve">Autorizó — propietario</t>
  </si>
  <si>
    <t xml:space="preserve">ESTIMACIÓN — DATOS DEL CONTRATO</t>
  </si>
  <si>
    <t xml:space="preserve">Vértice Ingeniería, Arquitectura y Proyectos</t>
  </si>
  <si>
    <t xml:space="preserve">Cliente / propietario</t>
  </si>
  <si>
    <t xml:space="preserve">Estimación número</t>
  </si>
  <si>
    <t xml:space="preserve">Periodo del</t>
  </si>
  <si>
    <t xml:space="preserve">Periodo al</t>
  </si>
  <si>
    <t xml:space="preserve">Monto del contrato (sin IVA)</t>
  </si>
  <si>
    <t xml:space="preserve">Suma del catálogo contratado</t>
  </si>
  <si>
    <t xml:space="preserve">Fondo de garantía</t>
  </si>
  <si>
    <t xml:space="preserve">IVA</t>
  </si>
  <si>
    <t xml:space="preserve">8 % región fronteriza norte (Decreto vigente hasta 31-dic-2026)</t>
  </si>
  <si>
    <t xml:space="preserve">Retención de IVA (si aplica)</t>
  </si>
  <si>
    <t xml:space="preserve">Sólo si aplica art. 1-A fr. IV LIVA; normalmente 0</t>
  </si>
  <si>
    <t xml:space="preserve">Otras deducciones (penas, cargos)</t>
  </si>
  <si>
    <t xml:space="preserve">Concepto de otras deducciones</t>
  </si>
  <si>
    <t xml:space="preserve">CATÁLOGO, AVANCE Y ESTIMACIÓN DEL PERIODO</t>
  </si>
  <si>
    <t xml:space="preserve">Clave</t>
  </si>
  <si>
    <t xml:space="preserve">Concepto</t>
  </si>
  <si>
    <t xml:space="preserve">Unidad</t>
  </si>
  <si>
    <t xml:space="preserve">Cantidad contratada</t>
  </si>
  <si>
    <t xml:space="preserve">P.U. (sin IVA)</t>
  </si>
  <si>
    <t xml:space="preserve">Importe contratado</t>
  </si>
  <si>
    <t xml:space="preserve">Cant. acumulada anterior</t>
  </si>
  <si>
    <t xml:space="preserve">Cant. esta estimación</t>
  </si>
  <si>
    <t xml:space="preserve">Cant. acumulada actual</t>
  </si>
  <si>
    <t xml:space="preserve">Importe esta estimación</t>
  </si>
  <si>
    <t xml:space="preserve">Importe acumulado</t>
  </si>
  <si>
    <t xml:space="preserve">Cant. por ejecutar</t>
  </si>
  <si>
    <t xml:space="preserve">% avance</t>
  </si>
  <si>
    <t xml:space="preserve">Alerta</t>
  </si>
  <si>
    <t xml:space="preserve">PRE-01</t>
  </si>
  <si>
    <t xml:space="preserve">Demolición de muros de block y retiro de escombro fuera de obra</t>
  </si>
  <si>
    <t xml:space="preserve">m²</t>
  </si>
  <si>
    <t xml:space="preserve">TAB-01</t>
  </si>
  <si>
    <t xml:space="preserve">Muro de tablaroca 1 cara, bastidor cal. 26 @ 61 cm, juntas y cinta</t>
  </si>
  <si>
    <t xml:space="preserve">TAB-02</t>
  </si>
  <si>
    <t xml:space="preserve">Plafón de tablaroca a 3.00 m, incluye colgantes y canaleta</t>
  </si>
  <si>
    <t xml:space="preserve">ELE-01</t>
  </si>
  <si>
    <t xml:space="preserve">Salida eléctrica de contacto dúplex, cable cal. 12, tubería conduit</t>
  </si>
  <si>
    <t xml:space="preserve">sal</t>
  </si>
  <si>
    <t xml:space="preserve">ELE-02</t>
  </si>
  <si>
    <t xml:space="preserve">Salida de alumbrado con luminaria LED de empotrar 60×60</t>
  </si>
  <si>
    <t xml:space="preserve">HID-01</t>
  </si>
  <si>
    <t xml:space="preserve">Salida hidráulica y sanitaria para lavabo, PVC y CPVC</t>
  </si>
  <si>
    <t xml:space="preserve">PIS-01</t>
  </si>
  <si>
    <t xml:space="preserve">Piso porcelánico 60×60 asentado con adhesivo, incluye boquilla</t>
  </si>
  <si>
    <t xml:space="preserve">PIN-01</t>
  </si>
  <si>
    <t xml:space="preserve">Pintura vinílica 2 manos sobre tablaroca, incluye sellador</t>
  </si>
  <si>
    <t xml:space="preserve">TOTALES</t>
  </si>
  <si>
    <t xml:space="preserve">NÚMEROS GENERADORES</t>
  </si>
  <si>
    <t xml:space="preserve">Eje / nivel / ubicación</t>
  </si>
  <si>
    <t xml:space="preserve">Descripción de la medición</t>
  </si>
  <si>
    <t xml:space="preserve">Largo</t>
  </si>
  <si>
    <t xml:space="preserve">Ancho</t>
  </si>
  <si>
    <t xml:space="preserve">Alto / espesor</t>
  </si>
  <si>
    <t xml:space="preserve">Piezas</t>
  </si>
  <si>
    <t xml:space="preserve">Signo (1 / -1)</t>
  </si>
  <si>
    <t xml:space="preserve">Parcial</t>
  </si>
  <si>
    <t xml:space="preserve">Cantidad</t>
  </si>
  <si>
    <t xml:space="preserve">Croquis / foto</t>
  </si>
  <si>
    <t xml:space="preserve">Eje 1 / A-C</t>
  </si>
  <si>
    <t xml:space="preserve">Muro divisorio a demoler</t>
  </si>
  <si>
    <t xml:space="preserve">Hueco de puerta existente</t>
  </si>
  <si>
    <t xml:space="preserve">Ejes B-D / 2</t>
  </si>
  <si>
    <t xml:space="preserve">Muro de tablaroca sala de juntas</t>
  </si>
  <si>
    <t xml:space="preserve">Área de ventas</t>
  </si>
  <si>
    <t xml:space="preserve">Plafón zona A</t>
  </si>
  <si>
    <t xml:space="preserve">Muro eje C</t>
  </si>
  <si>
    <t xml:space="preserve">Contactos dúplex</t>
  </si>
  <si>
    <t xml:space="preserve">Piso porcelánico zona A</t>
  </si>
  <si>
    <t xml:space="preserve">REPORTE FOTOGRÁFICO DE LA ESTIMACIÓN</t>
  </si>
  <si>
    <t xml:space="preserve">Foto 1
(inserta la imagen aquí)</t>
  </si>
  <si>
    <t xml:space="preserve">Foto 2
(inserta la imagen aquí)</t>
  </si>
  <si>
    <t xml:space="preserve">Clave / ubicación:</t>
  </si>
  <si>
    <t xml:space="preserve">Descripción:</t>
  </si>
  <si>
    <t xml:space="preserve">Foto 3
(inserta la imagen aquí)</t>
  </si>
  <si>
    <t xml:space="preserve">Foto 4
(inserta la imagen aquí)</t>
  </si>
  <si>
    <t xml:space="preserve">Foto 5
(inserta la imagen aquí)</t>
  </si>
  <si>
    <t xml:space="preserve">Foto 6
(inserta la imagen aquí)</t>
  </si>
  <si>
    <t xml:space="preserve">Foto 7
(inserta la imagen aquí)</t>
  </si>
  <si>
    <t xml:space="preserve">Foto 8
(inserta la imagen aquí)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</si>
</sst>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.00;&quot;($&quot;#,##0.00\);\-"/>
    <numFmt numFmtId="167" formatCode="0.0%;\(0.0%\);\-"/>
    <numFmt numFmtId="168" formatCode="dd/mm/yyyy"/>
    <numFmt numFmtId="169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D2328"/>
      <name val="Arial"/>
      <family val="0"/>
      <charset val="1"/>
    </font>
    <font>
      <b val="true"/>
      <sz val="11"/>
      <color rgb="FFB23B2E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B23B2E"/>
      <name val="Arial"/>
      <family val="0"/>
      <charset val="1"/>
    </font>
    <font>
      <i val="true"/>
      <sz val="8"/>
      <name val="Arial"/>
      <family val="0"/>
      <charset val="1"/>
    </font>
    <font>
      <i val="true"/>
      <sz val="8"/>
      <color rgb="FF5B65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9AA3A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3E6E8"/>
        <bgColor rgb="FFF8D7D3"/>
      </patternFill>
    </fill>
    <fill>
      <patternFill patternType="solid">
        <fgColor rgb="FF1D2328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23B2E"/>
      </bottom>
      <diagonal/>
    </border>
    <border diagonalUp="false" diagonalDown="false"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A"/>
      <rgbColor rgb="FF808080"/>
      <rgbColor rgb="FF9999FF"/>
      <rgbColor rgb="FF993366"/>
      <rgbColor rgb="FFFFF2CC"/>
      <rgbColor rgb="FFE3E6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656E"/>
      <rgbColor rgb="FF9AA3AA"/>
      <rgbColor rgb="FF003366"/>
      <rgbColor rgb="FF339966"/>
      <rgbColor rgb="FF003300"/>
      <rgbColor rgb="FF333300"/>
      <rgbColor rgb="FFB23B2E"/>
      <rgbColor rgb="FF993366"/>
      <rgbColor rgb="FF333399"/>
      <rgbColor rgb="FF1D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22.35" hidden="false" customHeight="false" outlineLevel="0" collapsed="false">
      <c r="A8" s="6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6" t="s">
        <v>7</v>
      </c>
    </row>
    <row r="11" customFormat="false" ht="22.35" hidden="false" customHeight="false" outlineLevel="0" collapsed="false">
      <c r="A11" s="6" t="s">
        <v>8</v>
      </c>
    </row>
    <row r="12" customFormat="false" ht="22.3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5" t="s">
        <v>11</v>
      </c>
    </row>
    <row r="15" customFormat="false" ht="22.35" hidden="false" customHeight="false" outlineLevel="0" collapsed="false">
      <c r="A15" s="6" t="s">
        <v>12</v>
      </c>
    </row>
    <row r="16" customFormat="false" ht="22.35" hidden="false" customHeight="false" outlineLevel="0" collapsed="false">
      <c r="A16" s="6" t="s">
        <v>13</v>
      </c>
    </row>
    <row r="17" customFormat="false" ht="15" hidden="false" customHeight="false" outlineLevel="0" collapsed="false">
      <c r="A17" s="6" t="s">
        <v>14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15</v>
      </c>
      <c r="B2" s="8"/>
      <c r="C2" s="8"/>
      <c r="D2" s="8"/>
      <c r="E2" s="8"/>
      <c r="F2" s="8"/>
    </row>
    <row r="3" customFormat="false" ht="15" hidden="false" customHeight="false" outlineLevel="0" collapsed="false">
      <c r="A3" s="9" t="s">
        <v>16</v>
      </c>
      <c r="B3" s="10"/>
    </row>
    <row r="4" customFormat="false" ht="15" hidden="false" customHeight="false" outlineLevel="0" collapsed="false">
      <c r="A4" s="9" t="s">
        <v>17</v>
      </c>
      <c r="B4" s="10"/>
    </row>
    <row r="6" customFormat="false" ht="15" hidden="false" customHeight="false" outlineLevel="0" collapsed="false">
      <c r="A6" s="9" t="s">
        <v>18</v>
      </c>
      <c r="B6" s="11" t="n">
        <f aca="false">Datos!B8</f>
        <v>1</v>
      </c>
    </row>
    <row r="7" customFormat="false" ht="15" hidden="false" customHeight="false" outlineLevel="0" collapsed="false">
      <c r="A7" s="9" t="s">
        <v>19</v>
      </c>
      <c r="B7" s="10" t="str">
        <f aca="false">TEXT(Datos!B9,"dd/mm/yyyy")&amp;" al "&amp;TEXT(Datos!B10,"dd/mm/yyyy")</f>
        <v>19/10/2026 al 01/11/2026</v>
      </c>
    </row>
    <row r="8" customFormat="false" ht="15" hidden="false" customHeight="false" outlineLevel="0" collapsed="false">
      <c r="A8" s="9" t="s">
        <v>20</v>
      </c>
      <c r="B8" s="10" t="str">
        <f aca="false">Datos!B6</f>
        <v>Vértice Ingeniería, Arquitectura y Proyectos</v>
      </c>
    </row>
    <row r="9" customFormat="false" ht="15" hidden="false" customHeight="false" outlineLevel="0" collapsed="false">
      <c r="A9" s="9" t="s">
        <v>21</v>
      </c>
      <c r="B9" s="10" t="n">
        <f aca="false">Datos!B7</f>
        <v>0</v>
      </c>
    </row>
    <row r="11" customFormat="false" ht="15" hidden="false" customHeight="false" outlineLevel="0" collapsed="false">
      <c r="D11" s="2" t="s">
        <v>22</v>
      </c>
    </row>
    <row r="12" customFormat="false" ht="15" hidden="false" customHeight="false" outlineLevel="0" collapsed="false">
      <c r="A12" s="12" t="s">
        <v>23</v>
      </c>
      <c r="B12" s="13" t="n">
        <f aca="false">Catálogo!J49</f>
        <v>115192.35</v>
      </c>
      <c r="D12" s="12" t="s">
        <v>24</v>
      </c>
      <c r="E12" s="13" t="n">
        <f aca="false">Datos!B11</f>
        <v>527050</v>
      </c>
    </row>
    <row r="13" customFormat="false" ht="15" hidden="false" customHeight="false" outlineLevel="0" collapsed="false">
      <c r="A13" s="12" t="s">
        <v>25</v>
      </c>
      <c r="B13" s="13" t="n">
        <f aca="false">-ROUND(B12*Datos!B12,2)</f>
        <v>-34557.71</v>
      </c>
      <c r="D13" s="12" t="s">
        <v>26</v>
      </c>
      <c r="E13" s="13" t="n">
        <f aca="false">Catálogo!K49</f>
        <v>196205.85</v>
      </c>
    </row>
    <row r="14" customFormat="false" ht="15" hidden="false" customHeight="false" outlineLevel="0" collapsed="false">
      <c r="A14" s="14" t="s">
        <v>27</v>
      </c>
      <c r="B14" s="15" t="n">
        <f aca="false">B12+B13</f>
        <v>80634.64</v>
      </c>
      <c r="D14" s="12" t="s">
        <v>28</v>
      </c>
      <c r="E14" s="16" t="n">
        <f aca="false">IF(E12=0,0,E13/E12)</f>
        <v>0.372271795844797</v>
      </c>
    </row>
    <row r="15" customFormat="false" ht="15" hidden="false" customHeight="false" outlineLevel="0" collapsed="false">
      <c r="A15" s="12" t="s">
        <v>29</v>
      </c>
      <c r="B15" s="13" t="n">
        <f aca="false">ROUND(B14*Datos!B14,2)</f>
        <v>6450.77</v>
      </c>
      <c r="D15" s="12" t="s">
        <v>30</v>
      </c>
      <c r="E15" s="13" t="n">
        <f aca="false">ROUND(E12*Datos!B12,2)</f>
        <v>158115</v>
      </c>
    </row>
    <row r="16" customFormat="false" ht="15" hidden="false" customHeight="false" outlineLevel="0" collapsed="false">
      <c r="A16" s="14" t="s">
        <v>31</v>
      </c>
      <c r="B16" s="15" t="n">
        <f aca="false">B14+B15</f>
        <v>87085.41</v>
      </c>
      <c r="D16" s="12" t="s">
        <v>32</v>
      </c>
      <c r="E16" s="13" t="n">
        <f aca="false">ROUND(E13*Datos!B12,2)</f>
        <v>58861.76</v>
      </c>
    </row>
    <row r="17" customFormat="false" ht="15" hidden="false" customHeight="false" outlineLevel="0" collapsed="false">
      <c r="A17" s="12" t="s">
        <v>33</v>
      </c>
      <c r="B17" s="13" t="n">
        <f aca="false">-ROUND(B14*Datos!B15,2)</f>
        <v>-0</v>
      </c>
      <c r="D17" s="12" t="s">
        <v>34</v>
      </c>
      <c r="E17" s="13" t="n">
        <f aca="false">E15-E16</f>
        <v>99253.24</v>
      </c>
    </row>
    <row r="18" customFormat="false" ht="15" hidden="false" customHeight="false" outlineLevel="0" collapsed="false">
      <c r="A18" s="12" t="s">
        <v>35</v>
      </c>
      <c r="B18" s="13" t="n">
        <f aca="false">-ROUND(B12*Datos!B13,2)</f>
        <v>-5759.62</v>
      </c>
      <c r="D18" s="12" t="s">
        <v>36</v>
      </c>
      <c r="E18" s="13" t="n">
        <f aca="false">ROUND(E13*Datos!B13,2)</f>
        <v>9810.29</v>
      </c>
    </row>
    <row r="19" customFormat="false" ht="15" hidden="false" customHeight="false" outlineLevel="0" collapsed="false">
      <c r="A19" s="12" t="s">
        <v>37</v>
      </c>
      <c r="B19" s="13" t="n">
        <f aca="false">-Datos!B16</f>
        <v>-0</v>
      </c>
      <c r="D19" s="12" t="s">
        <v>38</v>
      </c>
      <c r="E19" s="13" t="n">
        <f aca="false">E12-E13</f>
        <v>330844.15</v>
      </c>
    </row>
    <row r="20" customFormat="false" ht="15" hidden="false" customHeight="false" outlineLevel="0" collapsed="false">
      <c r="A20" s="17" t="s">
        <v>39</v>
      </c>
      <c r="B20" s="18" t="n">
        <f aca="false">SUM(B16:B19)</f>
        <v>81325.79</v>
      </c>
    </row>
    <row r="22" customFormat="false" ht="15" hidden="false" customHeight="false" outlineLevel="0" collapsed="false">
      <c r="A22" s="9" t="s">
        <v>40</v>
      </c>
      <c r="B22" s="19" t="str">
        <f aca="false">IF(COUNTIF(Catálogo!N8:N48,"EXCEDE")=0,"Sin conceptos excedidos",COUNTIF(Catálogo!N8:N48,"EXCEDE")&amp;" concepto(s) exceden lo contratado: requieren orden de cambio")</f>
        <v>Sin conceptos excedidos</v>
      </c>
    </row>
    <row r="23" customFormat="false" ht="15" hidden="false" customHeight="false" outlineLevel="0" collapsed="false">
      <c r="A23" s="20" t="s">
        <v>41</v>
      </c>
    </row>
    <row r="27" customFormat="false" ht="15" hidden="false" customHeight="false" outlineLevel="0" collapsed="false">
      <c r="A27" s="10" t="s">
        <v>42</v>
      </c>
      <c r="C27" s="10" t="s">
        <v>42</v>
      </c>
      <c r="E27" s="10" t="s">
        <v>42</v>
      </c>
    </row>
    <row r="28" customFormat="false" ht="15" hidden="false" customHeight="false" outlineLevel="0" collapsed="false">
      <c r="A28" s="9" t="s">
        <v>43</v>
      </c>
      <c r="C28" s="9" t="s">
        <v>44</v>
      </c>
      <c r="E28" s="9" t="s">
        <v>45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7" t="s">
        <v>0</v>
      </c>
      <c r="B1" s="7"/>
      <c r="C1" s="7"/>
    </row>
    <row r="2" customFormat="false" ht="15" hidden="false" customHeight="false" outlineLevel="0" collapsed="false">
      <c r="A2" s="8" t="s">
        <v>46</v>
      </c>
      <c r="B2" s="8"/>
      <c r="C2" s="8"/>
    </row>
    <row r="3" customFormat="false" ht="15" hidden="false" customHeight="false" outlineLevel="0" collapsed="false">
      <c r="A3" s="9" t="s">
        <v>16</v>
      </c>
      <c r="B3" s="10"/>
    </row>
    <row r="4" customFormat="false" ht="15" hidden="false" customHeight="false" outlineLevel="0" collapsed="false">
      <c r="A4" s="9" t="s">
        <v>17</v>
      </c>
      <c r="B4" s="10"/>
    </row>
    <row r="6" customFormat="false" ht="15" hidden="false" customHeight="false" outlineLevel="0" collapsed="false">
      <c r="A6" s="12" t="s">
        <v>20</v>
      </c>
      <c r="B6" s="21" t="s">
        <v>47</v>
      </c>
    </row>
    <row r="7" customFormat="false" ht="15" hidden="false" customHeight="false" outlineLevel="0" collapsed="false">
      <c r="A7" s="12" t="s">
        <v>48</v>
      </c>
      <c r="B7" s="21"/>
    </row>
    <row r="8" customFormat="false" ht="15" hidden="false" customHeight="false" outlineLevel="0" collapsed="false">
      <c r="A8" s="12" t="s">
        <v>49</v>
      </c>
      <c r="B8" s="22" t="n">
        <v>1</v>
      </c>
    </row>
    <row r="9" customFormat="false" ht="15" hidden="false" customHeight="false" outlineLevel="0" collapsed="false">
      <c r="A9" s="12" t="s">
        <v>50</v>
      </c>
      <c r="B9" s="23" t="n">
        <v>46314</v>
      </c>
    </row>
    <row r="10" customFormat="false" ht="15" hidden="false" customHeight="false" outlineLevel="0" collapsed="false">
      <c r="A10" s="12" t="s">
        <v>51</v>
      </c>
      <c r="B10" s="23" t="n">
        <v>46327</v>
      </c>
    </row>
    <row r="11" customFormat="false" ht="15" hidden="false" customHeight="false" outlineLevel="0" collapsed="false">
      <c r="A11" s="12" t="s">
        <v>52</v>
      </c>
      <c r="B11" s="13" t="n">
        <f aca="false">Catálogo!F49</f>
        <v>527050</v>
      </c>
      <c r="C11" s="24" t="s">
        <v>53</v>
      </c>
    </row>
    <row r="12" customFormat="false" ht="15" hidden="false" customHeight="false" outlineLevel="0" collapsed="false">
      <c r="A12" s="12" t="s">
        <v>30</v>
      </c>
      <c r="B12" s="25" t="n">
        <v>0.3</v>
      </c>
    </row>
    <row r="13" customFormat="false" ht="15" hidden="false" customHeight="false" outlineLevel="0" collapsed="false">
      <c r="A13" s="12" t="s">
        <v>54</v>
      </c>
      <c r="B13" s="25" t="n">
        <v>0.05</v>
      </c>
    </row>
    <row r="14" customFormat="false" ht="15" hidden="false" customHeight="false" outlineLevel="0" collapsed="false">
      <c r="A14" s="12" t="s">
        <v>55</v>
      </c>
      <c r="B14" s="25" t="n">
        <v>0.08</v>
      </c>
      <c r="C14" s="24" t="s">
        <v>56</v>
      </c>
    </row>
    <row r="15" customFormat="false" ht="15" hidden="false" customHeight="false" outlineLevel="0" collapsed="false">
      <c r="A15" s="12" t="s">
        <v>57</v>
      </c>
      <c r="B15" s="25" t="n">
        <v>0</v>
      </c>
      <c r="C15" s="24" t="s">
        <v>58</v>
      </c>
    </row>
    <row r="16" customFormat="false" ht="15" hidden="false" customHeight="false" outlineLevel="0" collapsed="false">
      <c r="A16" s="12" t="s">
        <v>59</v>
      </c>
      <c r="B16" s="26" t="n">
        <v>0</v>
      </c>
    </row>
    <row r="17" customFormat="false" ht="15" hidden="false" customHeight="false" outlineLevel="0" collapsed="false">
      <c r="A17" s="12" t="s">
        <v>60</v>
      </c>
      <c r="B17" s="21"/>
    </row>
  </sheetData>
  <mergeCells count="2">
    <mergeCell ref="A1:C1"/>
    <mergeCell ref="A2:C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1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0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" hidden="false" customHeight="false" outlineLevel="0" collapsed="false">
      <c r="A2" s="8" t="s">
        <v>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A3" s="9" t="s">
        <v>16</v>
      </c>
      <c r="B3" s="10"/>
    </row>
    <row r="4" customFormat="false" ht="15" hidden="false" customHeight="false" outlineLevel="0" collapsed="false">
      <c r="A4" s="9" t="s">
        <v>17</v>
      </c>
      <c r="B4" s="10"/>
    </row>
    <row r="7" customFormat="false" ht="30" hidden="false" customHeight="true" outlineLevel="0" collapsed="false">
      <c r="A7" s="27" t="s">
        <v>62</v>
      </c>
      <c r="B7" s="27" t="s">
        <v>63</v>
      </c>
      <c r="C7" s="27" t="s">
        <v>64</v>
      </c>
      <c r="D7" s="27" t="s">
        <v>65</v>
      </c>
      <c r="E7" s="27" t="s">
        <v>66</v>
      </c>
      <c r="F7" s="27" t="s">
        <v>67</v>
      </c>
      <c r="G7" s="27" t="s">
        <v>68</v>
      </c>
      <c r="H7" s="27" t="s">
        <v>69</v>
      </c>
      <c r="I7" s="27" t="s">
        <v>70</v>
      </c>
      <c r="J7" s="27" t="s">
        <v>71</v>
      </c>
      <c r="K7" s="27" t="s">
        <v>72</v>
      </c>
      <c r="L7" s="27" t="s">
        <v>73</v>
      </c>
      <c r="M7" s="27" t="s">
        <v>74</v>
      </c>
      <c r="N7" s="27" t="s">
        <v>75</v>
      </c>
    </row>
    <row r="8" customFormat="false" ht="22.35" hidden="false" customHeight="false" outlineLevel="0" collapsed="false">
      <c r="A8" s="21" t="s">
        <v>76</v>
      </c>
      <c r="B8" s="28" t="s">
        <v>77</v>
      </c>
      <c r="C8" s="21" t="s">
        <v>78</v>
      </c>
      <c r="D8" s="29" t="n">
        <v>45</v>
      </c>
      <c r="E8" s="26" t="n">
        <v>185</v>
      </c>
      <c r="F8" s="13" t="n">
        <f aca="false">D8*E8</f>
        <v>8325</v>
      </c>
      <c r="G8" s="29" t="n">
        <v>13.5</v>
      </c>
      <c r="H8" s="30" t="n">
        <f aca="false">IF(A8="",0,SUMIF(Generadores!$A$8:$A$307,A8,Generadores!$J$8:$J$307))</f>
        <v>23.31</v>
      </c>
      <c r="I8" s="30" t="n">
        <f aca="false">G8+H8</f>
        <v>36.81</v>
      </c>
      <c r="J8" s="13" t="n">
        <f aca="false">H8*E8</f>
        <v>4312.35</v>
      </c>
      <c r="K8" s="13" t="n">
        <f aca="false">I8*E8</f>
        <v>6809.85</v>
      </c>
      <c r="L8" s="30" t="n">
        <f aca="false">D8-I8</f>
        <v>8.19</v>
      </c>
      <c r="M8" s="16" t="n">
        <f aca="false">IF(D8=0,0,I8/D8)</f>
        <v>0.818</v>
      </c>
      <c r="N8" s="12" t="str">
        <f aca="false">IF(AND(D8&gt;0,I8&gt;D8+0.0001),"EXCEDE","")</f>
        <v/>
      </c>
    </row>
    <row r="9" customFormat="false" ht="22.35" hidden="false" customHeight="false" outlineLevel="0" collapsed="false">
      <c r="A9" s="21" t="s">
        <v>79</v>
      </c>
      <c r="B9" s="28" t="s">
        <v>80</v>
      </c>
      <c r="C9" s="21" t="s">
        <v>78</v>
      </c>
      <c r="D9" s="29" t="n">
        <v>210</v>
      </c>
      <c r="E9" s="26" t="n">
        <v>520</v>
      </c>
      <c r="F9" s="13" t="n">
        <f aca="false">D9*E9</f>
        <v>109200</v>
      </c>
      <c r="G9" s="29" t="n">
        <v>63</v>
      </c>
      <c r="H9" s="30" t="n">
        <f aca="false">IF(A9="",0,SUMIF(Generadores!$A$8:$A$307,A9,Generadores!$J$8:$J$307))</f>
        <v>37.5</v>
      </c>
      <c r="I9" s="30" t="n">
        <f aca="false">G9+H9</f>
        <v>100.5</v>
      </c>
      <c r="J9" s="13" t="n">
        <f aca="false">H9*E9</f>
        <v>19500</v>
      </c>
      <c r="K9" s="13" t="n">
        <f aca="false">I9*E9</f>
        <v>52260</v>
      </c>
      <c r="L9" s="30" t="n">
        <f aca="false">D9-I9</f>
        <v>109.5</v>
      </c>
      <c r="M9" s="16" t="n">
        <f aca="false">IF(D9=0,0,I9/D9)</f>
        <v>0.478571428571429</v>
      </c>
      <c r="N9" s="12" t="str">
        <f aca="false">IF(AND(D9&gt;0,I9&gt;D9+0.0001),"EXCEDE","")</f>
        <v/>
      </c>
    </row>
    <row r="10" customFormat="false" ht="15" hidden="false" customHeight="false" outlineLevel="0" collapsed="false">
      <c r="A10" s="21" t="s">
        <v>81</v>
      </c>
      <c r="B10" s="28" t="s">
        <v>82</v>
      </c>
      <c r="C10" s="21" t="s">
        <v>78</v>
      </c>
      <c r="D10" s="29" t="n">
        <v>180</v>
      </c>
      <c r="E10" s="26" t="n">
        <v>610</v>
      </c>
      <c r="F10" s="13" t="n">
        <f aca="false">D10*E10</f>
        <v>109800</v>
      </c>
      <c r="G10" s="29" t="n">
        <v>54</v>
      </c>
      <c r="H10" s="30" t="n">
        <f aca="false">IF(A10="",0,SUMIF(Generadores!$A$8:$A$307,A10,Generadores!$J$8:$J$307))</f>
        <v>60</v>
      </c>
      <c r="I10" s="30" t="n">
        <f aca="false">G10+H10</f>
        <v>114</v>
      </c>
      <c r="J10" s="13" t="n">
        <f aca="false">H10*E10</f>
        <v>36600</v>
      </c>
      <c r="K10" s="13" t="n">
        <f aca="false">I10*E10</f>
        <v>69540</v>
      </c>
      <c r="L10" s="30" t="n">
        <f aca="false">D10-I10</f>
        <v>66</v>
      </c>
      <c r="M10" s="16" t="n">
        <f aca="false">IF(D10=0,0,I10/D10)</f>
        <v>0.633333333333333</v>
      </c>
      <c r="N10" s="12" t="str">
        <f aca="false">IF(AND(D10&gt;0,I10&gt;D10+0.0001),"EXCEDE","")</f>
        <v/>
      </c>
    </row>
    <row r="11" customFormat="false" ht="22.35" hidden="false" customHeight="false" outlineLevel="0" collapsed="false">
      <c r="A11" s="21" t="s">
        <v>83</v>
      </c>
      <c r="B11" s="28" t="s">
        <v>84</v>
      </c>
      <c r="C11" s="21" t="s">
        <v>85</v>
      </c>
      <c r="D11" s="29" t="n">
        <v>48</v>
      </c>
      <c r="E11" s="26" t="n">
        <v>890</v>
      </c>
      <c r="F11" s="13" t="n">
        <f aca="false">D11*E11</f>
        <v>42720</v>
      </c>
      <c r="G11" s="29" t="n">
        <v>14.4</v>
      </c>
      <c r="H11" s="30" t="n">
        <f aca="false">IF(A11="",0,SUMIF(Generadores!$A$8:$A$307,A11,Generadores!$J$8:$J$307))</f>
        <v>12</v>
      </c>
      <c r="I11" s="30" t="n">
        <f aca="false">G11+H11</f>
        <v>26.4</v>
      </c>
      <c r="J11" s="13" t="n">
        <f aca="false">H11*E11</f>
        <v>10680</v>
      </c>
      <c r="K11" s="13" t="n">
        <f aca="false">I11*E11</f>
        <v>23496</v>
      </c>
      <c r="L11" s="30" t="n">
        <f aca="false">D11-I11</f>
        <v>21.6</v>
      </c>
      <c r="M11" s="16" t="n">
        <f aca="false">IF(D11=0,0,I11/D11)</f>
        <v>0.55</v>
      </c>
      <c r="N11" s="12" t="str">
        <f aca="false">IF(AND(D11&gt;0,I11&gt;D11+0.0001),"EXCEDE","")</f>
        <v/>
      </c>
    </row>
    <row r="12" customFormat="false" ht="15" hidden="false" customHeight="false" outlineLevel="0" collapsed="false">
      <c r="A12" s="21" t="s">
        <v>86</v>
      </c>
      <c r="B12" s="28" t="s">
        <v>87</v>
      </c>
      <c r="C12" s="21" t="s">
        <v>85</v>
      </c>
      <c r="D12" s="29" t="n">
        <v>36</v>
      </c>
      <c r="E12" s="26" t="n">
        <v>1650</v>
      </c>
      <c r="F12" s="13" t="n">
        <f aca="false">D12*E12</f>
        <v>59400</v>
      </c>
      <c r="G12" s="29" t="n">
        <v>0</v>
      </c>
      <c r="H12" s="30" t="n">
        <f aca="false">IF(A12="",0,SUMIF(Generadores!$A$8:$A$307,A12,Generadores!$J$8:$J$307))</f>
        <v>0</v>
      </c>
      <c r="I12" s="30" t="n">
        <f aca="false">G12+H12</f>
        <v>0</v>
      </c>
      <c r="J12" s="13" t="n">
        <f aca="false">H12*E12</f>
        <v>0</v>
      </c>
      <c r="K12" s="13" t="n">
        <f aca="false">I12*E12</f>
        <v>0</v>
      </c>
      <c r="L12" s="30" t="n">
        <f aca="false">D12-I12</f>
        <v>36</v>
      </c>
      <c r="M12" s="16" t="n">
        <f aca="false">IF(D12=0,0,I12/D12)</f>
        <v>0</v>
      </c>
      <c r="N12" s="12" t="str">
        <f aca="false">IF(AND(D12&gt;0,I12&gt;D12+0.0001),"EXCEDE","")</f>
        <v/>
      </c>
    </row>
    <row r="13" customFormat="false" ht="15" hidden="false" customHeight="false" outlineLevel="0" collapsed="false">
      <c r="A13" s="21" t="s">
        <v>88</v>
      </c>
      <c r="B13" s="28" t="s">
        <v>89</v>
      </c>
      <c r="C13" s="21" t="s">
        <v>85</v>
      </c>
      <c r="D13" s="29" t="n">
        <v>6</v>
      </c>
      <c r="E13" s="26" t="n">
        <v>2350</v>
      </c>
      <c r="F13" s="13" t="n">
        <f aca="false">D13*E13</f>
        <v>14100</v>
      </c>
      <c r="G13" s="29" t="n">
        <v>0</v>
      </c>
      <c r="H13" s="30" t="n">
        <f aca="false">IF(A13="",0,SUMIF(Generadores!$A$8:$A$307,A13,Generadores!$J$8:$J$307))</f>
        <v>0</v>
      </c>
      <c r="I13" s="30" t="n">
        <f aca="false">G13+H13</f>
        <v>0</v>
      </c>
      <c r="J13" s="13" t="n">
        <f aca="false">H13*E13</f>
        <v>0</v>
      </c>
      <c r="K13" s="13" t="n">
        <f aca="false">I13*E13</f>
        <v>0</v>
      </c>
      <c r="L13" s="30" t="n">
        <f aca="false">D13-I13</f>
        <v>6</v>
      </c>
      <c r="M13" s="16" t="n">
        <f aca="false">IF(D13=0,0,I13/D13)</f>
        <v>0</v>
      </c>
      <c r="N13" s="12" t="str">
        <f aca="false">IF(AND(D13&gt;0,I13&gt;D13+0.0001),"EXCEDE","")</f>
        <v/>
      </c>
    </row>
    <row r="14" customFormat="false" ht="22.35" hidden="false" customHeight="false" outlineLevel="0" collapsed="false">
      <c r="A14" s="21" t="s">
        <v>90</v>
      </c>
      <c r="B14" s="28" t="s">
        <v>91</v>
      </c>
      <c r="C14" s="21" t="s">
        <v>78</v>
      </c>
      <c r="D14" s="29" t="n">
        <v>175</v>
      </c>
      <c r="E14" s="26" t="n">
        <v>735</v>
      </c>
      <c r="F14" s="13" t="n">
        <f aca="false">D14*E14</f>
        <v>128625</v>
      </c>
      <c r="G14" s="29" t="n">
        <v>0</v>
      </c>
      <c r="H14" s="30" t="n">
        <f aca="false">IF(A14="",0,SUMIF(Generadores!$A$8:$A$307,A14,Generadores!$J$8:$J$307))</f>
        <v>60</v>
      </c>
      <c r="I14" s="30" t="n">
        <f aca="false">G14+H14</f>
        <v>60</v>
      </c>
      <c r="J14" s="13" t="n">
        <f aca="false">H14*E14</f>
        <v>44100</v>
      </c>
      <c r="K14" s="13" t="n">
        <f aca="false">I14*E14</f>
        <v>44100</v>
      </c>
      <c r="L14" s="30" t="n">
        <f aca="false">D14-I14</f>
        <v>115</v>
      </c>
      <c r="M14" s="16" t="n">
        <f aca="false">IF(D14=0,0,I14/D14)</f>
        <v>0.342857142857143</v>
      </c>
      <c r="N14" s="12" t="str">
        <f aca="false">IF(AND(D14&gt;0,I14&gt;D14+0.0001),"EXCEDE","")</f>
        <v/>
      </c>
    </row>
    <row r="15" customFormat="false" ht="15" hidden="false" customHeight="false" outlineLevel="0" collapsed="false">
      <c r="A15" s="21" t="s">
        <v>92</v>
      </c>
      <c r="B15" s="28" t="s">
        <v>93</v>
      </c>
      <c r="C15" s="21" t="s">
        <v>78</v>
      </c>
      <c r="D15" s="29" t="n">
        <v>560</v>
      </c>
      <c r="E15" s="26" t="n">
        <v>98</v>
      </c>
      <c r="F15" s="13" t="n">
        <f aca="false">D15*E15</f>
        <v>54880</v>
      </c>
      <c r="G15" s="29" t="n">
        <v>0</v>
      </c>
      <c r="H15" s="30" t="n">
        <f aca="false">IF(A15="",0,SUMIF(Generadores!$A$8:$A$307,A15,Generadores!$J$8:$J$307))</f>
        <v>0</v>
      </c>
      <c r="I15" s="30" t="n">
        <f aca="false">G15+H15</f>
        <v>0</v>
      </c>
      <c r="J15" s="13" t="n">
        <f aca="false">H15*E15</f>
        <v>0</v>
      </c>
      <c r="K15" s="13" t="n">
        <f aca="false">I15*E15</f>
        <v>0</v>
      </c>
      <c r="L15" s="30" t="n">
        <f aca="false">D15-I15</f>
        <v>560</v>
      </c>
      <c r="M15" s="16" t="n">
        <f aca="false">IF(D15=0,0,I15/D15)</f>
        <v>0</v>
      </c>
      <c r="N15" s="12" t="str">
        <f aca="false">IF(AND(D15&gt;0,I15&gt;D15+0.0001),"EXCEDE","")</f>
        <v/>
      </c>
    </row>
    <row r="16" customFormat="false" ht="15" hidden="false" customHeight="false" outlineLevel="0" collapsed="false">
      <c r="A16" s="21"/>
      <c r="B16" s="28"/>
      <c r="C16" s="21"/>
      <c r="D16" s="29"/>
      <c r="E16" s="26"/>
      <c r="F16" s="13" t="n">
        <f aca="false">D16*E16</f>
        <v>0</v>
      </c>
      <c r="G16" s="29"/>
      <c r="H16" s="30" t="n">
        <f aca="false">IF(A16="",0,SUMIF(Generadores!$A$8:$A$307,A16,Generadores!$J$8:$J$307))</f>
        <v>0</v>
      </c>
      <c r="I16" s="30" t="n">
        <f aca="false">G16+H16</f>
        <v>0</v>
      </c>
      <c r="J16" s="13" t="n">
        <f aca="false">H16*E16</f>
        <v>0</v>
      </c>
      <c r="K16" s="13" t="n">
        <f aca="false">I16*E16</f>
        <v>0</v>
      </c>
      <c r="L16" s="30" t="n">
        <f aca="false">D16-I16</f>
        <v>0</v>
      </c>
      <c r="M16" s="16" t="n">
        <f aca="false">IF(D16=0,0,I16/D16)</f>
        <v>0</v>
      </c>
      <c r="N16" s="12" t="str">
        <f aca="false">IF(AND(D16&gt;0,I16&gt;D16+0.0001),"EXCEDE","")</f>
        <v/>
      </c>
    </row>
    <row r="17" customFormat="false" ht="15" hidden="false" customHeight="false" outlineLevel="0" collapsed="false">
      <c r="A17" s="21"/>
      <c r="B17" s="28"/>
      <c r="C17" s="21"/>
      <c r="D17" s="29"/>
      <c r="E17" s="26"/>
      <c r="F17" s="13" t="n">
        <f aca="false">D17*E17</f>
        <v>0</v>
      </c>
      <c r="G17" s="29"/>
      <c r="H17" s="30" t="n">
        <f aca="false">IF(A17="",0,SUMIF(Generadores!$A$8:$A$307,A17,Generadores!$J$8:$J$307))</f>
        <v>0</v>
      </c>
      <c r="I17" s="30" t="n">
        <f aca="false">G17+H17</f>
        <v>0</v>
      </c>
      <c r="J17" s="13" t="n">
        <f aca="false">H17*E17</f>
        <v>0</v>
      </c>
      <c r="K17" s="13" t="n">
        <f aca="false">I17*E17</f>
        <v>0</v>
      </c>
      <c r="L17" s="30" t="n">
        <f aca="false">D17-I17</f>
        <v>0</v>
      </c>
      <c r="M17" s="16" t="n">
        <f aca="false">IF(D17=0,0,I17/D17)</f>
        <v>0</v>
      </c>
      <c r="N17" s="12" t="str">
        <f aca="false">IF(AND(D17&gt;0,I17&gt;D17+0.0001),"EXCEDE","")</f>
        <v/>
      </c>
    </row>
    <row r="18" customFormat="false" ht="15" hidden="false" customHeight="false" outlineLevel="0" collapsed="false">
      <c r="A18" s="21"/>
      <c r="B18" s="28"/>
      <c r="C18" s="21"/>
      <c r="D18" s="29"/>
      <c r="E18" s="26"/>
      <c r="F18" s="13" t="n">
        <f aca="false">D18*E18</f>
        <v>0</v>
      </c>
      <c r="G18" s="29"/>
      <c r="H18" s="30" t="n">
        <f aca="false">IF(A18="",0,SUMIF(Generadores!$A$8:$A$307,A18,Generadores!$J$8:$J$307))</f>
        <v>0</v>
      </c>
      <c r="I18" s="30" t="n">
        <f aca="false">G18+H18</f>
        <v>0</v>
      </c>
      <c r="J18" s="13" t="n">
        <f aca="false">H18*E18</f>
        <v>0</v>
      </c>
      <c r="K18" s="13" t="n">
        <f aca="false">I18*E18</f>
        <v>0</v>
      </c>
      <c r="L18" s="30" t="n">
        <f aca="false">D18-I18</f>
        <v>0</v>
      </c>
      <c r="M18" s="16" t="n">
        <f aca="false">IF(D18=0,0,I18/D18)</f>
        <v>0</v>
      </c>
      <c r="N18" s="12" t="str">
        <f aca="false">IF(AND(D18&gt;0,I18&gt;D18+0.0001),"EXCEDE","")</f>
        <v/>
      </c>
    </row>
    <row r="19" customFormat="false" ht="15" hidden="false" customHeight="false" outlineLevel="0" collapsed="false">
      <c r="A19" s="21"/>
      <c r="B19" s="28"/>
      <c r="C19" s="21"/>
      <c r="D19" s="29"/>
      <c r="E19" s="26"/>
      <c r="F19" s="13" t="n">
        <f aca="false">D19*E19</f>
        <v>0</v>
      </c>
      <c r="G19" s="29"/>
      <c r="H19" s="30" t="n">
        <f aca="false">IF(A19="",0,SUMIF(Generadores!$A$8:$A$307,A19,Generadores!$J$8:$J$307))</f>
        <v>0</v>
      </c>
      <c r="I19" s="30" t="n">
        <f aca="false">G19+H19</f>
        <v>0</v>
      </c>
      <c r="J19" s="13" t="n">
        <f aca="false">H19*E19</f>
        <v>0</v>
      </c>
      <c r="K19" s="13" t="n">
        <f aca="false">I19*E19</f>
        <v>0</v>
      </c>
      <c r="L19" s="30" t="n">
        <f aca="false">D19-I19</f>
        <v>0</v>
      </c>
      <c r="M19" s="16" t="n">
        <f aca="false">IF(D19=0,0,I19/D19)</f>
        <v>0</v>
      </c>
      <c r="N19" s="12" t="str">
        <f aca="false">IF(AND(D19&gt;0,I19&gt;D19+0.0001),"EXCEDE","")</f>
        <v/>
      </c>
    </row>
    <row r="20" customFormat="false" ht="15" hidden="false" customHeight="false" outlineLevel="0" collapsed="false">
      <c r="A20" s="21"/>
      <c r="B20" s="28"/>
      <c r="C20" s="21"/>
      <c r="D20" s="29"/>
      <c r="E20" s="26"/>
      <c r="F20" s="13" t="n">
        <f aca="false">D20*E20</f>
        <v>0</v>
      </c>
      <c r="G20" s="29"/>
      <c r="H20" s="30" t="n">
        <f aca="false">IF(A20="",0,SUMIF(Generadores!$A$8:$A$307,A20,Generadores!$J$8:$J$307))</f>
        <v>0</v>
      </c>
      <c r="I20" s="30" t="n">
        <f aca="false">G20+H20</f>
        <v>0</v>
      </c>
      <c r="J20" s="13" t="n">
        <f aca="false">H20*E20</f>
        <v>0</v>
      </c>
      <c r="K20" s="13" t="n">
        <f aca="false">I20*E20</f>
        <v>0</v>
      </c>
      <c r="L20" s="30" t="n">
        <f aca="false">D20-I20</f>
        <v>0</v>
      </c>
      <c r="M20" s="16" t="n">
        <f aca="false">IF(D20=0,0,I20/D20)</f>
        <v>0</v>
      </c>
      <c r="N20" s="12" t="str">
        <f aca="false">IF(AND(D20&gt;0,I20&gt;D20+0.0001),"EXCEDE","")</f>
        <v/>
      </c>
    </row>
    <row r="21" customFormat="false" ht="15" hidden="false" customHeight="false" outlineLevel="0" collapsed="false">
      <c r="A21" s="21"/>
      <c r="B21" s="28"/>
      <c r="C21" s="21"/>
      <c r="D21" s="29"/>
      <c r="E21" s="26"/>
      <c r="F21" s="13" t="n">
        <f aca="false">D21*E21</f>
        <v>0</v>
      </c>
      <c r="G21" s="29"/>
      <c r="H21" s="30" t="n">
        <f aca="false">IF(A21="",0,SUMIF(Generadores!$A$8:$A$307,A21,Generadores!$J$8:$J$307))</f>
        <v>0</v>
      </c>
      <c r="I21" s="30" t="n">
        <f aca="false">G21+H21</f>
        <v>0</v>
      </c>
      <c r="J21" s="13" t="n">
        <f aca="false">H21*E21</f>
        <v>0</v>
      </c>
      <c r="K21" s="13" t="n">
        <f aca="false">I21*E21</f>
        <v>0</v>
      </c>
      <c r="L21" s="30" t="n">
        <f aca="false">D21-I21</f>
        <v>0</v>
      </c>
      <c r="M21" s="16" t="n">
        <f aca="false">IF(D21=0,0,I21/D21)</f>
        <v>0</v>
      </c>
      <c r="N21" s="12" t="str">
        <f aca="false">IF(AND(D21&gt;0,I21&gt;D21+0.0001),"EXCEDE","")</f>
        <v/>
      </c>
    </row>
    <row r="22" customFormat="false" ht="15" hidden="false" customHeight="false" outlineLevel="0" collapsed="false">
      <c r="A22" s="21"/>
      <c r="B22" s="28"/>
      <c r="C22" s="21"/>
      <c r="D22" s="29"/>
      <c r="E22" s="26"/>
      <c r="F22" s="13" t="n">
        <f aca="false">D22*E22</f>
        <v>0</v>
      </c>
      <c r="G22" s="29"/>
      <c r="H22" s="30" t="n">
        <f aca="false">IF(A22="",0,SUMIF(Generadores!$A$8:$A$307,A22,Generadores!$J$8:$J$307))</f>
        <v>0</v>
      </c>
      <c r="I22" s="30" t="n">
        <f aca="false">G22+H22</f>
        <v>0</v>
      </c>
      <c r="J22" s="13" t="n">
        <f aca="false">H22*E22</f>
        <v>0</v>
      </c>
      <c r="K22" s="13" t="n">
        <f aca="false">I22*E22</f>
        <v>0</v>
      </c>
      <c r="L22" s="30" t="n">
        <f aca="false">D22-I22</f>
        <v>0</v>
      </c>
      <c r="M22" s="16" t="n">
        <f aca="false">IF(D22=0,0,I22/D22)</f>
        <v>0</v>
      </c>
      <c r="N22" s="12" t="str">
        <f aca="false">IF(AND(D22&gt;0,I22&gt;D22+0.0001),"EXCEDE","")</f>
        <v/>
      </c>
    </row>
    <row r="23" customFormat="false" ht="15" hidden="false" customHeight="false" outlineLevel="0" collapsed="false">
      <c r="A23" s="21"/>
      <c r="B23" s="28"/>
      <c r="C23" s="21"/>
      <c r="D23" s="29"/>
      <c r="E23" s="26"/>
      <c r="F23" s="13" t="n">
        <f aca="false">D23*E23</f>
        <v>0</v>
      </c>
      <c r="G23" s="29"/>
      <c r="H23" s="30" t="n">
        <f aca="false">IF(A23="",0,SUMIF(Generadores!$A$8:$A$307,A23,Generadores!$J$8:$J$307))</f>
        <v>0</v>
      </c>
      <c r="I23" s="30" t="n">
        <f aca="false">G23+H23</f>
        <v>0</v>
      </c>
      <c r="J23" s="13" t="n">
        <f aca="false">H23*E23</f>
        <v>0</v>
      </c>
      <c r="K23" s="13" t="n">
        <f aca="false">I23*E23</f>
        <v>0</v>
      </c>
      <c r="L23" s="30" t="n">
        <f aca="false">D23-I23</f>
        <v>0</v>
      </c>
      <c r="M23" s="16" t="n">
        <f aca="false">IF(D23=0,0,I23/D23)</f>
        <v>0</v>
      </c>
      <c r="N23" s="12" t="str">
        <f aca="false">IF(AND(D23&gt;0,I23&gt;D23+0.0001),"EXCEDE","")</f>
        <v/>
      </c>
    </row>
    <row r="24" customFormat="false" ht="15" hidden="false" customHeight="false" outlineLevel="0" collapsed="false">
      <c r="A24" s="21"/>
      <c r="B24" s="28"/>
      <c r="C24" s="21"/>
      <c r="D24" s="29"/>
      <c r="E24" s="26"/>
      <c r="F24" s="13" t="n">
        <f aca="false">D24*E24</f>
        <v>0</v>
      </c>
      <c r="G24" s="29"/>
      <c r="H24" s="30" t="n">
        <f aca="false">IF(A24="",0,SUMIF(Generadores!$A$8:$A$307,A24,Generadores!$J$8:$J$307))</f>
        <v>0</v>
      </c>
      <c r="I24" s="30" t="n">
        <f aca="false">G24+H24</f>
        <v>0</v>
      </c>
      <c r="J24" s="13" t="n">
        <f aca="false">H24*E24</f>
        <v>0</v>
      </c>
      <c r="K24" s="13" t="n">
        <f aca="false">I24*E24</f>
        <v>0</v>
      </c>
      <c r="L24" s="30" t="n">
        <f aca="false">D24-I24</f>
        <v>0</v>
      </c>
      <c r="M24" s="16" t="n">
        <f aca="false">IF(D24=0,0,I24/D24)</f>
        <v>0</v>
      </c>
      <c r="N24" s="12" t="str">
        <f aca="false">IF(AND(D24&gt;0,I24&gt;D24+0.0001),"EXCEDE","")</f>
        <v/>
      </c>
    </row>
    <row r="25" customFormat="false" ht="15" hidden="false" customHeight="false" outlineLevel="0" collapsed="false">
      <c r="A25" s="21"/>
      <c r="B25" s="28"/>
      <c r="C25" s="21"/>
      <c r="D25" s="29"/>
      <c r="E25" s="26"/>
      <c r="F25" s="13" t="n">
        <f aca="false">D25*E25</f>
        <v>0</v>
      </c>
      <c r="G25" s="29"/>
      <c r="H25" s="30" t="n">
        <f aca="false">IF(A25="",0,SUMIF(Generadores!$A$8:$A$307,A25,Generadores!$J$8:$J$307))</f>
        <v>0</v>
      </c>
      <c r="I25" s="30" t="n">
        <f aca="false">G25+H25</f>
        <v>0</v>
      </c>
      <c r="J25" s="13" t="n">
        <f aca="false">H25*E25</f>
        <v>0</v>
      </c>
      <c r="K25" s="13" t="n">
        <f aca="false">I25*E25</f>
        <v>0</v>
      </c>
      <c r="L25" s="30" t="n">
        <f aca="false">D25-I25</f>
        <v>0</v>
      </c>
      <c r="M25" s="16" t="n">
        <f aca="false">IF(D25=0,0,I25/D25)</f>
        <v>0</v>
      </c>
      <c r="N25" s="12" t="str">
        <f aca="false">IF(AND(D25&gt;0,I25&gt;D25+0.0001),"EXCEDE","")</f>
        <v/>
      </c>
    </row>
    <row r="26" customFormat="false" ht="15" hidden="false" customHeight="false" outlineLevel="0" collapsed="false">
      <c r="A26" s="21"/>
      <c r="B26" s="28"/>
      <c r="C26" s="21"/>
      <c r="D26" s="29"/>
      <c r="E26" s="26"/>
      <c r="F26" s="13" t="n">
        <f aca="false">D26*E26</f>
        <v>0</v>
      </c>
      <c r="G26" s="29"/>
      <c r="H26" s="30" t="n">
        <f aca="false">IF(A26="",0,SUMIF(Generadores!$A$8:$A$307,A26,Generadores!$J$8:$J$307))</f>
        <v>0</v>
      </c>
      <c r="I26" s="30" t="n">
        <f aca="false">G26+H26</f>
        <v>0</v>
      </c>
      <c r="J26" s="13" t="n">
        <f aca="false">H26*E26</f>
        <v>0</v>
      </c>
      <c r="K26" s="13" t="n">
        <f aca="false">I26*E26</f>
        <v>0</v>
      </c>
      <c r="L26" s="30" t="n">
        <f aca="false">D26-I26</f>
        <v>0</v>
      </c>
      <c r="M26" s="16" t="n">
        <f aca="false">IF(D26=0,0,I26/D26)</f>
        <v>0</v>
      </c>
      <c r="N26" s="12" t="str">
        <f aca="false">IF(AND(D26&gt;0,I26&gt;D26+0.0001),"EXCEDE","")</f>
        <v/>
      </c>
    </row>
    <row r="27" customFormat="false" ht="15" hidden="false" customHeight="false" outlineLevel="0" collapsed="false">
      <c r="A27" s="21"/>
      <c r="B27" s="28"/>
      <c r="C27" s="21"/>
      <c r="D27" s="29"/>
      <c r="E27" s="26"/>
      <c r="F27" s="13" t="n">
        <f aca="false">D27*E27</f>
        <v>0</v>
      </c>
      <c r="G27" s="29"/>
      <c r="H27" s="30" t="n">
        <f aca="false">IF(A27="",0,SUMIF(Generadores!$A$8:$A$307,A27,Generadores!$J$8:$J$307))</f>
        <v>0</v>
      </c>
      <c r="I27" s="30" t="n">
        <f aca="false">G27+H27</f>
        <v>0</v>
      </c>
      <c r="J27" s="13" t="n">
        <f aca="false">H27*E27</f>
        <v>0</v>
      </c>
      <c r="K27" s="13" t="n">
        <f aca="false">I27*E27</f>
        <v>0</v>
      </c>
      <c r="L27" s="30" t="n">
        <f aca="false">D27-I27</f>
        <v>0</v>
      </c>
      <c r="M27" s="16" t="n">
        <f aca="false">IF(D27=0,0,I27/D27)</f>
        <v>0</v>
      </c>
      <c r="N27" s="12" t="str">
        <f aca="false">IF(AND(D27&gt;0,I27&gt;D27+0.0001),"EXCEDE","")</f>
        <v/>
      </c>
    </row>
    <row r="28" customFormat="false" ht="15" hidden="false" customHeight="false" outlineLevel="0" collapsed="false">
      <c r="A28" s="21"/>
      <c r="B28" s="28"/>
      <c r="C28" s="21"/>
      <c r="D28" s="29"/>
      <c r="E28" s="26"/>
      <c r="F28" s="13" t="n">
        <f aca="false">D28*E28</f>
        <v>0</v>
      </c>
      <c r="G28" s="29"/>
      <c r="H28" s="30" t="n">
        <f aca="false">IF(A28="",0,SUMIF(Generadores!$A$8:$A$307,A28,Generadores!$J$8:$J$307))</f>
        <v>0</v>
      </c>
      <c r="I28" s="30" t="n">
        <f aca="false">G28+H28</f>
        <v>0</v>
      </c>
      <c r="J28" s="13" t="n">
        <f aca="false">H28*E28</f>
        <v>0</v>
      </c>
      <c r="K28" s="13" t="n">
        <f aca="false">I28*E28</f>
        <v>0</v>
      </c>
      <c r="L28" s="30" t="n">
        <f aca="false">D28-I28</f>
        <v>0</v>
      </c>
      <c r="M28" s="16" t="n">
        <f aca="false">IF(D28=0,0,I28/D28)</f>
        <v>0</v>
      </c>
      <c r="N28" s="12" t="str">
        <f aca="false">IF(AND(D28&gt;0,I28&gt;D28+0.0001),"EXCEDE","")</f>
        <v/>
      </c>
    </row>
    <row r="29" customFormat="false" ht="15" hidden="false" customHeight="false" outlineLevel="0" collapsed="false">
      <c r="A29" s="21"/>
      <c r="B29" s="28"/>
      <c r="C29" s="21"/>
      <c r="D29" s="29"/>
      <c r="E29" s="26"/>
      <c r="F29" s="13" t="n">
        <f aca="false">D29*E29</f>
        <v>0</v>
      </c>
      <c r="G29" s="29"/>
      <c r="H29" s="30" t="n">
        <f aca="false">IF(A29="",0,SUMIF(Generadores!$A$8:$A$307,A29,Generadores!$J$8:$J$307))</f>
        <v>0</v>
      </c>
      <c r="I29" s="30" t="n">
        <f aca="false">G29+H29</f>
        <v>0</v>
      </c>
      <c r="J29" s="13" t="n">
        <f aca="false">H29*E29</f>
        <v>0</v>
      </c>
      <c r="K29" s="13" t="n">
        <f aca="false">I29*E29</f>
        <v>0</v>
      </c>
      <c r="L29" s="30" t="n">
        <f aca="false">D29-I29</f>
        <v>0</v>
      </c>
      <c r="M29" s="16" t="n">
        <f aca="false">IF(D29=0,0,I29/D29)</f>
        <v>0</v>
      </c>
      <c r="N29" s="12" t="str">
        <f aca="false">IF(AND(D29&gt;0,I29&gt;D29+0.0001),"EXCEDE","")</f>
        <v/>
      </c>
    </row>
    <row r="30" customFormat="false" ht="15" hidden="false" customHeight="false" outlineLevel="0" collapsed="false">
      <c r="A30" s="21"/>
      <c r="B30" s="28"/>
      <c r="C30" s="21"/>
      <c r="D30" s="29"/>
      <c r="E30" s="26"/>
      <c r="F30" s="13" t="n">
        <f aca="false">D30*E30</f>
        <v>0</v>
      </c>
      <c r="G30" s="29"/>
      <c r="H30" s="30" t="n">
        <f aca="false">IF(A30="",0,SUMIF(Generadores!$A$8:$A$307,A30,Generadores!$J$8:$J$307))</f>
        <v>0</v>
      </c>
      <c r="I30" s="30" t="n">
        <f aca="false">G30+H30</f>
        <v>0</v>
      </c>
      <c r="J30" s="13" t="n">
        <f aca="false">H30*E30</f>
        <v>0</v>
      </c>
      <c r="K30" s="13" t="n">
        <f aca="false">I30*E30</f>
        <v>0</v>
      </c>
      <c r="L30" s="30" t="n">
        <f aca="false">D30-I30</f>
        <v>0</v>
      </c>
      <c r="M30" s="16" t="n">
        <f aca="false">IF(D30=0,0,I30/D30)</f>
        <v>0</v>
      </c>
      <c r="N30" s="12" t="str">
        <f aca="false">IF(AND(D30&gt;0,I30&gt;D30+0.0001),"EXCEDE","")</f>
        <v/>
      </c>
    </row>
    <row r="31" customFormat="false" ht="15" hidden="false" customHeight="false" outlineLevel="0" collapsed="false">
      <c r="A31" s="21"/>
      <c r="B31" s="28"/>
      <c r="C31" s="21"/>
      <c r="D31" s="29"/>
      <c r="E31" s="26"/>
      <c r="F31" s="13" t="n">
        <f aca="false">D31*E31</f>
        <v>0</v>
      </c>
      <c r="G31" s="29"/>
      <c r="H31" s="30" t="n">
        <f aca="false">IF(A31="",0,SUMIF(Generadores!$A$8:$A$307,A31,Generadores!$J$8:$J$307))</f>
        <v>0</v>
      </c>
      <c r="I31" s="30" t="n">
        <f aca="false">G31+H31</f>
        <v>0</v>
      </c>
      <c r="J31" s="13" t="n">
        <f aca="false">H31*E31</f>
        <v>0</v>
      </c>
      <c r="K31" s="13" t="n">
        <f aca="false">I31*E31</f>
        <v>0</v>
      </c>
      <c r="L31" s="30" t="n">
        <f aca="false">D31-I31</f>
        <v>0</v>
      </c>
      <c r="M31" s="16" t="n">
        <f aca="false">IF(D31=0,0,I31/D31)</f>
        <v>0</v>
      </c>
      <c r="N31" s="12" t="str">
        <f aca="false">IF(AND(D31&gt;0,I31&gt;D31+0.0001),"EXCEDE","")</f>
        <v/>
      </c>
    </row>
    <row r="32" customFormat="false" ht="15" hidden="false" customHeight="false" outlineLevel="0" collapsed="false">
      <c r="A32" s="21"/>
      <c r="B32" s="28"/>
      <c r="C32" s="21"/>
      <c r="D32" s="29"/>
      <c r="E32" s="26"/>
      <c r="F32" s="13" t="n">
        <f aca="false">D32*E32</f>
        <v>0</v>
      </c>
      <c r="G32" s="29"/>
      <c r="H32" s="30" t="n">
        <f aca="false">IF(A32="",0,SUMIF(Generadores!$A$8:$A$307,A32,Generadores!$J$8:$J$307))</f>
        <v>0</v>
      </c>
      <c r="I32" s="30" t="n">
        <f aca="false">G32+H32</f>
        <v>0</v>
      </c>
      <c r="J32" s="13" t="n">
        <f aca="false">H32*E32</f>
        <v>0</v>
      </c>
      <c r="K32" s="13" t="n">
        <f aca="false">I32*E32</f>
        <v>0</v>
      </c>
      <c r="L32" s="30" t="n">
        <f aca="false">D32-I32</f>
        <v>0</v>
      </c>
      <c r="M32" s="16" t="n">
        <f aca="false">IF(D32=0,0,I32/D32)</f>
        <v>0</v>
      </c>
      <c r="N32" s="12" t="str">
        <f aca="false">IF(AND(D32&gt;0,I32&gt;D32+0.0001),"EXCEDE","")</f>
        <v/>
      </c>
    </row>
    <row r="33" customFormat="false" ht="15" hidden="false" customHeight="false" outlineLevel="0" collapsed="false">
      <c r="A33" s="21"/>
      <c r="B33" s="28"/>
      <c r="C33" s="21"/>
      <c r="D33" s="29"/>
      <c r="E33" s="26"/>
      <c r="F33" s="13" t="n">
        <f aca="false">D33*E33</f>
        <v>0</v>
      </c>
      <c r="G33" s="29"/>
      <c r="H33" s="30" t="n">
        <f aca="false">IF(A33="",0,SUMIF(Generadores!$A$8:$A$307,A33,Generadores!$J$8:$J$307))</f>
        <v>0</v>
      </c>
      <c r="I33" s="30" t="n">
        <f aca="false">G33+H33</f>
        <v>0</v>
      </c>
      <c r="J33" s="13" t="n">
        <f aca="false">H33*E33</f>
        <v>0</v>
      </c>
      <c r="K33" s="13" t="n">
        <f aca="false">I33*E33</f>
        <v>0</v>
      </c>
      <c r="L33" s="30" t="n">
        <f aca="false">D33-I33</f>
        <v>0</v>
      </c>
      <c r="M33" s="16" t="n">
        <f aca="false">IF(D33=0,0,I33/D33)</f>
        <v>0</v>
      </c>
      <c r="N33" s="12" t="str">
        <f aca="false">IF(AND(D33&gt;0,I33&gt;D33+0.0001),"EXCEDE","")</f>
        <v/>
      </c>
    </row>
    <row r="34" customFormat="false" ht="15" hidden="false" customHeight="false" outlineLevel="0" collapsed="false">
      <c r="A34" s="21"/>
      <c r="B34" s="28"/>
      <c r="C34" s="21"/>
      <c r="D34" s="29"/>
      <c r="E34" s="26"/>
      <c r="F34" s="13" t="n">
        <f aca="false">D34*E34</f>
        <v>0</v>
      </c>
      <c r="G34" s="29"/>
      <c r="H34" s="30" t="n">
        <f aca="false">IF(A34="",0,SUMIF(Generadores!$A$8:$A$307,A34,Generadores!$J$8:$J$307))</f>
        <v>0</v>
      </c>
      <c r="I34" s="30" t="n">
        <f aca="false">G34+H34</f>
        <v>0</v>
      </c>
      <c r="J34" s="13" t="n">
        <f aca="false">H34*E34</f>
        <v>0</v>
      </c>
      <c r="K34" s="13" t="n">
        <f aca="false">I34*E34</f>
        <v>0</v>
      </c>
      <c r="L34" s="30" t="n">
        <f aca="false">D34-I34</f>
        <v>0</v>
      </c>
      <c r="M34" s="16" t="n">
        <f aca="false">IF(D34=0,0,I34/D34)</f>
        <v>0</v>
      </c>
      <c r="N34" s="12" t="str">
        <f aca="false">IF(AND(D34&gt;0,I34&gt;D34+0.0001),"EXCEDE","")</f>
        <v/>
      </c>
    </row>
    <row r="35" customFormat="false" ht="15" hidden="false" customHeight="false" outlineLevel="0" collapsed="false">
      <c r="A35" s="21"/>
      <c r="B35" s="28"/>
      <c r="C35" s="21"/>
      <c r="D35" s="29"/>
      <c r="E35" s="26"/>
      <c r="F35" s="13" t="n">
        <f aca="false">D35*E35</f>
        <v>0</v>
      </c>
      <c r="G35" s="29"/>
      <c r="H35" s="30" t="n">
        <f aca="false">IF(A35="",0,SUMIF(Generadores!$A$8:$A$307,A35,Generadores!$J$8:$J$307))</f>
        <v>0</v>
      </c>
      <c r="I35" s="30" t="n">
        <f aca="false">G35+H35</f>
        <v>0</v>
      </c>
      <c r="J35" s="13" t="n">
        <f aca="false">H35*E35</f>
        <v>0</v>
      </c>
      <c r="K35" s="13" t="n">
        <f aca="false">I35*E35</f>
        <v>0</v>
      </c>
      <c r="L35" s="30" t="n">
        <f aca="false">D35-I35</f>
        <v>0</v>
      </c>
      <c r="M35" s="16" t="n">
        <f aca="false">IF(D35=0,0,I35/D35)</f>
        <v>0</v>
      </c>
      <c r="N35" s="12" t="str">
        <f aca="false">IF(AND(D35&gt;0,I35&gt;D35+0.0001),"EXCEDE","")</f>
        <v/>
      </c>
    </row>
    <row r="36" customFormat="false" ht="15" hidden="false" customHeight="false" outlineLevel="0" collapsed="false">
      <c r="A36" s="21"/>
      <c r="B36" s="28"/>
      <c r="C36" s="21"/>
      <c r="D36" s="29"/>
      <c r="E36" s="26"/>
      <c r="F36" s="13" t="n">
        <f aca="false">D36*E36</f>
        <v>0</v>
      </c>
      <c r="G36" s="29"/>
      <c r="H36" s="30" t="n">
        <f aca="false">IF(A36="",0,SUMIF(Generadores!$A$8:$A$307,A36,Generadores!$J$8:$J$307))</f>
        <v>0</v>
      </c>
      <c r="I36" s="30" t="n">
        <f aca="false">G36+H36</f>
        <v>0</v>
      </c>
      <c r="J36" s="13" t="n">
        <f aca="false">H36*E36</f>
        <v>0</v>
      </c>
      <c r="K36" s="13" t="n">
        <f aca="false">I36*E36</f>
        <v>0</v>
      </c>
      <c r="L36" s="30" t="n">
        <f aca="false">D36-I36</f>
        <v>0</v>
      </c>
      <c r="M36" s="16" t="n">
        <f aca="false">IF(D36=0,0,I36/D36)</f>
        <v>0</v>
      </c>
      <c r="N36" s="12" t="str">
        <f aca="false">IF(AND(D36&gt;0,I36&gt;D36+0.0001),"EXCEDE","")</f>
        <v/>
      </c>
    </row>
    <row r="37" customFormat="false" ht="15" hidden="false" customHeight="false" outlineLevel="0" collapsed="false">
      <c r="A37" s="21"/>
      <c r="B37" s="28"/>
      <c r="C37" s="21"/>
      <c r="D37" s="29"/>
      <c r="E37" s="26"/>
      <c r="F37" s="13" t="n">
        <f aca="false">D37*E37</f>
        <v>0</v>
      </c>
      <c r="G37" s="29"/>
      <c r="H37" s="30" t="n">
        <f aca="false">IF(A37="",0,SUMIF(Generadores!$A$8:$A$307,A37,Generadores!$J$8:$J$307))</f>
        <v>0</v>
      </c>
      <c r="I37" s="30" t="n">
        <f aca="false">G37+H37</f>
        <v>0</v>
      </c>
      <c r="J37" s="13" t="n">
        <f aca="false">H37*E37</f>
        <v>0</v>
      </c>
      <c r="K37" s="13" t="n">
        <f aca="false">I37*E37</f>
        <v>0</v>
      </c>
      <c r="L37" s="30" t="n">
        <f aca="false">D37-I37</f>
        <v>0</v>
      </c>
      <c r="M37" s="16" t="n">
        <f aca="false">IF(D37=0,0,I37/D37)</f>
        <v>0</v>
      </c>
      <c r="N37" s="12" t="str">
        <f aca="false">IF(AND(D37&gt;0,I37&gt;D37+0.0001),"EXCEDE","")</f>
        <v/>
      </c>
    </row>
    <row r="38" customFormat="false" ht="15" hidden="false" customHeight="false" outlineLevel="0" collapsed="false">
      <c r="A38" s="21"/>
      <c r="B38" s="28"/>
      <c r="C38" s="21"/>
      <c r="D38" s="29"/>
      <c r="E38" s="26"/>
      <c r="F38" s="13" t="n">
        <f aca="false">D38*E38</f>
        <v>0</v>
      </c>
      <c r="G38" s="29"/>
      <c r="H38" s="30" t="n">
        <f aca="false">IF(A38="",0,SUMIF(Generadores!$A$8:$A$307,A38,Generadores!$J$8:$J$307))</f>
        <v>0</v>
      </c>
      <c r="I38" s="30" t="n">
        <f aca="false">G38+H38</f>
        <v>0</v>
      </c>
      <c r="J38" s="13" t="n">
        <f aca="false">H38*E38</f>
        <v>0</v>
      </c>
      <c r="K38" s="13" t="n">
        <f aca="false">I38*E38</f>
        <v>0</v>
      </c>
      <c r="L38" s="30" t="n">
        <f aca="false">D38-I38</f>
        <v>0</v>
      </c>
      <c r="M38" s="16" t="n">
        <f aca="false">IF(D38=0,0,I38/D38)</f>
        <v>0</v>
      </c>
      <c r="N38" s="12" t="str">
        <f aca="false">IF(AND(D38&gt;0,I38&gt;D38+0.0001),"EXCEDE","")</f>
        <v/>
      </c>
    </row>
    <row r="39" customFormat="false" ht="15" hidden="false" customHeight="false" outlineLevel="0" collapsed="false">
      <c r="A39" s="21"/>
      <c r="B39" s="28"/>
      <c r="C39" s="21"/>
      <c r="D39" s="29"/>
      <c r="E39" s="26"/>
      <c r="F39" s="13" t="n">
        <f aca="false">D39*E39</f>
        <v>0</v>
      </c>
      <c r="G39" s="29"/>
      <c r="H39" s="30" t="n">
        <f aca="false">IF(A39="",0,SUMIF(Generadores!$A$8:$A$307,A39,Generadores!$J$8:$J$307))</f>
        <v>0</v>
      </c>
      <c r="I39" s="30" t="n">
        <f aca="false">G39+H39</f>
        <v>0</v>
      </c>
      <c r="J39" s="13" t="n">
        <f aca="false">H39*E39</f>
        <v>0</v>
      </c>
      <c r="K39" s="13" t="n">
        <f aca="false">I39*E39</f>
        <v>0</v>
      </c>
      <c r="L39" s="30" t="n">
        <f aca="false">D39-I39</f>
        <v>0</v>
      </c>
      <c r="M39" s="16" t="n">
        <f aca="false">IF(D39=0,0,I39/D39)</f>
        <v>0</v>
      </c>
      <c r="N39" s="12" t="str">
        <f aca="false">IF(AND(D39&gt;0,I39&gt;D39+0.0001),"EXCEDE","")</f>
        <v/>
      </c>
    </row>
    <row r="40" customFormat="false" ht="15" hidden="false" customHeight="false" outlineLevel="0" collapsed="false">
      <c r="A40" s="21"/>
      <c r="B40" s="28"/>
      <c r="C40" s="21"/>
      <c r="D40" s="29"/>
      <c r="E40" s="26"/>
      <c r="F40" s="13" t="n">
        <f aca="false">D40*E40</f>
        <v>0</v>
      </c>
      <c r="G40" s="29"/>
      <c r="H40" s="30" t="n">
        <f aca="false">IF(A40="",0,SUMIF(Generadores!$A$8:$A$307,A40,Generadores!$J$8:$J$307))</f>
        <v>0</v>
      </c>
      <c r="I40" s="30" t="n">
        <f aca="false">G40+H40</f>
        <v>0</v>
      </c>
      <c r="J40" s="13" t="n">
        <f aca="false">H40*E40</f>
        <v>0</v>
      </c>
      <c r="K40" s="13" t="n">
        <f aca="false">I40*E40</f>
        <v>0</v>
      </c>
      <c r="L40" s="30" t="n">
        <f aca="false">D40-I40</f>
        <v>0</v>
      </c>
      <c r="M40" s="16" t="n">
        <f aca="false">IF(D40=0,0,I40/D40)</f>
        <v>0</v>
      </c>
      <c r="N40" s="12" t="str">
        <f aca="false">IF(AND(D40&gt;0,I40&gt;D40+0.0001),"EXCEDE","")</f>
        <v/>
      </c>
    </row>
    <row r="41" customFormat="false" ht="15" hidden="false" customHeight="false" outlineLevel="0" collapsed="false">
      <c r="A41" s="21"/>
      <c r="B41" s="28"/>
      <c r="C41" s="21"/>
      <c r="D41" s="29"/>
      <c r="E41" s="26"/>
      <c r="F41" s="13" t="n">
        <f aca="false">D41*E41</f>
        <v>0</v>
      </c>
      <c r="G41" s="29"/>
      <c r="H41" s="30" t="n">
        <f aca="false">IF(A41="",0,SUMIF(Generadores!$A$8:$A$307,A41,Generadores!$J$8:$J$307))</f>
        <v>0</v>
      </c>
      <c r="I41" s="30" t="n">
        <f aca="false">G41+H41</f>
        <v>0</v>
      </c>
      <c r="J41" s="13" t="n">
        <f aca="false">H41*E41</f>
        <v>0</v>
      </c>
      <c r="K41" s="13" t="n">
        <f aca="false">I41*E41</f>
        <v>0</v>
      </c>
      <c r="L41" s="30" t="n">
        <f aca="false">D41-I41</f>
        <v>0</v>
      </c>
      <c r="M41" s="16" t="n">
        <f aca="false">IF(D41=0,0,I41/D41)</f>
        <v>0</v>
      </c>
      <c r="N41" s="12" t="str">
        <f aca="false">IF(AND(D41&gt;0,I41&gt;D41+0.0001),"EXCEDE","")</f>
        <v/>
      </c>
    </row>
    <row r="42" customFormat="false" ht="15" hidden="false" customHeight="false" outlineLevel="0" collapsed="false">
      <c r="A42" s="21"/>
      <c r="B42" s="28"/>
      <c r="C42" s="21"/>
      <c r="D42" s="29"/>
      <c r="E42" s="26"/>
      <c r="F42" s="13" t="n">
        <f aca="false">D42*E42</f>
        <v>0</v>
      </c>
      <c r="G42" s="29"/>
      <c r="H42" s="30" t="n">
        <f aca="false">IF(A42="",0,SUMIF(Generadores!$A$8:$A$307,A42,Generadores!$J$8:$J$307))</f>
        <v>0</v>
      </c>
      <c r="I42" s="30" t="n">
        <f aca="false">G42+H42</f>
        <v>0</v>
      </c>
      <c r="J42" s="13" t="n">
        <f aca="false">H42*E42</f>
        <v>0</v>
      </c>
      <c r="K42" s="13" t="n">
        <f aca="false">I42*E42</f>
        <v>0</v>
      </c>
      <c r="L42" s="30" t="n">
        <f aca="false">D42-I42</f>
        <v>0</v>
      </c>
      <c r="M42" s="16" t="n">
        <f aca="false">IF(D42=0,0,I42/D42)</f>
        <v>0</v>
      </c>
      <c r="N42" s="12" t="str">
        <f aca="false">IF(AND(D42&gt;0,I42&gt;D42+0.0001),"EXCEDE","")</f>
        <v/>
      </c>
    </row>
    <row r="43" customFormat="false" ht="15" hidden="false" customHeight="false" outlineLevel="0" collapsed="false">
      <c r="A43" s="21"/>
      <c r="B43" s="28"/>
      <c r="C43" s="21"/>
      <c r="D43" s="29"/>
      <c r="E43" s="26"/>
      <c r="F43" s="13" t="n">
        <f aca="false">D43*E43</f>
        <v>0</v>
      </c>
      <c r="G43" s="29"/>
      <c r="H43" s="30" t="n">
        <f aca="false">IF(A43="",0,SUMIF(Generadores!$A$8:$A$307,A43,Generadores!$J$8:$J$307))</f>
        <v>0</v>
      </c>
      <c r="I43" s="30" t="n">
        <f aca="false">G43+H43</f>
        <v>0</v>
      </c>
      <c r="J43" s="13" t="n">
        <f aca="false">H43*E43</f>
        <v>0</v>
      </c>
      <c r="K43" s="13" t="n">
        <f aca="false">I43*E43</f>
        <v>0</v>
      </c>
      <c r="L43" s="30" t="n">
        <f aca="false">D43-I43</f>
        <v>0</v>
      </c>
      <c r="M43" s="16" t="n">
        <f aca="false">IF(D43=0,0,I43/D43)</f>
        <v>0</v>
      </c>
      <c r="N43" s="12" t="str">
        <f aca="false">IF(AND(D43&gt;0,I43&gt;D43+0.0001),"EXCEDE","")</f>
        <v/>
      </c>
    </row>
    <row r="44" customFormat="false" ht="15" hidden="false" customHeight="false" outlineLevel="0" collapsed="false">
      <c r="A44" s="21"/>
      <c r="B44" s="28"/>
      <c r="C44" s="21"/>
      <c r="D44" s="29"/>
      <c r="E44" s="26"/>
      <c r="F44" s="13" t="n">
        <f aca="false">D44*E44</f>
        <v>0</v>
      </c>
      <c r="G44" s="29"/>
      <c r="H44" s="30" t="n">
        <f aca="false">IF(A44="",0,SUMIF(Generadores!$A$8:$A$307,A44,Generadores!$J$8:$J$307))</f>
        <v>0</v>
      </c>
      <c r="I44" s="30" t="n">
        <f aca="false">G44+H44</f>
        <v>0</v>
      </c>
      <c r="J44" s="13" t="n">
        <f aca="false">H44*E44</f>
        <v>0</v>
      </c>
      <c r="K44" s="13" t="n">
        <f aca="false">I44*E44</f>
        <v>0</v>
      </c>
      <c r="L44" s="30" t="n">
        <f aca="false">D44-I44</f>
        <v>0</v>
      </c>
      <c r="M44" s="16" t="n">
        <f aca="false">IF(D44=0,0,I44/D44)</f>
        <v>0</v>
      </c>
      <c r="N44" s="12" t="str">
        <f aca="false">IF(AND(D44&gt;0,I44&gt;D44+0.0001),"EXCEDE","")</f>
        <v/>
      </c>
    </row>
    <row r="45" customFormat="false" ht="15" hidden="false" customHeight="false" outlineLevel="0" collapsed="false">
      <c r="A45" s="21"/>
      <c r="B45" s="28"/>
      <c r="C45" s="21"/>
      <c r="D45" s="29"/>
      <c r="E45" s="26"/>
      <c r="F45" s="13" t="n">
        <f aca="false">D45*E45</f>
        <v>0</v>
      </c>
      <c r="G45" s="29"/>
      <c r="H45" s="30" t="n">
        <f aca="false">IF(A45="",0,SUMIF(Generadores!$A$8:$A$307,A45,Generadores!$J$8:$J$307))</f>
        <v>0</v>
      </c>
      <c r="I45" s="30" t="n">
        <f aca="false">G45+H45</f>
        <v>0</v>
      </c>
      <c r="J45" s="13" t="n">
        <f aca="false">H45*E45</f>
        <v>0</v>
      </c>
      <c r="K45" s="13" t="n">
        <f aca="false">I45*E45</f>
        <v>0</v>
      </c>
      <c r="L45" s="30" t="n">
        <f aca="false">D45-I45</f>
        <v>0</v>
      </c>
      <c r="M45" s="16" t="n">
        <f aca="false">IF(D45=0,0,I45/D45)</f>
        <v>0</v>
      </c>
      <c r="N45" s="12" t="str">
        <f aca="false">IF(AND(D45&gt;0,I45&gt;D45+0.0001),"EXCEDE","")</f>
        <v/>
      </c>
    </row>
    <row r="46" customFormat="false" ht="15" hidden="false" customHeight="false" outlineLevel="0" collapsed="false">
      <c r="A46" s="21"/>
      <c r="B46" s="28"/>
      <c r="C46" s="21"/>
      <c r="D46" s="29"/>
      <c r="E46" s="26"/>
      <c r="F46" s="13" t="n">
        <f aca="false">D46*E46</f>
        <v>0</v>
      </c>
      <c r="G46" s="29"/>
      <c r="H46" s="30" t="n">
        <f aca="false">IF(A46="",0,SUMIF(Generadores!$A$8:$A$307,A46,Generadores!$J$8:$J$307))</f>
        <v>0</v>
      </c>
      <c r="I46" s="30" t="n">
        <f aca="false">G46+H46</f>
        <v>0</v>
      </c>
      <c r="J46" s="13" t="n">
        <f aca="false">H46*E46</f>
        <v>0</v>
      </c>
      <c r="K46" s="13" t="n">
        <f aca="false">I46*E46</f>
        <v>0</v>
      </c>
      <c r="L46" s="30" t="n">
        <f aca="false">D46-I46</f>
        <v>0</v>
      </c>
      <c r="M46" s="16" t="n">
        <f aca="false">IF(D46=0,0,I46/D46)</f>
        <v>0</v>
      </c>
      <c r="N46" s="12" t="str">
        <f aca="false">IF(AND(D46&gt;0,I46&gt;D46+0.0001),"EXCEDE","")</f>
        <v/>
      </c>
    </row>
    <row r="47" customFormat="false" ht="15" hidden="false" customHeight="false" outlineLevel="0" collapsed="false">
      <c r="A47" s="21"/>
      <c r="B47" s="28"/>
      <c r="C47" s="21"/>
      <c r="D47" s="29"/>
      <c r="E47" s="26"/>
      <c r="F47" s="13" t="n">
        <f aca="false">D47*E47</f>
        <v>0</v>
      </c>
      <c r="G47" s="29"/>
      <c r="H47" s="30" t="n">
        <f aca="false">IF(A47="",0,SUMIF(Generadores!$A$8:$A$307,A47,Generadores!$J$8:$J$307))</f>
        <v>0</v>
      </c>
      <c r="I47" s="30" t="n">
        <f aca="false">G47+H47</f>
        <v>0</v>
      </c>
      <c r="J47" s="13" t="n">
        <f aca="false">H47*E47</f>
        <v>0</v>
      </c>
      <c r="K47" s="13" t="n">
        <f aca="false">I47*E47</f>
        <v>0</v>
      </c>
      <c r="L47" s="30" t="n">
        <f aca="false">D47-I47</f>
        <v>0</v>
      </c>
      <c r="M47" s="16" t="n">
        <f aca="false">IF(D47=0,0,I47/D47)</f>
        <v>0</v>
      </c>
      <c r="N47" s="12" t="str">
        <f aca="false">IF(AND(D47&gt;0,I47&gt;D47+0.0001),"EXCEDE","")</f>
        <v/>
      </c>
    </row>
    <row r="48" customFormat="false" ht="15" hidden="false" customHeight="false" outlineLevel="0" collapsed="false">
      <c r="A48" s="21"/>
      <c r="B48" s="28"/>
      <c r="C48" s="21"/>
      <c r="D48" s="29"/>
      <c r="E48" s="26"/>
      <c r="F48" s="13" t="n">
        <f aca="false">D48*E48</f>
        <v>0</v>
      </c>
      <c r="G48" s="29"/>
      <c r="H48" s="30" t="n">
        <f aca="false">IF(A48="",0,SUMIF(Generadores!$A$8:$A$307,A48,Generadores!$J$8:$J$307))</f>
        <v>0</v>
      </c>
      <c r="I48" s="30" t="n">
        <f aca="false">G48+H48</f>
        <v>0</v>
      </c>
      <c r="J48" s="13" t="n">
        <f aca="false">H48*E48</f>
        <v>0</v>
      </c>
      <c r="K48" s="13" t="n">
        <f aca="false">I48*E48</f>
        <v>0</v>
      </c>
      <c r="L48" s="30" t="n">
        <f aca="false">D48-I48</f>
        <v>0</v>
      </c>
      <c r="M48" s="16" t="n">
        <f aca="false">IF(D48=0,0,I48/D48)</f>
        <v>0</v>
      </c>
      <c r="N48" s="12" t="str">
        <f aca="false">IF(AND(D48&gt;0,I48&gt;D48+0.0001),"EXCEDE","")</f>
        <v/>
      </c>
    </row>
    <row r="49" customFormat="false" ht="15" hidden="false" customHeight="false" outlineLevel="0" collapsed="false">
      <c r="A49" s="17"/>
      <c r="B49" s="17" t="s">
        <v>94</v>
      </c>
      <c r="C49" s="17"/>
      <c r="D49" s="17"/>
      <c r="E49" s="17"/>
      <c r="F49" s="18" t="n">
        <f aca="false">SUM(F8:F48)</f>
        <v>527050</v>
      </c>
      <c r="G49" s="17"/>
      <c r="H49" s="17"/>
      <c r="I49" s="17"/>
      <c r="J49" s="18" t="n">
        <f aca="false">SUM(J8:J48)</f>
        <v>115192.35</v>
      </c>
      <c r="K49" s="18" t="n">
        <f aca="false">SUM(K8:K48)</f>
        <v>196205.85</v>
      </c>
      <c r="L49" s="17"/>
      <c r="M49" s="31" t="n">
        <f aca="false">IF(F49=0,0,K49/F49)</f>
        <v>0.372271795844797</v>
      </c>
      <c r="N49" s="17"/>
    </row>
  </sheetData>
  <mergeCells count="2">
    <mergeCell ref="A1:N1"/>
    <mergeCell ref="A2:N2"/>
  </mergeCells>
  <conditionalFormatting sqref="N8:N48">
    <cfRule type="expression" priority="2" aboveAverage="0" equalAverage="0" bottom="0" percent="0" rank="0" text="" dxfId="0">
      <formula>N8="EXCEDE"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6" min="4" style="0" width="9"/>
    <col collapsed="false" customWidth="true" hidden="false" outlineLevel="0" max="8" min="7" style="0" width="8"/>
    <col collapsed="false" customWidth="true" hidden="false" outlineLevel="0" max="10" min="9" style="0" width="1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95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customFormat="false" ht="15" hidden="false" customHeight="false" outlineLevel="0" collapsed="false">
      <c r="A3" s="9" t="s">
        <v>16</v>
      </c>
      <c r="B3" s="10"/>
    </row>
    <row r="4" customFormat="false" ht="15" hidden="false" customHeight="false" outlineLevel="0" collapsed="false">
      <c r="A4" s="9" t="s">
        <v>17</v>
      </c>
      <c r="B4" s="10"/>
    </row>
    <row r="7" customFormat="false" ht="30" hidden="false" customHeight="true" outlineLevel="0" collapsed="false">
      <c r="A7" s="27" t="s">
        <v>62</v>
      </c>
      <c r="B7" s="27" t="s">
        <v>96</v>
      </c>
      <c r="C7" s="27" t="s">
        <v>97</v>
      </c>
      <c r="D7" s="27" t="s">
        <v>98</v>
      </c>
      <c r="E7" s="27" t="s">
        <v>99</v>
      </c>
      <c r="F7" s="27" t="s">
        <v>100</v>
      </c>
      <c r="G7" s="27" t="s">
        <v>101</v>
      </c>
      <c r="H7" s="27" t="s">
        <v>102</v>
      </c>
      <c r="I7" s="27" t="s">
        <v>103</v>
      </c>
      <c r="J7" s="27" t="s">
        <v>104</v>
      </c>
      <c r="K7" s="27" t="s">
        <v>105</v>
      </c>
    </row>
    <row r="8" customFormat="false" ht="15" hidden="false" customHeight="false" outlineLevel="0" collapsed="false">
      <c r="A8" s="21" t="s">
        <v>76</v>
      </c>
      <c r="B8" s="21" t="s">
        <v>106</v>
      </c>
      <c r="C8" s="21" t="s">
        <v>107</v>
      </c>
      <c r="D8" s="29" t="n">
        <v>9</v>
      </c>
      <c r="E8" s="29"/>
      <c r="F8" s="29" t="n">
        <v>2.8</v>
      </c>
      <c r="G8" s="29" t="n">
        <v>1</v>
      </c>
      <c r="H8" s="22" t="n">
        <v>1</v>
      </c>
      <c r="I8" s="30" t="n">
        <f aca="false">IF(COUNT(D8:G8)=0,0,PRODUCT(D8:G8))</f>
        <v>25.2</v>
      </c>
      <c r="J8" s="30" t="n">
        <f aca="false">I8*IF(H8="",1,H8)</f>
        <v>25.2</v>
      </c>
      <c r="K8" s="21"/>
    </row>
    <row r="9" customFormat="false" ht="15" hidden="false" customHeight="false" outlineLevel="0" collapsed="false">
      <c r="A9" s="21" t="s">
        <v>76</v>
      </c>
      <c r="B9" s="21" t="s">
        <v>106</v>
      </c>
      <c r="C9" s="21" t="s">
        <v>108</v>
      </c>
      <c r="D9" s="29" t="n">
        <v>0.9</v>
      </c>
      <c r="E9" s="29"/>
      <c r="F9" s="29" t="n">
        <v>2.1</v>
      </c>
      <c r="G9" s="29" t="n">
        <v>1</v>
      </c>
      <c r="H9" s="22" t="n">
        <v>-1</v>
      </c>
      <c r="I9" s="30" t="n">
        <f aca="false">IF(COUNT(D9:G9)=0,0,PRODUCT(D9:G9))</f>
        <v>1.89</v>
      </c>
      <c r="J9" s="30" t="n">
        <f aca="false">I9*IF(H9="",1,H9)</f>
        <v>-1.89</v>
      </c>
      <c r="K9" s="21"/>
    </row>
    <row r="10" customFormat="false" ht="15" hidden="false" customHeight="false" outlineLevel="0" collapsed="false">
      <c r="A10" s="21" t="s">
        <v>79</v>
      </c>
      <c r="B10" s="21" t="s">
        <v>109</v>
      </c>
      <c r="C10" s="21" t="s">
        <v>110</v>
      </c>
      <c r="D10" s="29" t="n">
        <v>12.5</v>
      </c>
      <c r="E10" s="29"/>
      <c r="F10" s="29" t="n">
        <v>3</v>
      </c>
      <c r="G10" s="29" t="n">
        <v>1</v>
      </c>
      <c r="H10" s="22" t="n">
        <v>1</v>
      </c>
      <c r="I10" s="30" t="n">
        <f aca="false">IF(COUNT(D10:G10)=0,0,PRODUCT(D10:G10))</f>
        <v>37.5</v>
      </c>
      <c r="J10" s="30" t="n">
        <f aca="false">I10*IF(H10="",1,H10)</f>
        <v>37.5</v>
      </c>
      <c r="K10" s="21"/>
    </row>
    <row r="11" customFormat="false" ht="15" hidden="false" customHeight="false" outlineLevel="0" collapsed="false">
      <c r="A11" s="21" t="s">
        <v>81</v>
      </c>
      <c r="B11" s="21" t="s">
        <v>111</v>
      </c>
      <c r="C11" s="21" t="s">
        <v>112</v>
      </c>
      <c r="D11" s="29" t="n">
        <v>8</v>
      </c>
      <c r="E11" s="29" t="n">
        <v>7.5</v>
      </c>
      <c r="F11" s="29"/>
      <c r="G11" s="29" t="n">
        <v>1</v>
      </c>
      <c r="H11" s="22" t="n">
        <v>1</v>
      </c>
      <c r="I11" s="30" t="n">
        <f aca="false">IF(COUNT(D11:G11)=0,0,PRODUCT(D11:G11))</f>
        <v>60</v>
      </c>
      <c r="J11" s="30" t="n">
        <f aca="false">I11*IF(H11="",1,H11)</f>
        <v>60</v>
      </c>
      <c r="K11" s="21"/>
    </row>
    <row r="12" customFormat="false" ht="15" hidden="false" customHeight="false" outlineLevel="0" collapsed="false">
      <c r="A12" s="21" t="s">
        <v>83</v>
      </c>
      <c r="B12" s="21" t="s">
        <v>113</v>
      </c>
      <c r="C12" s="21" t="s">
        <v>114</v>
      </c>
      <c r="D12" s="29"/>
      <c r="E12" s="29"/>
      <c r="F12" s="29"/>
      <c r="G12" s="29" t="n">
        <v>12</v>
      </c>
      <c r="H12" s="22" t="n">
        <v>1</v>
      </c>
      <c r="I12" s="30" t="n">
        <f aca="false">IF(COUNT(D12:G12)=0,0,PRODUCT(D12:G12))</f>
        <v>12</v>
      </c>
      <c r="J12" s="30" t="n">
        <f aca="false">I12*IF(H12="",1,H12)</f>
        <v>12</v>
      </c>
      <c r="K12" s="21"/>
    </row>
    <row r="13" customFormat="false" ht="15" hidden="false" customHeight="false" outlineLevel="0" collapsed="false">
      <c r="A13" s="21" t="s">
        <v>90</v>
      </c>
      <c r="B13" s="21" t="s">
        <v>111</v>
      </c>
      <c r="C13" s="21" t="s">
        <v>115</v>
      </c>
      <c r="D13" s="29" t="n">
        <v>8</v>
      </c>
      <c r="E13" s="29" t="n">
        <v>7.5</v>
      </c>
      <c r="F13" s="29"/>
      <c r="G13" s="29" t="n">
        <v>1</v>
      </c>
      <c r="H13" s="22" t="n">
        <v>1</v>
      </c>
      <c r="I13" s="30" t="n">
        <f aca="false">IF(COUNT(D13:G13)=0,0,PRODUCT(D13:G13))</f>
        <v>60</v>
      </c>
      <c r="J13" s="30" t="n">
        <f aca="false">I13*IF(H13="",1,H13)</f>
        <v>60</v>
      </c>
      <c r="K13" s="21"/>
    </row>
    <row r="14" customFormat="false" ht="15" hidden="false" customHeight="false" outlineLevel="0" collapsed="false">
      <c r="A14" s="21"/>
      <c r="B14" s="21"/>
      <c r="C14" s="21"/>
      <c r="D14" s="29"/>
      <c r="E14" s="29"/>
      <c r="F14" s="29"/>
      <c r="G14" s="29"/>
      <c r="H14" s="22"/>
      <c r="I14" s="30" t="n">
        <f aca="false">IF(COUNT(D14:G14)=0,0,PRODUCT(D14:G14))</f>
        <v>0</v>
      </c>
      <c r="J14" s="30" t="n">
        <f aca="false">I14*IF(H14="",1,H14)</f>
        <v>0</v>
      </c>
      <c r="K14" s="21"/>
    </row>
    <row r="15" customFormat="false" ht="15" hidden="false" customHeight="false" outlineLevel="0" collapsed="false">
      <c r="A15" s="21"/>
      <c r="B15" s="21"/>
      <c r="C15" s="21"/>
      <c r="D15" s="29"/>
      <c r="E15" s="29"/>
      <c r="F15" s="29"/>
      <c r="G15" s="29"/>
      <c r="H15" s="22"/>
      <c r="I15" s="30" t="n">
        <f aca="false">IF(COUNT(D15:G15)=0,0,PRODUCT(D15:G15))</f>
        <v>0</v>
      </c>
      <c r="J15" s="30" t="n">
        <f aca="false">I15*IF(H15="",1,H15)</f>
        <v>0</v>
      </c>
      <c r="K15" s="21"/>
    </row>
    <row r="16" customFormat="false" ht="15" hidden="false" customHeight="false" outlineLevel="0" collapsed="false">
      <c r="A16" s="21"/>
      <c r="B16" s="21"/>
      <c r="C16" s="21"/>
      <c r="D16" s="29"/>
      <c r="E16" s="29"/>
      <c r="F16" s="29"/>
      <c r="G16" s="29"/>
      <c r="H16" s="22"/>
      <c r="I16" s="30" t="n">
        <f aca="false">IF(COUNT(D16:G16)=0,0,PRODUCT(D16:G16))</f>
        <v>0</v>
      </c>
      <c r="J16" s="30" t="n">
        <f aca="false">I16*IF(H16="",1,H16)</f>
        <v>0</v>
      </c>
      <c r="K16" s="21"/>
    </row>
    <row r="17" customFormat="false" ht="15" hidden="false" customHeight="false" outlineLevel="0" collapsed="false">
      <c r="A17" s="21"/>
      <c r="B17" s="21"/>
      <c r="C17" s="21"/>
      <c r="D17" s="29"/>
      <c r="E17" s="29"/>
      <c r="F17" s="29"/>
      <c r="G17" s="29"/>
      <c r="H17" s="22"/>
      <c r="I17" s="30" t="n">
        <f aca="false">IF(COUNT(D17:G17)=0,0,PRODUCT(D17:G17))</f>
        <v>0</v>
      </c>
      <c r="J17" s="30" t="n">
        <f aca="false">I17*IF(H17="",1,H17)</f>
        <v>0</v>
      </c>
      <c r="K17" s="21"/>
    </row>
    <row r="18" customFormat="false" ht="15" hidden="false" customHeight="false" outlineLevel="0" collapsed="false">
      <c r="A18" s="21"/>
      <c r="B18" s="21"/>
      <c r="C18" s="21"/>
      <c r="D18" s="29"/>
      <c r="E18" s="29"/>
      <c r="F18" s="29"/>
      <c r="G18" s="29"/>
      <c r="H18" s="22"/>
      <c r="I18" s="30" t="n">
        <f aca="false">IF(COUNT(D18:G18)=0,0,PRODUCT(D18:G18))</f>
        <v>0</v>
      </c>
      <c r="J18" s="30" t="n">
        <f aca="false">I18*IF(H18="",1,H18)</f>
        <v>0</v>
      </c>
      <c r="K18" s="21"/>
    </row>
    <row r="19" customFormat="false" ht="15" hidden="false" customHeight="false" outlineLevel="0" collapsed="false">
      <c r="A19" s="21"/>
      <c r="B19" s="21"/>
      <c r="C19" s="21"/>
      <c r="D19" s="29"/>
      <c r="E19" s="29"/>
      <c r="F19" s="29"/>
      <c r="G19" s="29"/>
      <c r="H19" s="22"/>
      <c r="I19" s="30" t="n">
        <f aca="false">IF(COUNT(D19:G19)=0,0,PRODUCT(D19:G19))</f>
        <v>0</v>
      </c>
      <c r="J19" s="30" t="n">
        <f aca="false">I19*IF(H19="",1,H19)</f>
        <v>0</v>
      </c>
      <c r="K19" s="21"/>
    </row>
    <row r="20" customFormat="false" ht="15" hidden="false" customHeight="false" outlineLevel="0" collapsed="false">
      <c r="A20" s="21"/>
      <c r="B20" s="21"/>
      <c r="C20" s="21"/>
      <c r="D20" s="29"/>
      <c r="E20" s="29"/>
      <c r="F20" s="29"/>
      <c r="G20" s="29"/>
      <c r="H20" s="22"/>
      <c r="I20" s="30" t="n">
        <f aca="false">IF(COUNT(D20:G20)=0,0,PRODUCT(D20:G20))</f>
        <v>0</v>
      </c>
      <c r="J20" s="30" t="n">
        <f aca="false">I20*IF(H20="",1,H20)</f>
        <v>0</v>
      </c>
      <c r="K20" s="21"/>
    </row>
    <row r="21" customFormat="false" ht="15" hidden="false" customHeight="false" outlineLevel="0" collapsed="false">
      <c r="A21" s="21"/>
      <c r="B21" s="21"/>
      <c r="C21" s="21"/>
      <c r="D21" s="29"/>
      <c r="E21" s="29"/>
      <c r="F21" s="29"/>
      <c r="G21" s="29"/>
      <c r="H21" s="22"/>
      <c r="I21" s="30" t="n">
        <f aca="false">IF(COUNT(D21:G21)=0,0,PRODUCT(D21:G21))</f>
        <v>0</v>
      </c>
      <c r="J21" s="30" t="n">
        <f aca="false">I21*IF(H21="",1,H21)</f>
        <v>0</v>
      </c>
      <c r="K21" s="21"/>
    </row>
    <row r="22" customFormat="false" ht="15" hidden="false" customHeight="false" outlineLevel="0" collapsed="false">
      <c r="A22" s="21"/>
      <c r="B22" s="21"/>
      <c r="C22" s="21"/>
      <c r="D22" s="29"/>
      <c r="E22" s="29"/>
      <c r="F22" s="29"/>
      <c r="G22" s="29"/>
      <c r="H22" s="22"/>
      <c r="I22" s="30" t="n">
        <f aca="false">IF(COUNT(D22:G22)=0,0,PRODUCT(D22:G22))</f>
        <v>0</v>
      </c>
      <c r="J22" s="30" t="n">
        <f aca="false">I22*IF(H22="",1,H22)</f>
        <v>0</v>
      </c>
      <c r="K22" s="21"/>
    </row>
    <row r="23" customFormat="false" ht="15" hidden="false" customHeight="false" outlineLevel="0" collapsed="false">
      <c r="A23" s="21"/>
      <c r="B23" s="21"/>
      <c r="C23" s="21"/>
      <c r="D23" s="29"/>
      <c r="E23" s="29"/>
      <c r="F23" s="29"/>
      <c r="G23" s="29"/>
      <c r="H23" s="22"/>
      <c r="I23" s="30" t="n">
        <f aca="false">IF(COUNT(D23:G23)=0,0,PRODUCT(D23:G23))</f>
        <v>0</v>
      </c>
      <c r="J23" s="30" t="n">
        <f aca="false">I23*IF(H23="",1,H23)</f>
        <v>0</v>
      </c>
      <c r="K23" s="21"/>
    </row>
    <row r="24" customFormat="false" ht="15" hidden="false" customHeight="false" outlineLevel="0" collapsed="false">
      <c r="A24" s="21"/>
      <c r="B24" s="21"/>
      <c r="C24" s="21"/>
      <c r="D24" s="29"/>
      <c r="E24" s="29"/>
      <c r="F24" s="29"/>
      <c r="G24" s="29"/>
      <c r="H24" s="22"/>
      <c r="I24" s="30" t="n">
        <f aca="false">IF(COUNT(D24:G24)=0,0,PRODUCT(D24:G24))</f>
        <v>0</v>
      </c>
      <c r="J24" s="30" t="n">
        <f aca="false">I24*IF(H24="",1,H24)</f>
        <v>0</v>
      </c>
      <c r="K24" s="21"/>
    </row>
    <row r="25" customFormat="false" ht="15" hidden="false" customHeight="false" outlineLevel="0" collapsed="false">
      <c r="A25" s="21"/>
      <c r="B25" s="21"/>
      <c r="C25" s="21"/>
      <c r="D25" s="29"/>
      <c r="E25" s="29"/>
      <c r="F25" s="29"/>
      <c r="G25" s="29"/>
      <c r="H25" s="22"/>
      <c r="I25" s="30" t="n">
        <f aca="false">IF(COUNT(D25:G25)=0,0,PRODUCT(D25:G25))</f>
        <v>0</v>
      </c>
      <c r="J25" s="30" t="n">
        <f aca="false">I25*IF(H25="",1,H25)</f>
        <v>0</v>
      </c>
      <c r="K25" s="21"/>
    </row>
    <row r="26" customFormat="false" ht="15" hidden="false" customHeight="false" outlineLevel="0" collapsed="false">
      <c r="A26" s="21"/>
      <c r="B26" s="21"/>
      <c r="C26" s="21"/>
      <c r="D26" s="29"/>
      <c r="E26" s="29"/>
      <c r="F26" s="29"/>
      <c r="G26" s="29"/>
      <c r="H26" s="22"/>
      <c r="I26" s="30" t="n">
        <f aca="false">IF(COUNT(D26:G26)=0,0,PRODUCT(D26:G26))</f>
        <v>0</v>
      </c>
      <c r="J26" s="30" t="n">
        <f aca="false">I26*IF(H26="",1,H26)</f>
        <v>0</v>
      </c>
      <c r="K26" s="21"/>
    </row>
    <row r="27" customFormat="false" ht="15" hidden="false" customHeight="false" outlineLevel="0" collapsed="false">
      <c r="A27" s="21"/>
      <c r="B27" s="21"/>
      <c r="C27" s="21"/>
      <c r="D27" s="29"/>
      <c r="E27" s="29"/>
      <c r="F27" s="29"/>
      <c r="G27" s="29"/>
      <c r="H27" s="22"/>
      <c r="I27" s="30" t="n">
        <f aca="false">IF(COUNT(D27:G27)=0,0,PRODUCT(D27:G27))</f>
        <v>0</v>
      </c>
      <c r="J27" s="30" t="n">
        <f aca="false">I27*IF(H27="",1,H27)</f>
        <v>0</v>
      </c>
      <c r="K27" s="21"/>
    </row>
    <row r="28" customFormat="false" ht="15" hidden="false" customHeight="false" outlineLevel="0" collapsed="false">
      <c r="A28" s="21"/>
      <c r="B28" s="21"/>
      <c r="C28" s="21"/>
      <c r="D28" s="29"/>
      <c r="E28" s="29"/>
      <c r="F28" s="29"/>
      <c r="G28" s="29"/>
      <c r="H28" s="22"/>
      <c r="I28" s="30" t="n">
        <f aca="false">IF(COUNT(D28:G28)=0,0,PRODUCT(D28:G28))</f>
        <v>0</v>
      </c>
      <c r="J28" s="30" t="n">
        <f aca="false">I28*IF(H28="",1,H28)</f>
        <v>0</v>
      </c>
      <c r="K28" s="21"/>
    </row>
    <row r="29" customFormat="false" ht="15" hidden="false" customHeight="false" outlineLevel="0" collapsed="false">
      <c r="A29" s="21"/>
      <c r="B29" s="21"/>
      <c r="C29" s="21"/>
      <c r="D29" s="29"/>
      <c r="E29" s="29"/>
      <c r="F29" s="29"/>
      <c r="G29" s="29"/>
      <c r="H29" s="22"/>
      <c r="I29" s="30" t="n">
        <f aca="false">IF(COUNT(D29:G29)=0,0,PRODUCT(D29:G29))</f>
        <v>0</v>
      </c>
      <c r="J29" s="30" t="n">
        <f aca="false">I29*IF(H29="",1,H29)</f>
        <v>0</v>
      </c>
      <c r="K29" s="21"/>
    </row>
    <row r="30" customFormat="false" ht="15" hidden="false" customHeight="false" outlineLevel="0" collapsed="false">
      <c r="A30" s="21"/>
      <c r="B30" s="21"/>
      <c r="C30" s="21"/>
      <c r="D30" s="29"/>
      <c r="E30" s="29"/>
      <c r="F30" s="29"/>
      <c r="G30" s="29"/>
      <c r="H30" s="22"/>
      <c r="I30" s="30" t="n">
        <f aca="false">IF(COUNT(D30:G30)=0,0,PRODUCT(D30:G30))</f>
        <v>0</v>
      </c>
      <c r="J30" s="30" t="n">
        <f aca="false">I30*IF(H30="",1,H30)</f>
        <v>0</v>
      </c>
      <c r="K30" s="21"/>
    </row>
    <row r="31" customFormat="false" ht="15" hidden="false" customHeight="false" outlineLevel="0" collapsed="false">
      <c r="A31" s="21"/>
      <c r="B31" s="21"/>
      <c r="C31" s="21"/>
      <c r="D31" s="29"/>
      <c r="E31" s="29"/>
      <c r="F31" s="29"/>
      <c r="G31" s="29"/>
      <c r="H31" s="22"/>
      <c r="I31" s="30" t="n">
        <f aca="false">IF(COUNT(D31:G31)=0,0,PRODUCT(D31:G31))</f>
        <v>0</v>
      </c>
      <c r="J31" s="30" t="n">
        <f aca="false">I31*IF(H31="",1,H31)</f>
        <v>0</v>
      </c>
      <c r="K31" s="21"/>
    </row>
    <row r="32" customFormat="false" ht="15" hidden="false" customHeight="false" outlineLevel="0" collapsed="false">
      <c r="A32" s="21"/>
      <c r="B32" s="21"/>
      <c r="C32" s="21"/>
      <c r="D32" s="29"/>
      <c r="E32" s="29"/>
      <c r="F32" s="29"/>
      <c r="G32" s="29"/>
      <c r="H32" s="22"/>
      <c r="I32" s="30" t="n">
        <f aca="false">IF(COUNT(D32:G32)=0,0,PRODUCT(D32:G32))</f>
        <v>0</v>
      </c>
      <c r="J32" s="30" t="n">
        <f aca="false">I32*IF(H32="",1,H32)</f>
        <v>0</v>
      </c>
      <c r="K32" s="21"/>
    </row>
    <row r="33" customFormat="false" ht="15" hidden="false" customHeight="false" outlineLevel="0" collapsed="false">
      <c r="A33" s="21"/>
      <c r="B33" s="21"/>
      <c r="C33" s="21"/>
      <c r="D33" s="29"/>
      <c r="E33" s="29"/>
      <c r="F33" s="29"/>
      <c r="G33" s="29"/>
      <c r="H33" s="22"/>
      <c r="I33" s="30" t="n">
        <f aca="false">IF(COUNT(D33:G33)=0,0,PRODUCT(D33:G33))</f>
        <v>0</v>
      </c>
      <c r="J33" s="30" t="n">
        <f aca="false">I33*IF(H33="",1,H33)</f>
        <v>0</v>
      </c>
      <c r="K33" s="21"/>
    </row>
    <row r="34" customFormat="false" ht="15" hidden="false" customHeight="false" outlineLevel="0" collapsed="false">
      <c r="A34" s="21"/>
      <c r="B34" s="21"/>
      <c r="C34" s="21"/>
      <c r="D34" s="29"/>
      <c r="E34" s="29"/>
      <c r="F34" s="29"/>
      <c r="G34" s="29"/>
      <c r="H34" s="22"/>
      <c r="I34" s="30" t="n">
        <f aca="false">IF(COUNT(D34:G34)=0,0,PRODUCT(D34:G34))</f>
        <v>0</v>
      </c>
      <c r="J34" s="30" t="n">
        <f aca="false">I34*IF(H34="",1,H34)</f>
        <v>0</v>
      </c>
      <c r="K34" s="21"/>
    </row>
    <row r="35" customFormat="false" ht="15" hidden="false" customHeight="false" outlineLevel="0" collapsed="false">
      <c r="A35" s="21"/>
      <c r="B35" s="21"/>
      <c r="C35" s="21"/>
      <c r="D35" s="29"/>
      <c r="E35" s="29"/>
      <c r="F35" s="29"/>
      <c r="G35" s="29"/>
      <c r="H35" s="22"/>
      <c r="I35" s="30" t="n">
        <f aca="false">IF(COUNT(D35:G35)=0,0,PRODUCT(D35:G35))</f>
        <v>0</v>
      </c>
      <c r="J35" s="30" t="n">
        <f aca="false">I35*IF(H35="",1,H35)</f>
        <v>0</v>
      </c>
      <c r="K35" s="21"/>
    </row>
    <row r="36" customFormat="false" ht="15" hidden="false" customHeight="false" outlineLevel="0" collapsed="false">
      <c r="A36" s="21"/>
      <c r="B36" s="21"/>
      <c r="C36" s="21"/>
      <c r="D36" s="29"/>
      <c r="E36" s="29"/>
      <c r="F36" s="29"/>
      <c r="G36" s="29"/>
      <c r="H36" s="22"/>
      <c r="I36" s="30" t="n">
        <f aca="false">IF(COUNT(D36:G36)=0,0,PRODUCT(D36:G36))</f>
        <v>0</v>
      </c>
      <c r="J36" s="30" t="n">
        <f aca="false">I36*IF(H36="",1,H36)</f>
        <v>0</v>
      </c>
      <c r="K36" s="21"/>
    </row>
    <row r="37" customFormat="false" ht="15" hidden="false" customHeight="false" outlineLevel="0" collapsed="false">
      <c r="A37" s="21"/>
      <c r="B37" s="21"/>
      <c r="C37" s="21"/>
      <c r="D37" s="29"/>
      <c r="E37" s="29"/>
      <c r="F37" s="29"/>
      <c r="G37" s="29"/>
      <c r="H37" s="22"/>
      <c r="I37" s="30" t="n">
        <f aca="false">IF(COUNT(D37:G37)=0,0,PRODUCT(D37:G37))</f>
        <v>0</v>
      </c>
      <c r="J37" s="30" t="n">
        <f aca="false">I37*IF(H37="",1,H37)</f>
        <v>0</v>
      </c>
      <c r="K37" s="21"/>
    </row>
    <row r="38" customFormat="false" ht="15" hidden="false" customHeight="false" outlineLevel="0" collapsed="false">
      <c r="A38" s="21"/>
      <c r="B38" s="21"/>
      <c r="C38" s="21"/>
      <c r="D38" s="29"/>
      <c r="E38" s="29"/>
      <c r="F38" s="29"/>
      <c r="G38" s="29"/>
      <c r="H38" s="22"/>
      <c r="I38" s="30" t="n">
        <f aca="false">IF(COUNT(D38:G38)=0,0,PRODUCT(D38:G38))</f>
        <v>0</v>
      </c>
      <c r="J38" s="30" t="n">
        <f aca="false">I38*IF(H38="",1,H38)</f>
        <v>0</v>
      </c>
      <c r="K38" s="21"/>
    </row>
    <row r="39" customFormat="false" ht="15" hidden="false" customHeight="false" outlineLevel="0" collapsed="false">
      <c r="A39" s="21"/>
      <c r="B39" s="21"/>
      <c r="C39" s="21"/>
      <c r="D39" s="29"/>
      <c r="E39" s="29"/>
      <c r="F39" s="29"/>
      <c r="G39" s="29"/>
      <c r="H39" s="22"/>
      <c r="I39" s="30" t="n">
        <f aca="false">IF(COUNT(D39:G39)=0,0,PRODUCT(D39:G39))</f>
        <v>0</v>
      </c>
      <c r="J39" s="30" t="n">
        <f aca="false">I39*IF(H39="",1,H39)</f>
        <v>0</v>
      </c>
      <c r="K39" s="21"/>
    </row>
    <row r="40" customFormat="false" ht="15" hidden="false" customHeight="false" outlineLevel="0" collapsed="false">
      <c r="A40" s="21"/>
      <c r="B40" s="21"/>
      <c r="C40" s="21"/>
      <c r="D40" s="29"/>
      <c r="E40" s="29"/>
      <c r="F40" s="29"/>
      <c r="G40" s="29"/>
      <c r="H40" s="22"/>
      <c r="I40" s="30" t="n">
        <f aca="false">IF(COUNT(D40:G40)=0,0,PRODUCT(D40:G40))</f>
        <v>0</v>
      </c>
      <c r="J40" s="30" t="n">
        <f aca="false">I40*IF(H40="",1,H40)</f>
        <v>0</v>
      </c>
      <c r="K40" s="21"/>
    </row>
    <row r="41" customFormat="false" ht="15" hidden="false" customHeight="false" outlineLevel="0" collapsed="false">
      <c r="A41" s="21"/>
      <c r="B41" s="21"/>
      <c r="C41" s="21"/>
      <c r="D41" s="29"/>
      <c r="E41" s="29"/>
      <c r="F41" s="29"/>
      <c r="G41" s="29"/>
      <c r="H41" s="22"/>
      <c r="I41" s="30" t="n">
        <f aca="false">IF(COUNT(D41:G41)=0,0,PRODUCT(D41:G41))</f>
        <v>0</v>
      </c>
      <c r="J41" s="30" t="n">
        <f aca="false">I41*IF(H41="",1,H41)</f>
        <v>0</v>
      </c>
      <c r="K41" s="21"/>
    </row>
    <row r="42" customFormat="false" ht="15" hidden="false" customHeight="false" outlineLevel="0" collapsed="false">
      <c r="A42" s="21"/>
      <c r="B42" s="21"/>
      <c r="C42" s="21"/>
      <c r="D42" s="29"/>
      <c r="E42" s="29"/>
      <c r="F42" s="29"/>
      <c r="G42" s="29"/>
      <c r="H42" s="22"/>
      <c r="I42" s="30" t="n">
        <f aca="false">IF(COUNT(D42:G42)=0,0,PRODUCT(D42:G42))</f>
        <v>0</v>
      </c>
      <c r="J42" s="30" t="n">
        <f aca="false">I42*IF(H42="",1,H42)</f>
        <v>0</v>
      </c>
      <c r="K42" s="21"/>
    </row>
    <row r="43" customFormat="false" ht="15" hidden="false" customHeight="false" outlineLevel="0" collapsed="false">
      <c r="A43" s="21"/>
      <c r="B43" s="21"/>
      <c r="C43" s="21"/>
      <c r="D43" s="29"/>
      <c r="E43" s="29"/>
      <c r="F43" s="29"/>
      <c r="G43" s="29"/>
      <c r="H43" s="22"/>
      <c r="I43" s="30" t="n">
        <f aca="false">IF(COUNT(D43:G43)=0,0,PRODUCT(D43:G43))</f>
        <v>0</v>
      </c>
      <c r="J43" s="30" t="n">
        <f aca="false">I43*IF(H43="",1,H43)</f>
        <v>0</v>
      </c>
      <c r="K43" s="21"/>
    </row>
    <row r="44" customFormat="false" ht="15" hidden="false" customHeight="false" outlineLevel="0" collapsed="false">
      <c r="A44" s="21"/>
      <c r="B44" s="21"/>
      <c r="C44" s="21"/>
      <c r="D44" s="29"/>
      <c r="E44" s="29"/>
      <c r="F44" s="29"/>
      <c r="G44" s="29"/>
      <c r="H44" s="22"/>
      <c r="I44" s="30" t="n">
        <f aca="false">IF(COUNT(D44:G44)=0,0,PRODUCT(D44:G44))</f>
        <v>0</v>
      </c>
      <c r="J44" s="30" t="n">
        <f aca="false">I44*IF(H44="",1,H44)</f>
        <v>0</v>
      </c>
      <c r="K44" s="21"/>
    </row>
    <row r="45" customFormat="false" ht="15" hidden="false" customHeight="false" outlineLevel="0" collapsed="false">
      <c r="A45" s="21"/>
      <c r="B45" s="21"/>
      <c r="C45" s="21"/>
      <c r="D45" s="29"/>
      <c r="E45" s="29"/>
      <c r="F45" s="29"/>
      <c r="G45" s="29"/>
      <c r="H45" s="22"/>
      <c r="I45" s="30" t="n">
        <f aca="false">IF(COUNT(D45:G45)=0,0,PRODUCT(D45:G45))</f>
        <v>0</v>
      </c>
      <c r="J45" s="30" t="n">
        <f aca="false">I45*IF(H45="",1,H45)</f>
        <v>0</v>
      </c>
      <c r="K45" s="21"/>
    </row>
    <row r="46" customFormat="false" ht="15" hidden="false" customHeight="false" outlineLevel="0" collapsed="false">
      <c r="A46" s="21"/>
      <c r="B46" s="21"/>
      <c r="C46" s="21"/>
      <c r="D46" s="29"/>
      <c r="E46" s="29"/>
      <c r="F46" s="29"/>
      <c r="G46" s="29"/>
      <c r="H46" s="22"/>
      <c r="I46" s="30" t="n">
        <f aca="false">IF(COUNT(D46:G46)=0,0,PRODUCT(D46:G46))</f>
        <v>0</v>
      </c>
      <c r="J46" s="30" t="n">
        <f aca="false">I46*IF(H46="",1,H46)</f>
        <v>0</v>
      </c>
      <c r="K46" s="21"/>
    </row>
    <row r="47" customFormat="false" ht="15" hidden="false" customHeight="false" outlineLevel="0" collapsed="false">
      <c r="A47" s="21"/>
      <c r="B47" s="21"/>
      <c r="C47" s="21"/>
      <c r="D47" s="29"/>
      <c r="E47" s="29"/>
      <c r="F47" s="29"/>
      <c r="G47" s="29"/>
      <c r="H47" s="22"/>
      <c r="I47" s="30" t="n">
        <f aca="false">IF(COUNT(D47:G47)=0,0,PRODUCT(D47:G47))</f>
        <v>0</v>
      </c>
      <c r="J47" s="30" t="n">
        <f aca="false">I47*IF(H47="",1,H47)</f>
        <v>0</v>
      </c>
      <c r="K47" s="21"/>
    </row>
    <row r="48" customFormat="false" ht="15" hidden="false" customHeight="false" outlineLevel="0" collapsed="false">
      <c r="A48" s="21"/>
      <c r="B48" s="21"/>
      <c r="C48" s="21"/>
      <c r="D48" s="29"/>
      <c r="E48" s="29"/>
      <c r="F48" s="29"/>
      <c r="G48" s="29"/>
      <c r="H48" s="22"/>
      <c r="I48" s="30" t="n">
        <f aca="false">IF(COUNT(D48:G48)=0,0,PRODUCT(D48:G48))</f>
        <v>0</v>
      </c>
      <c r="J48" s="30" t="n">
        <f aca="false">I48*IF(H48="",1,H48)</f>
        <v>0</v>
      </c>
      <c r="K48" s="21"/>
    </row>
    <row r="49" customFormat="false" ht="15" hidden="false" customHeight="false" outlineLevel="0" collapsed="false">
      <c r="A49" s="21"/>
      <c r="B49" s="21"/>
      <c r="C49" s="21"/>
      <c r="D49" s="29"/>
      <c r="E49" s="29"/>
      <c r="F49" s="29"/>
      <c r="G49" s="29"/>
      <c r="H49" s="22"/>
      <c r="I49" s="30" t="n">
        <f aca="false">IF(COUNT(D49:G49)=0,0,PRODUCT(D49:G49))</f>
        <v>0</v>
      </c>
      <c r="J49" s="30" t="n">
        <f aca="false">I49*IF(H49="",1,H49)</f>
        <v>0</v>
      </c>
      <c r="K49" s="21"/>
    </row>
    <row r="50" customFormat="false" ht="15" hidden="false" customHeight="false" outlineLevel="0" collapsed="false">
      <c r="A50" s="21"/>
      <c r="B50" s="21"/>
      <c r="C50" s="21"/>
      <c r="D50" s="29"/>
      <c r="E50" s="29"/>
      <c r="F50" s="29"/>
      <c r="G50" s="29"/>
      <c r="H50" s="22"/>
      <c r="I50" s="30" t="n">
        <f aca="false">IF(COUNT(D50:G50)=0,0,PRODUCT(D50:G50))</f>
        <v>0</v>
      </c>
      <c r="J50" s="30" t="n">
        <f aca="false">I50*IF(H50="",1,H50)</f>
        <v>0</v>
      </c>
      <c r="K50" s="21"/>
    </row>
    <row r="51" customFormat="false" ht="15" hidden="false" customHeight="false" outlineLevel="0" collapsed="false">
      <c r="A51" s="21"/>
      <c r="B51" s="21"/>
      <c r="C51" s="21"/>
      <c r="D51" s="29"/>
      <c r="E51" s="29"/>
      <c r="F51" s="29"/>
      <c r="G51" s="29"/>
      <c r="H51" s="22"/>
      <c r="I51" s="30" t="n">
        <f aca="false">IF(COUNT(D51:G51)=0,0,PRODUCT(D51:G51))</f>
        <v>0</v>
      </c>
      <c r="J51" s="30" t="n">
        <f aca="false">I51*IF(H51="",1,H51)</f>
        <v>0</v>
      </c>
      <c r="K51" s="21"/>
    </row>
    <row r="52" customFormat="false" ht="15" hidden="false" customHeight="false" outlineLevel="0" collapsed="false">
      <c r="A52" s="21"/>
      <c r="B52" s="21"/>
      <c r="C52" s="21"/>
      <c r="D52" s="29"/>
      <c r="E52" s="29"/>
      <c r="F52" s="29"/>
      <c r="G52" s="29"/>
      <c r="H52" s="22"/>
      <c r="I52" s="30" t="n">
        <f aca="false">IF(COUNT(D52:G52)=0,0,PRODUCT(D52:G52))</f>
        <v>0</v>
      </c>
      <c r="J52" s="30" t="n">
        <f aca="false">I52*IF(H52="",1,H52)</f>
        <v>0</v>
      </c>
      <c r="K52" s="21"/>
    </row>
    <row r="53" customFormat="false" ht="15" hidden="false" customHeight="false" outlineLevel="0" collapsed="false">
      <c r="A53" s="21"/>
      <c r="B53" s="21"/>
      <c r="C53" s="21"/>
      <c r="D53" s="29"/>
      <c r="E53" s="29"/>
      <c r="F53" s="29"/>
      <c r="G53" s="29"/>
      <c r="H53" s="22"/>
      <c r="I53" s="30" t="n">
        <f aca="false">IF(COUNT(D53:G53)=0,0,PRODUCT(D53:G53))</f>
        <v>0</v>
      </c>
      <c r="J53" s="30" t="n">
        <f aca="false">I53*IF(H53="",1,H53)</f>
        <v>0</v>
      </c>
      <c r="K53" s="21"/>
    </row>
    <row r="54" customFormat="false" ht="15" hidden="false" customHeight="false" outlineLevel="0" collapsed="false">
      <c r="A54" s="21"/>
      <c r="B54" s="21"/>
      <c r="C54" s="21"/>
      <c r="D54" s="29"/>
      <c r="E54" s="29"/>
      <c r="F54" s="29"/>
      <c r="G54" s="29"/>
      <c r="H54" s="22"/>
      <c r="I54" s="30" t="n">
        <f aca="false">IF(COUNT(D54:G54)=0,0,PRODUCT(D54:G54))</f>
        <v>0</v>
      </c>
      <c r="J54" s="30" t="n">
        <f aca="false">I54*IF(H54="",1,H54)</f>
        <v>0</v>
      </c>
      <c r="K54" s="21"/>
    </row>
    <row r="55" customFormat="false" ht="15" hidden="false" customHeight="false" outlineLevel="0" collapsed="false">
      <c r="A55" s="21"/>
      <c r="B55" s="21"/>
      <c r="C55" s="21"/>
      <c r="D55" s="29"/>
      <c r="E55" s="29"/>
      <c r="F55" s="29"/>
      <c r="G55" s="29"/>
      <c r="H55" s="22"/>
      <c r="I55" s="30" t="n">
        <f aca="false">IF(COUNT(D55:G55)=0,0,PRODUCT(D55:G55))</f>
        <v>0</v>
      </c>
      <c r="J55" s="30" t="n">
        <f aca="false">I55*IF(H55="",1,H55)</f>
        <v>0</v>
      </c>
      <c r="K55" s="21"/>
    </row>
    <row r="56" customFormat="false" ht="15" hidden="false" customHeight="false" outlineLevel="0" collapsed="false">
      <c r="A56" s="21"/>
      <c r="B56" s="21"/>
      <c r="C56" s="21"/>
      <c r="D56" s="29"/>
      <c r="E56" s="29"/>
      <c r="F56" s="29"/>
      <c r="G56" s="29"/>
      <c r="H56" s="22"/>
      <c r="I56" s="30" t="n">
        <f aca="false">IF(COUNT(D56:G56)=0,0,PRODUCT(D56:G56))</f>
        <v>0</v>
      </c>
      <c r="J56" s="30" t="n">
        <f aca="false">I56*IF(H56="",1,H56)</f>
        <v>0</v>
      </c>
      <c r="K56" s="21"/>
    </row>
    <row r="57" customFormat="false" ht="15" hidden="false" customHeight="false" outlineLevel="0" collapsed="false">
      <c r="A57" s="21"/>
      <c r="B57" s="21"/>
      <c r="C57" s="21"/>
      <c r="D57" s="29"/>
      <c r="E57" s="29"/>
      <c r="F57" s="29"/>
      <c r="G57" s="29"/>
      <c r="H57" s="22"/>
      <c r="I57" s="30" t="n">
        <f aca="false">IF(COUNT(D57:G57)=0,0,PRODUCT(D57:G57))</f>
        <v>0</v>
      </c>
      <c r="J57" s="30" t="n">
        <f aca="false">I57*IF(H57="",1,H57)</f>
        <v>0</v>
      </c>
      <c r="K57" s="21"/>
    </row>
    <row r="58" customFormat="false" ht="15" hidden="false" customHeight="false" outlineLevel="0" collapsed="false">
      <c r="A58" s="21"/>
      <c r="B58" s="21"/>
      <c r="C58" s="21"/>
      <c r="D58" s="29"/>
      <c r="E58" s="29"/>
      <c r="F58" s="29"/>
      <c r="G58" s="29"/>
      <c r="H58" s="22"/>
      <c r="I58" s="30" t="n">
        <f aca="false">IF(COUNT(D58:G58)=0,0,PRODUCT(D58:G58))</f>
        <v>0</v>
      </c>
      <c r="J58" s="30" t="n">
        <f aca="false">I58*IF(H58="",1,H58)</f>
        <v>0</v>
      </c>
      <c r="K58" s="21"/>
    </row>
    <row r="59" customFormat="false" ht="15" hidden="false" customHeight="false" outlineLevel="0" collapsed="false">
      <c r="A59" s="21"/>
      <c r="B59" s="21"/>
      <c r="C59" s="21"/>
      <c r="D59" s="29"/>
      <c r="E59" s="29"/>
      <c r="F59" s="29"/>
      <c r="G59" s="29"/>
      <c r="H59" s="22"/>
      <c r="I59" s="30" t="n">
        <f aca="false">IF(COUNT(D59:G59)=0,0,PRODUCT(D59:G59))</f>
        <v>0</v>
      </c>
      <c r="J59" s="30" t="n">
        <f aca="false">I59*IF(H59="",1,H59)</f>
        <v>0</v>
      </c>
      <c r="K59" s="21"/>
    </row>
    <row r="60" customFormat="false" ht="15" hidden="false" customHeight="false" outlineLevel="0" collapsed="false">
      <c r="A60" s="21"/>
      <c r="B60" s="21"/>
      <c r="C60" s="21"/>
      <c r="D60" s="29"/>
      <c r="E60" s="29"/>
      <c r="F60" s="29"/>
      <c r="G60" s="29"/>
      <c r="H60" s="22"/>
      <c r="I60" s="30" t="n">
        <f aca="false">IF(COUNT(D60:G60)=0,0,PRODUCT(D60:G60))</f>
        <v>0</v>
      </c>
      <c r="J60" s="30" t="n">
        <f aca="false">I60*IF(H60="",1,H60)</f>
        <v>0</v>
      </c>
      <c r="K60" s="21"/>
    </row>
    <row r="61" customFormat="false" ht="15" hidden="false" customHeight="false" outlineLevel="0" collapsed="false">
      <c r="A61" s="21"/>
      <c r="B61" s="21"/>
      <c r="C61" s="21"/>
      <c r="D61" s="29"/>
      <c r="E61" s="29"/>
      <c r="F61" s="29"/>
      <c r="G61" s="29"/>
      <c r="H61" s="22"/>
      <c r="I61" s="30" t="n">
        <f aca="false">IF(COUNT(D61:G61)=0,0,PRODUCT(D61:G61))</f>
        <v>0</v>
      </c>
      <c r="J61" s="30" t="n">
        <f aca="false">I61*IF(H61="",1,H61)</f>
        <v>0</v>
      </c>
      <c r="K61" s="21"/>
    </row>
    <row r="62" customFormat="false" ht="15" hidden="false" customHeight="false" outlineLevel="0" collapsed="false">
      <c r="A62" s="21"/>
      <c r="B62" s="21"/>
      <c r="C62" s="21"/>
      <c r="D62" s="29"/>
      <c r="E62" s="29"/>
      <c r="F62" s="29"/>
      <c r="G62" s="29"/>
      <c r="H62" s="22"/>
      <c r="I62" s="30" t="n">
        <f aca="false">IF(COUNT(D62:G62)=0,0,PRODUCT(D62:G62))</f>
        <v>0</v>
      </c>
      <c r="J62" s="30" t="n">
        <f aca="false">I62*IF(H62="",1,H62)</f>
        <v>0</v>
      </c>
      <c r="K62" s="21"/>
    </row>
    <row r="63" customFormat="false" ht="15" hidden="false" customHeight="false" outlineLevel="0" collapsed="false">
      <c r="A63" s="21"/>
      <c r="B63" s="21"/>
      <c r="C63" s="21"/>
      <c r="D63" s="29"/>
      <c r="E63" s="29"/>
      <c r="F63" s="29"/>
      <c r="G63" s="29"/>
      <c r="H63" s="22"/>
      <c r="I63" s="30" t="n">
        <f aca="false">IF(COUNT(D63:G63)=0,0,PRODUCT(D63:G63))</f>
        <v>0</v>
      </c>
      <c r="J63" s="30" t="n">
        <f aca="false">I63*IF(H63="",1,H63)</f>
        <v>0</v>
      </c>
      <c r="K63" s="21"/>
    </row>
    <row r="64" customFormat="false" ht="15" hidden="false" customHeight="false" outlineLevel="0" collapsed="false">
      <c r="A64" s="21"/>
      <c r="B64" s="21"/>
      <c r="C64" s="21"/>
      <c r="D64" s="29"/>
      <c r="E64" s="29"/>
      <c r="F64" s="29"/>
      <c r="G64" s="29"/>
      <c r="H64" s="22"/>
      <c r="I64" s="30" t="n">
        <f aca="false">IF(COUNT(D64:G64)=0,0,PRODUCT(D64:G64))</f>
        <v>0</v>
      </c>
      <c r="J64" s="30" t="n">
        <f aca="false">I64*IF(H64="",1,H64)</f>
        <v>0</v>
      </c>
      <c r="K64" s="21"/>
    </row>
    <row r="65" customFormat="false" ht="15" hidden="false" customHeight="false" outlineLevel="0" collapsed="false">
      <c r="A65" s="21"/>
      <c r="B65" s="21"/>
      <c r="C65" s="21"/>
      <c r="D65" s="29"/>
      <c r="E65" s="29"/>
      <c r="F65" s="29"/>
      <c r="G65" s="29"/>
      <c r="H65" s="22"/>
      <c r="I65" s="30" t="n">
        <f aca="false">IF(COUNT(D65:G65)=0,0,PRODUCT(D65:G65))</f>
        <v>0</v>
      </c>
      <c r="J65" s="30" t="n">
        <f aca="false">I65*IF(H65="",1,H65)</f>
        <v>0</v>
      </c>
      <c r="K65" s="21"/>
    </row>
    <row r="66" customFormat="false" ht="15" hidden="false" customHeight="false" outlineLevel="0" collapsed="false">
      <c r="A66" s="21"/>
      <c r="B66" s="21"/>
      <c r="C66" s="21"/>
      <c r="D66" s="29"/>
      <c r="E66" s="29"/>
      <c r="F66" s="29"/>
      <c r="G66" s="29"/>
      <c r="H66" s="22"/>
      <c r="I66" s="30" t="n">
        <f aca="false">IF(COUNT(D66:G66)=0,0,PRODUCT(D66:G66))</f>
        <v>0</v>
      </c>
      <c r="J66" s="30" t="n">
        <f aca="false">I66*IF(H66="",1,H66)</f>
        <v>0</v>
      </c>
      <c r="K66" s="21"/>
    </row>
    <row r="67" customFormat="false" ht="15" hidden="false" customHeight="false" outlineLevel="0" collapsed="false">
      <c r="A67" s="21"/>
      <c r="B67" s="21"/>
      <c r="C67" s="21"/>
      <c r="D67" s="29"/>
      <c r="E67" s="29"/>
      <c r="F67" s="29"/>
      <c r="G67" s="29"/>
      <c r="H67" s="22"/>
      <c r="I67" s="30" t="n">
        <f aca="false">IF(COUNT(D67:G67)=0,0,PRODUCT(D67:G67))</f>
        <v>0</v>
      </c>
      <c r="J67" s="30" t="n">
        <f aca="false">I67*IF(H67="",1,H67)</f>
        <v>0</v>
      </c>
      <c r="K67" s="21"/>
    </row>
    <row r="68" customFormat="false" ht="15" hidden="false" customHeight="false" outlineLevel="0" collapsed="false">
      <c r="A68" s="21"/>
      <c r="B68" s="21"/>
      <c r="C68" s="21"/>
      <c r="D68" s="29"/>
      <c r="E68" s="29"/>
      <c r="F68" s="29"/>
      <c r="G68" s="29"/>
      <c r="H68" s="22"/>
      <c r="I68" s="30" t="n">
        <f aca="false">IF(COUNT(D68:G68)=0,0,PRODUCT(D68:G68))</f>
        <v>0</v>
      </c>
      <c r="J68" s="30" t="n">
        <f aca="false">I68*IF(H68="",1,H68)</f>
        <v>0</v>
      </c>
      <c r="K68" s="21"/>
    </row>
    <row r="69" customFormat="false" ht="15" hidden="false" customHeight="false" outlineLevel="0" collapsed="false">
      <c r="A69" s="21"/>
      <c r="B69" s="21"/>
      <c r="C69" s="21"/>
      <c r="D69" s="29"/>
      <c r="E69" s="29"/>
      <c r="F69" s="29"/>
      <c r="G69" s="29"/>
      <c r="H69" s="22"/>
      <c r="I69" s="30" t="n">
        <f aca="false">IF(COUNT(D69:G69)=0,0,PRODUCT(D69:G69))</f>
        <v>0</v>
      </c>
      <c r="J69" s="30" t="n">
        <f aca="false">I69*IF(H69="",1,H69)</f>
        <v>0</v>
      </c>
      <c r="K69" s="21"/>
    </row>
    <row r="70" customFormat="false" ht="15" hidden="false" customHeight="false" outlineLevel="0" collapsed="false">
      <c r="A70" s="21"/>
      <c r="B70" s="21"/>
      <c r="C70" s="21"/>
      <c r="D70" s="29"/>
      <c r="E70" s="29"/>
      <c r="F70" s="29"/>
      <c r="G70" s="29"/>
      <c r="H70" s="22"/>
      <c r="I70" s="30" t="n">
        <f aca="false">IF(COUNT(D70:G70)=0,0,PRODUCT(D70:G70))</f>
        <v>0</v>
      </c>
      <c r="J70" s="30" t="n">
        <f aca="false">I70*IF(H70="",1,H70)</f>
        <v>0</v>
      </c>
      <c r="K70" s="21"/>
    </row>
    <row r="71" customFormat="false" ht="15" hidden="false" customHeight="false" outlineLevel="0" collapsed="false">
      <c r="A71" s="21"/>
      <c r="B71" s="21"/>
      <c r="C71" s="21"/>
      <c r="D71" s="29"/>
      <c r="E71" s="29"/>
      <c r="F71" s="29"/>
      <c r="G71" s="29"/>
      <c r="H71" s="22"/>
      <c r="I71" s="30" t="n">
        <f aca="false">IF(COUNT(D71:G71)=0,0,PRODUCT(D71:G71))</f>
        <v>0</v>
      </c>
      <c r="J71" s="30" t="n">
        <f aca="false">I71*IF(H71="",1,H71)</f>
        <v>0</v>
      </c>
      <c r="K71" s="21"/>
    </row>
    <row r="72" customFormat="false" ht="15" hidden="false" customHeight="false" outlineLevel="0" collapsed="false">
      <c r="A72" s="21"/>
      <c r="B72" s="21"/>
      <c r="C72" s="21"/>
      <c r="D72" s="29"/>
      <c r="E72" s="29"/>
      <c r="F72" s="29"/>
      <c r="G72" s="29"/>
      <c r="H72" s="22"/>
      <c r="I72" s="30" t="n">
        <f aca="false">IF(COUNT(D72:G72)=0,0,PRODUCT(D72:G72))</f>
        <v>0</v>
      </c>
      <c r="J72" s="30" t="n">
        <f aca="false">I72*IF(H72="",1,H72)</f>
        <v>0</v>
      </c>
      <c r="K72" s="21"/>
    </row>
    <row r="73" customFormat="false" ht="15" hidden="false" customHeight="false" outlineLevel="0" collapsed="false">
      <c r="A73" s="21"/>
      <c r="B73" s="21"/>
      <c r="C73" s="21"/>
      <c r="D73" s="29"/>
      <c r="E73" s="29"/>
      <c r="F73" s="29"/>
      <c r="G73" s="29"/>
      <c r="H73" s="22"/>
      <c r="I73" s="30" t="n">
        <f aca="false">IF(COUNT(D73:G73)=0,0,PRODUCT(D73:G73))</f>
        <v>0</v>
      </c>
      <c r="J73" s="30" t="n">
        <f aca="false">I73*IF(H73="",1,H73)</f>
        <v>0</v>
      </c>
      <c r="K73" s="21"/>
    </row>
    <row r="74" customFormat="false" ht="15" hidden="false" customHeight="false" outlineLevel="0" collapsed="false">
      <c r="A74" s="21"/>
      <c r="B74" s="21"/>
      <c r="C74" s="21"/>
      <c r="D74" s="29"/>
      <c r="E74" s="29"/>
      <c r="F74" s="29"/>
      <c r="G74" s="29"/>
      <c r="H74" s="22"/>
      <c r="I74" s="30" t="n">
        <f aca="false">IF(COUNT(D74:G74)=0,0,PRODUCT(D74:G74))</f>
        <v>0</v>
      </c>
      <c r="J74" s="30" t="n">
        <f aca="false">I74*IF(H74="",1,H74)</f>
        <v>0</v>
      </c>
      <c r="K74" s="21"/>
    </row>
    <row r="75" customFormat="false" ht="15" hidden="false" customHeight="false" outlineLevel="0" collapsed="false">
      <c r="A75" s="21"/>
      <c r="B75" s="21"/>
      <c r="C75" s="21"/>
      <c r="D75" s="29"/>
      <c r="E75" s="29"/>
      <c r="F75" s="29"/>
      <c r="G75" s="29"/>
      <c r="H75" s="22"/>
      <c r="I75" s="30" t="n">
        <f aca="false">IF(COUNT(D75:G75)=0,0,PRODUCT(D75:G75))</f>
        <v>0</v>
      </c>
      <c r="J75" s="30" t="n">
        <f aca="false">I75*IF(H75="",1,H75)</f>
        <v>0</v>
      </c>
      <c r="K75" s="21"/>
    </row>
    <row r="76" customFormat="false" ht="15" hidden="false" customHeight="false" outlineLevel="0" collapsed="false">
      <c r="A76" s="21"/>
      <c r="B76" s="21"/>
      <c r="C76" s="21"/>
      <c r="D76" s="29"/>
      <c r="E76" s="29"/>
      <c r="F76" s="29"/>
      <c r="G76" s="29"/>
      <c r="H76" s="22"/>
      <c r="I76" s="30" t="n">
        <f aca="false">IF(COUNT(D76:G76)=0,0,PRODUCT(D76:G76))</f>
        <v>0</v>
      </c>
      <c r="J76" s="30" t="n">
        <f aca="false">I76*IF(H76="",1,H76)</f>
        <v>0</v>
      </c>
      <c r="K76" s="21"/>
    </row>
    <row r="77" customFormat="false" ht="15" hidden="false" customHeight="false" outlineLevel="0" collapsed="false">
      <c r="A77" s="21"/>
      <c r="B77" s="21"/>
      <c r="C77" s="21"/>
      <c r="D77" s="29"/>
      <c r="E77" s="29"/>
      <c r="F77" s="29"/>
      <c r="G77" s="29"/>
      <c r="H77" s="22"/>
      <c r="I77" s="30" t="n">
        <f aca="false">IF(COUNT(D77:G77)=0,0,PRODUCT(D77:G77))</f>
        <v>0</v>
      </c>
      <c r="J77" s="30" t="n">
        <f aca="false">I77*IF(H77="",1,H77)</f>
        <v>0</v>
      </c>
      <c r="K77" s="21"/>
    </row>
    <row r="78" customFormat="false" ht="15" hidden="false" customHeight="false" outlineLevel="0" collapsed="false">
      <c r="A78" s="21"/>
      <c r="B78" s="21"/>
      <c r="C78" s="21"/>
      <c r="D78" s="29"/>
      <c r="E78" s="29"/>
      <c r="F78" s="29"/>
      <c r="G78" s="29"/>
      <c r="H78" s="22"/>
      <c r="I78" s="30" t="n">
        <f aca="false">IF(COUNT(D78:G78)=0,0,PRODUCT(D78:G78))</f>
        <v>0</v>
      </c>
      <c r="J78" s="30" t="n">
        <f aca="false">I78*IF(H78="",1,H78)</f>
        <v>0</v>
      </c>
      <c r="K78" s="21"/>
    </row>
    <row r="79" customFormat="false" ht="15" hidden="false" customHeight="false" outlineLevel="0" collapsed="false">
      <c r="A79" s="21"/>
      <c r="B79" s="21"/>
      <c r="C79" s="21"/>
      <c r="D79" s="29"/>
      <c r="E79" s="29"/>
      <c r="F79" s="29"/>
      <c r="G79" s="29"/>
      <c r="H79" s="22"/>
      <c r="I79" s="30" t="n">
        <f aca="false">IF(COUNT(D79:G79)=0,0,PRODUCT(D79:G79))</f>
        <v>0</v>
      </c>
      <c r="J79" s="30" t="n">
        <f aca="false">I79*IF(H79="",1,H79)</f>
        <v>0</v>
      </c>
      <c r="K79" s="21"/>
    </row>
    <row r="80" customFormat="false" ht="15" hidden="false" customHeight="false" outlineLevel="0" collapsed="false">
      <c r="A80" s="21"/>
      <c r="B80" s="21"/>
      <c r="C80" s="21"/>
      <c r="D80" s="29"/>
      <c r="E80" s="29"/>
      <c r="F80" s="29"/>
      <c r="G80" s="29"/>
      <c r="H80" s="22"/>
      <c r="I80" s="30" t="n">
        <f aca="false">IF(COUNT(D80:G80)=0,0,PRODUCT(D80:G80))</f>
        <v>0</v>
      </c>
      <c r="J80" s="30" t="n">
        <f aca="false">I80*IF(H80="",1,H80)</f>
        <v>0</v>
      </c>
      <c r="K80" s="21"/>
    </row>
    <row r="81" customFormat="false" ht="15" hidden="false" customHeight="false" outlineLevel="0" collapsed="false">
      <c r="A81" s="21"/>
      <c r="B81" s="21"/>
      <c r="C81" s="21"/>
      <c r="D81" s="29"/>
      <c r="E81" s="29"/>
      <c r="F81" s="29"/>
      <c r="G81" s="29"/>
      <c r="H81" s="22"/>
      <c r="I81" s="30" t="n">
        <f aca="false">IF(COUNT(D81:G81)=0,0,PRODUCT(D81:G81))</f>
        <v>0</v>
      </c>
      <c r="J81" s="30" t="n">
        <f aca="false">I81*IF(H81="",1,H81)</f>
        <v>0</v>
      </c>
      <c r="K81" s="21"/>
    </row>
    <row r="82" customFormat="false" ht="15" hidden="false" customHeight="false" outlineLevel="0" collapsed="false">
      <c r="A82" s="21"/>
      <c r="B82" s="21"/>
      <c r="C82" s="21"/>
      <c r="D82" s="29"/>
      <c r="E82" s="29"/>
      <c r="F82" s="29"/>
      <c r="G82" s="29"/>
      <c r="H82" s="22"/>
      <c r="I82" s="30" t="n">
        <f aca="false">IF(COUNT(D82:G82)=0,0,PRODUCT(D82:G82))</f>
        <v>0</v>
      </c>
      <c r="J82" s="30" t="n">
        <f aca="false">I82*IF(H82="",1,H82)</f>
        <v>0</v>
      </c>
      <c r="K82" s="21"/>
    </row>
    <row r="83" customFormat="false" ht="15" hidden="false" customHeight="false" outlineLevel="0" collapsed="false">
      <c r="A83" s="21"/>
      <c r="B83" s="21"/>
      <c r="C83" s="21"/>
      <c r="D83" s="29"/>
      <c r="E83" s="29"/>
      <c r="F83" s="29"/>
      <c r="G83" s="29"/>
      <c r="H83" s="22"/>
      <c r="I83" s="30" t="n">
        <f aca="false">IF(COUNT(D83:G83)=0,0,PRODUCT(D83:G83))</f>
        <v>0</v>
      </c>
      <c r="J83" s="30" t="n">
        <f aca="false">I83*IF(H83="",1,H83)</f>
        <v>0</v>
      </c>
      <c r="K83" s="21"/>
    </row>
    <row r="84" customFormat="false" ht="15" hidden="false" customHeight="false" outlineLevel="0" collapsed="false">
      <c r="A84" s="21"/>
      <c r="B84" s="21"/>
      <c r="C84" s="21"/>
      <c r="D84" s="29"/>
      <c r="E84" s="29"/>
      <c r="F84" s="29"/>
      <c r="G84" s="29"/>
      <c r="H84" s="22"/>
      <c r="I84" s="30" t="n">
        <f aca="false">IF(COUNT(D84:G84)=0,0,PRODUCT(D84:G84))</f>
        <v>0</v>
      </c>
      <c r="J84" s="30" t="n">
        <f aca="false">I84*IF(H84="",1,H84)</f>
        <v>0</v>
      </c>
      <c r="K84" s="21"/>
    </row>
    <row r="85" customFormat="false" ht="15" hidden="false" customHeight="false" outlineLevel="0" collapsed="false">
      <c r="A85" s="21"/>
      <c r="B85" s="21"/>
      <c r="C85" s="21"/>
      <c r="D85" s="29"/>
      <c r="E85" s="29"/>
      <c r="F85" s="29"/>
      <c r="G85" s="29"/>
      <c r="H85" s="22"/>
      <c r="I85" s="30" t="n">
        <f aca="false">IF(COUNT(D85:G85)=0,0,PRODUCT(D85:G85))</f>
        <v>0</v>
      </c>
      <c r="J85" s="30" t="n">
        <f aca="false">I85*IF(H85="",1,H85)</f>
        <v>0</v>
      </c>
      <c r="K85" s="21"/>
    </row>
    <row r="86" customFormat="false" ht="15" hidden="false" customHeight="false" outlineLevel="0" collapsed="false">
      <c r="A86" s="21"/>
      <c r="B86" s="21"/>
      <c r="C86" s="21"/>
      <c r="D86" s="29"/>
      <c r="E86" s="29"/>
      <c r="F86" s="29"/>
      <c r="G86" s="29"/>
      <c r="H86" s="22"/>
      <c r="I86" s="30" t="n">
        <f aca="false">IF(COUNT(D86:G86)=0,0,PRODUCT(D86:G86))</f>
        <v>0</v>
      </c>
      <c r="J86" s="30" t="n">
        <f aca="false">I86*IF(H86="",1,H86)</f>
        <v>0</v>
      </c>
      <c r="K86" s="21"/>
    </row>
    <row r="87" customFormat="false" ht="15" hidden="false" customHeight="false" outlineLevel="0" collapsed="false">
      <c r="A87" s="21"/>
      <c r="B87" s="21"/>
      <c r="C87" s="21"/>
      <c r="D87" s="29"/>
      <c r="E87" s="29"/>
      <c r="F87" s="29"/>
      <c r="G87" s="29"/>
      <c r="H87" s="22"/>
      <c r="I87" s="30" t="n">
        <f aca="false">IF(COUNT(D87:G87)=0,0,PRODUCT(D87:G87))</f>
        <v>0</v>
      </c>
      <c r="J87" s="30" t="n">
        <f aca="false">I87*IF(H87="",1,H87)</f>
        <v>0</v>
      </c>
      <c r="K87" s="21"/>
    </row>
    <row r="88" customFormat="false" ht="15" hidden="false" customHeight="false" outlineLevel="0" collapsed="false">
      <c r="A88" s="21"/>
      <c r="B88" s="21"/>
      <c r="C88" s="21"/>
      <c r="D88" s="29"/>
      <c r="E88" s="29"/>
      <c r="F88" s="29"/>
      <c r="G88" s="29"/>
      <c r="H88" s="22"/>
      <c r="I88" s="30" t="n">
        <f aca="false">IF(COUNT(D88:G88)=0,0,PRODUCT(D88:G88))</f>
        <v>0</v>
      </c>
      <c r="J88" s="30" t="n">
        <f aca="false">I88*IF(H88="",1,H88)</f>
        <v>0</v>
      </c>
      <c r="K88" s="21"/>
    </row>
    <row r="89" customFormat="false" ht="15" hidden="false" customHeight="false" outlineLevel="0" collapsed="false">
      <c r="A89" s="21"/>
      <c r="B89" s="21"/>
      <c r="C89" s="21"/>
      <c r="D89" s="29"/>
      <c r="E89" s="29"/>
      <c r="F89" s="29"/>
      <c r="G89" s="29"/>
      <c r="H89" s="22"/>
      <c r="I89" s="30" t="n">
        <f aca="false">IF(COUNT(D89:G89)=0,0,PRODUCT(D89:G89))</f>
        <v>0</v>
      </c>
      <c r="J89" s="30" t="n">
        <f aca="false">I89*IF(H89="",1,H89)</f>
        <v>0</v>
      </c>
      <c r="K89" s="21"/>
    </row>
    <row r="90" customFormat="false" ht="15" hidden="false" customHeight="false" outlineLevel="0" collapsed="false">
      <c r="A90" s="21"/>
      <c r="B90" s="21"/>
      <c r="C90" s="21"/>
      <c r="D90" s="29"/>
      <c r="E90" s="29"/>
      <c r="F90" s="29"/>
      <c r="G90" s="29"/>
      <c r="H90" s="22"/>
      <c r="I90" s="30" t="n">
        <f aca="false">IF(COUNT(D90:G90)=0,0,PRODUCT(D90:G90))</f>
        <v>0</v>
      </c>
      <c r="J90" s="30" t="n">
        <f aca="false">I90*IF(H90="",1,H90)</f>
        <v>0</v>
      </c>
      <c r="K90" s="21"/>
    </row>
    <row r="91" customFormat="false" ht="15" hidden="false" customHeight="false" outlineLevel="0" collapsed="false">
      <c r="A91" s="21"/>
      <c r="B91" s="21"/>
      <c r="C91" s="21"/>
      <c r="D91" s="29"/>
      <c r="E91" s="29"/>
      <c r="F91" s="29"/>
      <c r="G91" s="29"/>
      <c r="H91" s="22"/>
      <c r="I91" s="30" t="n">
        <f aca="false">IF(COUNT(D91:G91)=0,0,PRODUCT(D91:G91))</f>
        <v>0</v>
      </c>
      <c r="J91" s="30" t="n">
        <f aca="false">I91*IF(H91="",1,H91)</f>
        <v>0</v>
      </c>
      <c r="K91" s="21"/>
    </row>
    <row r="92" customFormat="false" ht="15" hidden="false" customHeight="false" outlineLevel="0" collapsed="false">
      <c r="A92" s="21"/>
      <c r="B92" s="21"/>
      <c r="C92" s="21"/>
      <c r="D92" s="29"/>
      <c r="E92" s="29"/>
      <c r="F92" s="29"/>
      <c r="G92" s="29"/>
      <c r="H92" s="22"/>
      <c r="I92" s="30" t="n">
        <f aca="false">IF(COUNT(D92:G92)=0,0,PRODUCT(D92:G92))</f>
        <v>0</v>
      </c>
      <c r="J92" s="30" t="n">
        <f aca="false">I92*IF(H92="",1,H92)</f>
        <v>0</v>
      </c>
      <c r="K92" s="21"/>
    </row>
    <row r="93" customFormat="false" ht="15" hidden="false" customHeight="false" outlineLevel="0" collapsed="false">
      <c r="A93" s="21"/>
      <c r="B93" s="21"/>
      <c r="C93" s="21"/>
      <c r="D93" s="29"/>
      <c r="E93" s="29"/>
      <c r="F93" s="29"/>
      <c r="G93" s="29"/>
      <c r="H93" s="22"/>
      <c r="I93" s="30" t="n">
        <f aca="false">IF(COUNT(D93:G93)=0,0,PRODUCT(D93:G93))</f>
        <v>0</v>
      </c>
      <c r="J93" s="30" t="n">
        <f aca="false">I93*IF(H93="",1,H93)</f>
        <v>0</v>
      </c>
      <c r="K93" s="21"/>
    </row>
    <row r="94" customFormat="false" ht="15" hidden="false" customHeight="false" outlineLevel="0" collapsed="false">
      <c r="A94" s="21"/>
      <c r="B94" s="21"/>
      <c r="C94" s="21"/>
      <c r="D94" s="29"/>
      <c r="E94" s="29"/>
      <c r="F94" s="29"/>
      <c r="G94" s="29"/>
      <c r="H94" s="22"/>
      <c r="I94" s="30" t="n">
        <f aca="false">IF(COUNT(D94:G94)=0,0,PRODUCT(D94:G94))</f>
        <v>0</v>
      </c>
      <c r="J94" s="30" t="n">
        <f aca="false">I94*IF(H94="",1,H94)</f>
        <v>0</v>
      </c>
      <c r="K94" s="21"/>
    </row>
    <row r="95" customFormat="false" ht="15" hidden="false" customHeight="false" outlineLevel="0" collapsed="false">
      <c r="A95" s="21"/>
      <c r="B95" s="21"/>
      <c r="C95" s="21"/>
      <c r="D95" s="29"/>
      <c r="E95" s="29"/>
      <c r="F95" s="29"/>
      <c r="G95" s="29"/>
      <c r="H95" s="22"/>
      <c r="I95" s="30" t="n">
        <f aca="false">IF(COUNT(D95:G95)=0,0,PRODUCT(D95:G95))</f>
        <v>0</v>
      </c>
      <c r="J95" s="30" t="n">
        <f aca="false">I95*IF(H95="",1,H95)</f>
        <v>0</v>
      </c>
      <c r="K95" s="21"/>
    </row>
    <row r="96" customFormat="false" ht="15" hidden="false" customHeight="false" outlineLevel="0" collapsed="false">
      <c r="A96" s="21"/>
      <c r="B96" s="21"/>
      <c r="C96" s="21"/>
      <c r="D96" s="29"/>
      <c r="E96" s="29"/>
      <c r="F96" s="29"/>
      <c r="G96" s="29"/>
      <c r="H96" s="22"/>
      <c r="I96" s="30" t="n">
        <f aca="false">IF(COUNT(D96:G96)=0,0,PRODUCT(D96:G96))</f>
        <v>0</v>
      </c>
      <c r="J96" s="30" t="n">
        <f aca="false">I96*IF(H96="",1,H96)</f>
        <v>0</v>
      </c>
      <c r="K96" s="21"/>
    </row>
    <row r="97" customFormat="false" ht="15" hidden="false" customHeight="false" outlineLevel="0" collapsed="false">
      <c r="A97" s="21"/>
      <c r="B97" s="21"/>
      <c r="C97" s="21"/>
      <c r="D97" s="29"/>
      <c r="E97" s="29"/>
      <c r="F97" s="29"/>
      <c r="G97" s="29"/>
      <c r="H97" s="22"/>
      <c r="I97" s="30" t="n">
        <f aca="false">IF(COUNT(D97:G97)=0,0,PRODUCT(D97:G97))</f>
        <v>0</v>
      </c>
      <c r="J97" s="30" t="n">
        <f aca="false">I97*IF(H97="",1,H97)</f>
        <v>0</v>
      </c>
      <c r="K97" s="21"/>
    </row>
    <row r="98" customFormat="false" ht="15" hidden="false" customHeight="false" outlineLevel="0" collapsed="false">
      <c r="A98" s="21"/>
      <c r="B98" s="21"/>
      <c r="C98" s="21"/>
      <c r="D98" s="29"/>
      <c r="E98" s="29"/>
      <c r="F98" s="29"/>
      <c r="G98" s="29"/>
      <c r="H98" s="22"/>
      <c r="I98" s="30" t="n">
        <f aca="false">IF(COUNT(D98:G98)=0,0,PRODUCT(D98:G98))</f>
        <v>0</v>
      </c>
      <c r="J98" s="30" t="n">
        <f aca="false">I98*IF(H98="",1,H98)</f>
        <v>0</v>
      </c>
      <c r="K98" s="21"/>
    </row>
    <row r="99" customFormat="false" ht="15" hidden="false" customHeight="false" outlineLevel="0" collapsed="false">
      <c r="A99" s="21"/>
      <c r="B99" s="21"/>
      <c r="C99" s="21"/>
      <c r="D99" s="29"/>
      <c r="E99" s="29"/>
      <c r="F99" s="29"/>
      <c r="G99" s="29"/>
      <c r="H99" s="22"/>
      <c r="I99" s="30" t="n">
        <f aca="false">IF(COUNT(D99:G99)=0,0,PRODUCT(D99:G99))</f>
        <v>0</v>
      </c>
      <c r="J99" s="30" t="n">
        <f aca="false">I99*IF(H99="",1,H99)</f>
        <v>0</v>
      </c>
      <c r="K99" s="21"/>
    </row>
    <row r="100" customFormat="false" ht="15" hidden="false" customHeight="false" outlineLevel="0" collapsed="false">
      <c r="A100" s="21"/>
      <c r="B100" s="21"/>
      <c r="C100" s="21"/>
      <c r="D100" s="29"/>
      <c r="E100" s="29"/>
      <c r="F100" s="29"/>
      <c r="G100" s="29"/>
      <c r="H100" s="22"/>
      <c r="I100" s="30" t="n">
        <f aca="false">IF(COUNT(D100:G100)=0,0,PRODUCT(D100:G100))</f>
        <v>0</v>
      </c>
      <c r="J100" s="30" t="n">
        <f aca="false">I100*IF(H100="",1,H100)</f>
        <v>0</v>
      </c>
      <c r="K100" s="21"/>
    </row>
    <row r="101" customFormat="false" ht="15" hidden="false" customHeight="false" outlineLevel="0" collapsed="false">
      <c r="A101" s="21"/>
      <c r="B101" s="21"/>
      <c r="C101" s="21"/>
      <c r="D101" s="29"/>
      <c r="E101" s="29"/>
      <c r="F101" s="29"/>
      <c r="G101" s="29"/>
      <c r="H101" s="22"/>
      <c r="I101" s="30" t="n">
        <f aca="false">IF(COUNT(D101:G101)=0,0,PRODUCT(D101:G101))</f>
        <v>0</v>
      </c>
      <c r="J101" s="30" t="n">
        <f aca="false">I101*IF(H101="",1,H101)</f>
        <v>0</v>
      </c>
      <c r="K101" s="21"/>
    </row>
    <row r="102" customFormat="false" ht="15" hidden="false" customHeight="false" outlineLevel="0" collapsed="false">
      <c r="A102" s="21"/>
      <c r="B102" s="21"/>
      <c r="C102" s="21"/>
      <c r="D102" s="29"/>
      <c r="E102" s="29"/>
      <c r="F102" s="29"/>
      <c r="G102" s="29"/>
      <c r="H102" s="22"/>
      <c r="I102" s="30" t="n">
        <f aca="false">IF(COUNT(D102:G102)=0,0,PRODUCT(D102:G102))</f>
        <v>0</v>
      </c>
      <c r="J102" s="30" t="n">
        <f aca="false">I102*IF(H102="",1,H102)</f>
        <v>0</v>
      </c>
      <c r="K102" s="21"/>
    </row>
    <row r="103" customFormat="false" ht="15" hidden="false" customHeight="false" outlineLevel="0" collapsed="false">
      <c r="A103" s="21"/>
      <c r="B103" s="21"/>
      <c r="C103" s="21"/>
      <c r="D103" s="29"/>
      <c r="E103" s="29"/>
      <c r="F103" s="29"/>
      <c r="G103" s="29"/>
      <c r="H103" s="22"/>
      <c r="I103" s="30" t="n">
        <f aca="false">IF(COUNT(D103:G103)=0,0,PRODUCT(D103:G103))</f>
        <v>0</v>
      </c>
      <c r="J103" s="30" t="n">
        <f aca="false">I103*IF(H103="",1,H103)</f>
        <v>0</v>
      </c>
      <c r="K103" s="21"/>
    </row>
    <row r="104" customFormat="false" ht="15" hidden="false" customHeight="false" outlineLevel="0" collapsed="false">
      <c r="A104" s="21"/>
      <c r="B104" s="21"/>
      <c r="C104" s="21"/>
      <c r="D104" s="29"/>
      <c r="E104" s="29"/>
      <c r="F104" s="29"/>
      <c r="G104" s="29"/>
      <c r="H104" s="22"/>
      <c r="I104" s="30" t="n">
        <f aca="false">IF(COUNT(D104:G104)=0,0,PRODUCT(D104:G104))</f>
        <v>0</v>
      </c>
      <c r="J104" s="30" t="n">
        <f aca="false">I104*IF(H104="",1,H104)</f>
        <v>0</v>
      </c>
      <c r="K104" s="21"/>
    </row>
    <row r="105" customFormat="false" ht="15" hidden="false" customHeight="false" outlineLevel="0" collapsed="false">
      <c r="A105" s="21"/>
      <c r="B105" s="21"/>
      <c r="C105" s="21"/>
      <c r="D105" s="29"/>
      <c r="E105" s="29"/>
      <c r="F105" s="29"/>
      <c r="G105" s="29"/>
      <c r="H105" s="22"/>
      <c r="I105" s="30" t="n">
        <f aca="false">IF(COUNT(D105:G105)=0,0,PRODUCT(D105:G105))</f>
        <v>0</v>
      </c>
      <c r="J105" s="30" t="n">
        <f aca="false">I105*IF(H105="",1,H105)</f>
        <v>0</v>
      </c>
      <c r="K105" s="21"/>
    </row>
    <row r="106" customFormat="false" ht="15" hidden="false" customHeight="false" outlineLevel="0" collapsed="false">
      <c r="A106" s="21"/>
      <c r="B106" s="21"/>
      <c r="C106" s="21"/>
      <c r="D106" s="29"/>
      <c r="E106" s="29"/>
      <c r="F106" s="29"/>
      <c r="G106" s="29"/>
      <c r="H106" s="22"/>
      <c r="I106" s="30" t="n">
        <f aca="false">IF(COUNT(D106:G106)=0,0,PRODUCT(D106:G106))</f>
        <v>0</v>
      </c>
      <c r="J106" s="30" t="n">
        <f aca="false">I106*IF(H106="",1,H106)</f>
        <v>0</v>
      </c>
      <c r="K106" s="21"/>
    </row>
    <row r="107" customFormat="false" ht="15" hidden="false" customHeight="false" outlineLevel="0" collapsed="false">
      <c r="A107" s="21"/>
      <c r="B107" s="21"/>
      <c r="C107" s="21"/>
      <c r="D107" s="29"/>
      <c r="E107" s="29"/>
      <c r="F107" s="29"/>
      <c r="G107" s="29"/>
      <c r="H107" s="22"/>
      <c r="I107" s="30" t="n">
        <f aca="false">IF(COUNT(D107:G107)=0,0,PRODUCT(D107:G107))</f>
        <v>0</v>
      </c>
      <c r="J107" s="30" t="n">
        <f aca="false">I107*IF(H107="",1,H107)</f>
        <v>0</v>
      </c>
      <c r="K107" s="21"/>
    </row>
    <row r="108" customFormat="false" ht="15" hidden="false" customHeight="false" outlineLevel="0" collapsed="false">
      <c r="A108" s="21"/>
      <c r="B108" s="21"/>
      <c r="C108" s="21"/>
      <c r="D108" s="29"/>
      <c r="E108" s="29"/>
      <c r="F108" s="29"/>
      <c r="G108" s="29"/>
      <c r="H108" s="22"/>
      <c r="I108" s="30" t="n">
        <f aca="false">IF(COUNT(D108:G108)=0,0,PRODUCT(D108:G108))</f>
        <v>0</v>
      </c>
      <c r="J108" s="30" t="n">
        <f aca="false">I108*IF(H108="",1,H108)</f>
        <v>0</v>
      </c>
      <c r="K108" s="21"/>
    </row>
    <row r="109" customFormat="false" ht="15" hidden="false" customHeight="false" outlineLevel="0" collapsed="false">
      <c r="A109" s="21"/>
      <c r="B109" s="21"/>
      <c r="C109" s="21"/>
      <c r="D109" s="29"/>
      <c r="E109" s="29"/>
      <c r="F109" s="29"/>
      <c r="G109" s="29"/>
      <c r="H109" s="22"/>
      <c r="I109" s="30" t="n">
        <f aca="false">IF(COUNT(D109:G109)=0,0,PRODUCT(D109:G109))</f>
        <v>0</v>
      </c>
      <c r="J109" s="30" t="n">
        <f aca="false">I109*IF(H109="",1,H109)</f>
        <v>0</v>
      </c>
      <c r="K109" s="21"/>
    </row>
    <row r="110" customFormat="false" ht="15" hidden="false" customHeight="false" outlineLevel="0" collapsed="false">
      <c r="A110" s="21"/>
      <c r="B110" s="21"/>
      <c r="C110" s="21"/>
      <c r="D110" s="29"/>
      <c r="E110" s="29"/>
      <c r="F110" s="29"/>
      <c r="G110" s="29"/>
      <c r="H110" s="22"/>
      <c r="I110" s="30" t="n">
        <f aca="false">IF(COUNT(D110:G110)=0,0,PRODUCT(D110:G110))</f>
        <v>0</v>
      </c>
      <c r="J110" s="30" t="n">
        <f aca="false">I110*IF(H110="",1,H110)</f>
        <v>0</v>
      </c>
      <c r="K110" s="21"/>
    </row>
    <row r="111" customFormat="false" ht="15" hidden="false" customHeight="false" outlineLevel="0" collapsed="false">
      <c r="A111" s="21"/>
      <c r="B111" s="21"/>
      <c r="C111" s="21"/>
      <c r="D111" s="29"/>
      <c r="E111" s="29"/>
      <c r="F111" s="29"/>
      <c r="G111" s="29"/>
      <c r="H111" s="22"/>
      <c r="I111" s="30" t="n">
        <f aca="false">IF(COUNT(D111:G111)=0,0,PRODUCT(D111:G111))</f>
        <v>0</v>
      </c>
      <c r="J111" s="30" t="n">
        <f aca="false">I111*IF(H111="",1,H111)</f>
        <v>0</v>
      </c>
      <c r="K111" s="21"/>
    </row>
    <row r="112" customFormat="false" ht="15" hidden="false" customHeight="false" outlineLevel="0" collapsed="false">
      <c r="A112" s="21"/>
      <c r="B112" s="21"/>
      <c r="C112" s="21"/>
      <c r="D112" s="29"/>
      <c r="E112" s="29"/>
      <c r="F112" s="29"/>
      <c r="G112" s="29"/>
      <c r="H112" s="22"/>
      <c r="I112" s="30" t="n">
        <f aca="false">IF(COUNT(D112:G112)=0,0,PRODUCT(D112:G112))</f>
        <v>0</v>
      </c>
      <c r="J112" s="30" t="n">
        <f aca="false">I112*IF(H112="",1,H112)</f>
        <v>0</v>
      </c>
      <c r="K112" s="21"/>
    </row>
    <row r="113" customFormat="false" ht="15" hidden="false" customHeight="false" outlineLevel="0" collapsed="false">
      <c r="A113" s="21"/>
      <c r="B113" s="21"/>
      <c r="C113" s="21"/>
      <c r="D113" s="29"/>
      <c r="E113" s="29"/>
      <c r="F113" s="29"/>
      <c r="G113" s="29"/>
      <c r="H113" s="22"/>
      <c r="I113" s="30" t="n">
        <f aca="false">IF(COUNT(D113:G113)=0,0,PRODUCT(D113:G113))</f>
        <v>0</v>
      </c>
      <c r="J113" s="30" t="n">
        <f aca="false">I113*IF(H113="",1,H113)</f>
        <v>0</v>
      </c>
      <c r="K113" s="21"/>
    </row>
    <row r="114" customFormat="false" ht="15" hidden="false" customHeight="false" outlineLevel="0" collapsed="false">
      <c r="A114" s="21"/>
      <c r="B114" s="21"/>
      <c r="C114" s="21"/>
      <c r="D114" s="29"/>
      <c r="E114" s="29"/>
      <c r="F114" s="29"/>
      <c r="G114" s="29"/>
      <c r="H114" s="22"/>
      <c r="I114" s="30" t="n">
        <f aca="false">IF(COUNT(D114:G114)=0,0,PRODUCT(D114:G114))</f>
        <v>0</v>
      </c>
      <c r="J114" s="30" t="n">
        <f aca="false">I114*IF(H114="",1,H114)</f>
        <v>0</v>
      </c>
      <c r="K114" s="21"/>
    </row>
    <row r="115" customFormat="false" ht="15" hidden="false" customHeight="false" outlineLevel="0" collapsed="false">
      <c r="A115" s="21"/>
      <c r="B115" s="21"/>
      <c r="C115" s="21"/>
      <c r="D115" s="29"/>
      <c r="E115" s="29"/>
      <c r="F115" s="29"/>
      <c r="G115" s="29"/>
      <c r="H115" s="22"/>
      <c r="I115" s="30" t="n">
        <f aca="false">IF(COUNT(D115:G115)=0,0,PRODUCT(D115:G115))</f>
        <v>0</v>
      </c>
      <c r="J115" s="30" t="n">
        <f aca="false">I115*IF(H115="",1,H115)</f>
        <v>0</v>
      </c>
      <c r="K115" s="21"/>
    </row>
    <row r="116" customFormat="false" ht="15" hidden="false" customHeight="false" outlineLevel="0" collapsed="false">
      <c r="A116" s="21"/>
      <c r="B116" s="21"/>
      <c r="C116" s="21"/>
      <c r="D116" s="29"/>
      <c r="E116" s="29"/>
      <c r="F116" s="29"/>
      <c r="G116" s="29"/>
      <c r="H116" s="22"/>
      <c r="I116" s="30" t="n">
        <f aca="false">IF(COUNT(D116:G116)=0,0,PRODUCT(D116:G116))</f>
        <v>0</v>
      </c>
      <c r="J116" s="30" t="n">
        <f aca="false">I116*IF(H116="",1,H116)</f>
        <v>0</v>
      </c>
      <c r="K116" s="21"/>
    </row>
    <row r="117" customFormat="false" ht="15" hidden="false" customHeight="false" outlineLevel="0" collapsed="false">
      <c r="A117" s="21"/>
      <c r="B117" s="21"/>
      <c r="C117" s="21"/>
      <c r="D117" s="29"/>
      <c r="E117" s="29"/>
      <c r="F117" s="29"/>
      <c r="G117" s="29"/>
      <c r="H117" s="22"/>
      <c r="I117" s="30" t="n">
        <f aca="false">IF(COUNT(D117:G117)=0,0,PRODUCT(D117:G117))</f>
        <v>0</v>
      </c>
      <c r="J117" s="30" t="n">
        <f aca="false">I117*IF(H117="",1,H117)</f>
        <v>0</v>
      </c>
      <c r="K117" s="21"/>
    </row>
    <row r="118" customFormat="false" ht="15" hidden="false" customHeight="false" outlineLevel="0" collapsed="false">
      <c r="A118" s="21"/>
      <c r="B118" s="21"/>
      <c r="C118" s="21"/>
      <c r="D118" s="29"/>
      <c r="E118" s="29"/>
      <c r="F118" s="29"/>
      <c r="G118" s="29"/>
      <c r="H118" s="22"/>
      <c r="I118" s="30" t="n">
        <f aca="false">IF(COUNT(D118:G118)=0,0,PRODUCT(D118:G118))</f>
        <v>0</v>
      </c>
      <c r="J118" s="30" t="n">
        <f aca="false">I118*IF(H118="",1,H118)</f>
        <v>0</v>
      </c>
      <c r="K118" s="21"/>
    </row>
    <row r="119" customFormat="false" ht="15" hidden="false" customHeight="false" outlineLevel="0" collapsed="false">
      <c r="A119" s="21"/>
      <c r="B119" s="21"/>
      <c r="C119" s="21"/>
      <c r="D119" s="29"/>
      <c r="E119" s="29"/>
      <c r="F119" s="29"/>
      <c r="G119" s="29"/>
      <c r="H119" s="22"/>
      <c r="I119" s="30" t="n">
        <f aca="false">IF(COUNT(D119:G119)=0,0,PRODUCT(D119:G119))</f>
        <v>0</v>
      </c>
      <c r="J119" s="30" t="n">
        <f aca="false">I119*IF(H119="",1,H119)</f>
        <v>0</v>
      </c>
      <c r="K119" s="21"/>
    </row>
    <row r="120" customFormat="false" ht="15" hidden="false" customHeight="false" outlineLevel="0" collapsed="false">
      <c r="A120" s="21"/>
      <c r="B120" s="21"/>
      <c r="C120" s="21"/>
      <c r="D120" s="29"/>
      <c r="E120" s="29"/>
      <c r="F120" s="29"/>
      <c r="G120" s="29"/>
      <c r="H120" s="22"/>
      <c r="I120" s="30" t="n">
        <f aca="false">IF(COUNT(D120:G120)=0,0,PRODUCT(D120:G120))</f>
        <v>0</v>
      </c>
      <c r="J120" s="30" t="n">
        <f aca="false">I120*IF(H120="",1,H120)</f>
        <v>0</v>
      </c>
      <c r="K120" s="21"/>
    </row>
    <row r="121" customFormat="false" ht="15" hidden="false" customHeight="false" outlineLevel="0" collapsed="false">
      <c r="A121" s="21"/>
      <c r="B121" s="21"/>
      <c r="C121" s="21"/>
      <c r="D121" s="29"/>
      <c r="E121" s="29"/>
      <c r="F121" s="29"/>
      <c r="G121" s="29"/>
      <c r="H121" s="22"/>
      <c r="I121" s="30" t="n">
        <f aca="false">IF(COUNT(D121:G121)=0,0,PRODUCT(D121:G121))</f>
        <v>0</v>
      </c>
      <c r="J121" s="30" t="n">
        <f aca="false">I121*IF(H121="",1,H121)</f>
        <v>0</v>
      </c>
      <c r="K121" s="21"/>
    </row>
    <row r="122" customFormat="false" ht="15" hidden="false" customHeight="false" outlineLevel="0" collapsed="false">
      <c r="A122" s="21"/>
      <c r="B122" s="21"/>
      <c r="C122" s="21"/>
      <c r="D122" s="29"/>
      <c r="E122" s="29"/>
      <c r="F122" s="29"/>
      <c r="G122" s="29"/>
      <c r="H122" s="22"/>
      <c r="I122" s="30" t="n">
        <f aca="false">IF(COUNT(D122:G122)=0,0,PRODUCT(D122:G122))</f>
        <v>0</v>
      </c>
      <c r="J122" s="30" t="n">
        <f aca="false">I122*IF(H122="",1,H122)</f>
        <v>0</v>
      </c>
      <c r="K122" s="21"/>
    </row>
    <row r="123" customFormat="false" ht="15" hidden="false" customHeight="false" outlineLevel="0" collapsed="false">
      <c r="A123" s="21"/>
      <c r="B123" s="21"/>
      <c r="C123" s="21"/>
      <c r="D123" s="29"/>
      <c r="E123" s="29"/>
      <c r="F123" s="29"/>
      <c r="G123" s="29"/>
      <c r="H123" s="22"/>
      <c r="I123" s="30" t="n">
        <f aca="false">IF(COUNT(D123:G123)=0,0,PRODUCT(D123:G123))</f>
        <v>0</v>
      </c>
      <c r="J123" s="30" t="n">
        <f aca="false">I123*IF(H123="",1,H123)</f>
        <v>0</v>
      </c>
      <c r="K123" s="21"/>
    </row>
    <row r="124" customFormat="false" ht="15" hidden="false" customHeight="false" outlineLevel="0" collapsed="false">
      <c r="A124" s="21"/>
      <c r="B124" s="21"/>
      <c r="C124" s="21"/>
      <c r="D124" s="29"/>
      <c r="E124" s="29"/>
      <c r="F124" s="29"/>
      <c r="G124" s="29"/>
      <c r="H124" s="22"/>
      <c r="I124" s="30" t="n">
        <f aca="false">IF(COUNT(D124:G124)=0,0,PRODUCT(D124:G124))</f>
        <v>0</v>
      </c>
      <c r="J124" s="30" t="n">
        <f aca="false">I124*IF(H124="",1,H124)</f>
        <v>0</v>
      </c>
      <c r="K124" s="21"/>
    </row>
    <row r="125" customFormat="false" ht="15" hidden="false" customHeight="false" outlineLevel="0" collapsed="false">
      <c r="A125" s="21"/>
      <c r="B125" s="21"/>
      <c r="C125" s="21"/>
      <c r="D125" s="29"/>
      <c r="E125" s="29"/>
      <c r="F125" s="29"/>
      <c r="G125" s="29"/>
      <c r="H125" s="22"/>
      <c r="I125" s="30" t="n">
        <f aca="false">IF(COUNT(D125:G125)=0,0,PRODUCT(D125:G125))</f>
        <v>0</v>
      </c>
      <c r="J125" s="30" t="n">
        <f aca="false">I125*IF(H125="",1,H125)</f>
        <v>0</v>
      </c>
      <c r="K125" s="21"/>
    </row>
    <row r="126" customFormat="false" ht="15" hidden="false" customHeight="false" outlineLevel="0" collapsed="false">
      <c r="A126" s="21"/>
      <c r="B126" s="21"/>
      <c r="C126" s="21"/>
      <c r="D126" s="29"/>
      <c r="E126" s="29"/>
      <c r="F126" s="29"/>
      <c r="G126" s="29"/>
      <c r="H126" s="22"/>
      <c r="I126" s="30" t="n">
        <f aca="false">IF(COUNT(D126:G126)=0,0,PRODUCT(D126:G126))</f>
        <v>0</v>
      </c>
      <c r="J126" s="30" t="n">
        <f aca="false">I126*IF(H126="",1,H126)</f>
        <v>0</v>
      </c>
      <c r="K126" s="21"/>
    </row>
    <row r="127" customFormat="false" ht="15" hidden="false" customHeight="false" outlineLevel="0" collapsed="false">
      <c r="A127" s="21"/>
      <c r="B127" s="21"/>
      <c r="C127" s="21"/>
      <c r="D127" s="29"/>
      <c r="E127" s="29"/>
      <c r="F127" s="29"/>
      <c r="G127" s="29"/>
      <c r="H127" s="22"/>
      <c r="I127" s="30" t="n">
        <f aca="false">IF(COUNT(D127:G127)=0,0,PRODUCT(D127:G127))</f>
        <v>0</v>
      </c>
      <c r="J127" s="30" t="n">
        <f aca="false">I127*IF(H127="",1,H127)</f>
        <v>0</v>
      </c>
      <c r="K127" s="21"/>
    </row>
    <row r="128" customFormat="false" ht="15" hidden="false" customHeight="false" outlineLevel="0" collapsed="false">
      <c r="A128" s="21"/>
      <c r="B128" s="21"/>
      <c r="C128" s="21"/>
      <c r="D128" s="29"/>
      <c r="E128" s="29"/>
      <c r="F128" s="29"/>
      <c r="G128" s="29"/>
      <c r="H128" s="22"/>
      <c r="I128" s="30" t="n">
        <f aca="false">IF(COUNT(D128:G128)=0,0,PRODUCT(D128:G128))</f>
        <v>0</v>
      </c>
      <c r="J128" s="30" t="n">
        <f aca="false">I128*IF(H128="",1,H128)</f>
        <v>0</v>
      </c>
      <c r="K128" s="21"/>
    </row>
    <row r="129" customFormat="false" ht="15" hidden="false" customHeight="false" outlineLevel="0" collapsed="false">
      <c r="A129" s="21"/>
      <c r="B129" s="21"/>
      <c r="C129" s="21"/>
      <c r="D129" s="29"/>
      <c r="E129" s="29"/>
      <c r="F129" s="29"/>
      <c r="G129" s="29"/>
      <c r="H129" s="22"/>
      <c r="I129" s="30" t="n">
        <f aca="false">IF(COUNT(D129:G129)=0,0,PRODUCT(D129:G129))</f>
        <v>0</v>
      </c>
      <c r="J129" s="30" t="n">
        <f aca="false">I129*IF(H129="",1,H129)</f>
        <v>0</v>
      </c>
      <c r="K129" s="21"/>
    </row>
    <row r="130" customFormat="false" ht="15" hidden="false" customHeight="false" outlineLevel="0" collapsed="false">
      <c r="A130" s="21"/>
      <c r="B130" s="21"/>
      <c r="C130" s="21"/>
      <c r="D130" s="29"/>
      <c r="E130" s="29"/>
      <c r="F130" s="29"/>
      <c r="G130" s="29"/>
      <c r="H130" s="22"/>
      <c r="I130" s="30" t="n">
        <f aca="false">IF(COUNT(D130:G130)=0,0,PRODUCT(D130:G130))</f>
        <v>0</v>
      </c>
      <c r="J130" s="30" t="n">
        <f aca="false">I130*IF(H130="",1,H130)</f>
        <v>0</v>
      </c>
      <c r="K130" s="21"/>
    </row>
    <row r="131" customFormat="false" ht="15" hidden="false" customHeight="false" outlineLevel="0" collapsed="false">
      <c r="A131" s="21"/>
      <c r="B131" s="21"/>
      <c r="C131" s="21"/>
      <c r="D131" s="29"/>
      <c r="E131" s="29"/>
      <c r="F131" s="29"/>
      <c r="G131" s="29"/>
      <c r="H131" s="22"/>
      <c r="I131" s="30" t="n">
        <f aca="false">IF(COUNT(D131:G131)=0,0,PRODUCT(D131:G131))</f>
        <v>0</v>
      </c>
      <c r="J131" s="30" t="n">
        <f aca="false">I131*IF(H131="",1,H131)</f>
        <v>0</v>
      </c>
      <c r="K131" s="21"/>
    </row>
    <row r="132" customFormat="false" ht="15" hidden="false" customHeight="false" outlineLevel="0" collapsed="false">
      <c r="A132" s="21"/>
      <c r="B132" s="21"/>
      <c r="C132" s="21"/>
      <c r="D132" s="29"/>
      <c r="E132" s="29"/>
      <c r="F132" s="29"/>
      <c r="G132" s="29"/>
      <c r="H132" s="22"/>
      <c r="I132" s="30" t="n">
        <f aca="false">IF(COUNT(D132:G132)=0,0,PRODUCT(D132:G132))</f>
        <v>0</v>
      </c>
      <c r="J132" s="30" t="n">
        <f aca="false">I132*IF(H132="",1,H132)</f>
        <v>0</v>
      </c>
      <c r="K132" s="21"/>
    </row>
    <row r="133" customFormat="false" ht="15" hidden="false" customHeight="false" outlineLevel="0" collapsed="false">
      <c r="A133" s="21"/>
      <c r="B133" s="21"/>
      <c r="C133" s="21"/>
      <c r="D133" s="29"/>
      <c r="E133" s="29"/>
      <c r="F133" s="29"/>
      <c r="G133" s="29"/>
      <c r="H133" s="22"/>
      <c r="I133" s="30" t="n">
        <f aca="false">IF(COUNT(D133:G133)=0,0,PRODUCT(D133:G133))</f>
        <v>0</v>
      </c>
      <c r="J133" s="30" t="n">
        <f aca="false">I133*IF(H133="",1,H133)</f>
        <v>0</v>
      </c>
      <c r="K133" s="21"/>
    </row>
    <row r="134" customFormat="false" ht="15" hidden="false" customHeight="false" outlineLevel="0" collapsed="false">
      <c r="A134" s="21"/>
      <c r="B134" s="21"/>
      <c r="C134" s="21"/>
      <c r="D134" s="29"/>
      <c r="E134" s="29"/>
      <c r="F134" s="29"/>
      <c r="G134" s="29"/>
      <c r="H134" s="22"/>
      <c r="I134" s="30" t="n">
        <f aca="false">IF(COUNT(D134:G134)=0,0,PRODUCT(D134:G134))</f>
        <v>0</v>
      </c>
      <c r="J134" s="30" t="n">
        <f aca="false">I134*IF(H134="",1,H134)</f>
        <v>0</v>
      </c>
      <c r="K134" s="21"/>
    </row>
    <row r="135" customFormat="false" ht="15" hidden="false" customHeight="false" outlineLevel="0" collapsed="false">
      <c r="A135" s="21"/>
      <c r="B135" s="21"/>
      <c r="C135" s="21"/>
      <c r="D135" s="29"/>
      <c r="E135" s="29"/>
      <c r="F135" s="29"/>
      <c r="G135" s="29"/>
      <c r="H135" s="22"/>
      <c r="I135" s="30" t="n">
        <f aca="false">IF(COUNT(D135:G135)=0,0,PRODUCT(D135:G135))</f>
        <v>0</v>
      </c>
      <c r="J135" s="30" t="n">
        <f aca="false">I135*IF(H135="",1,H135)</f>
        <v>0</v>
      </c>
      <c r="K135" s="21"/>
    </row>
    <row r="136" customFormat="false" ht="15" hidden="false" customHeight="false" outlineLevel="0" collapsed="false">
      <c r="A136" s="21"/>
      <c r="B136" s="21"/>
      <c r="C136" s="21"/>
      <c r="D136" s="29"/>
      <c r="E136" s="29"/>
      <c r="F136" s="29"/>
      <c r="G136" s="29"/>
      <c r="H136" s="22"/>
      <c r="I136" s="30" t="n">
        <f aca="false">IF(COUNT(D136:G136)=0,0,PRODUCT(D136:G136))</f>
        <v>0</v>
      </c>
      <c r="J136" s="30" t="n">
        <f aca="false">I136*IF(H136="",1,H136)</f>
        <v>0</v>
      </c>
      <c r="K136" s="21"/>
    </row>
    <row r="137" customFormat="false" ht="15" hidden="false" customHeight="false" outlineLevel="0" collapsed="false">
      <c r="A137" s="21"/>
      <c r="B137" s="21"/>
      <c r="C137" s="21"/>
      <c r="D137" s="29"/>
      <c r="E137" s="29"/>
      <c r="F137" s="29"/>
      <c r="G137" s="29"/>
      <c r="H137" s="22"/>
      <c r="I137" s="30" t="n">
        <f aca="false">IF(COUNT(D137:G137)=0,0,PRODUCT(D137:G137))</f>
        <v>0</v>
      </c>
      <c r="J137" s="30" t="n">
        <f aca="false">I137*IF(H137="",1,H137)</f>
        <v>0</v>
      </c>
      <c r="K137" s="21"/>
    </row>
    <row r="138" customFormat="false" ht="15" hidden="false" customHeight="false" outlineLevel="0" collapsed="false">
      <c r="A138" s="21"/>
      <c r="B138" s="21"/>
      <c r="C138" s="21"/>
      <c r="D138" s="29"/>
      <c r="E138" s="29"/>
      <c r="F138" s="29"/>
      <c r="G138" s="29"/>
      <c r="H138" s="22"/>
      <c r="I138" s="30" t="n">
        <f aca="false">IF(COUNT(D138:G138)=0,0,PRODUCT(D138:G138))</f>
        <v>0</v>
      </c>
      <c r="J138" s="30" t="n">
        <f aca="false">I138*IF(H138="",1,H138)</f>
        <v>0</v>
      </c>
      <c r="K138" s="21"/>
    </row>
    <row r="139" customFormat="false" ht="15" hidden="false" customHeight="false" outlineLevel="0" collapsed="false">
      <c r="A139" s="21"/>
      <c r="B139" s="21"/>
      <c r="C139" s="21"/>
      <c r="D139" s="29"/>
      <c r="E139" s="29"/>
      <c r="F139" s="29"/>
      <c r="G139" s="29"/>
      <c r="H139" s="22"/>
      <c r="I139" s="30" t="n">
        <f aca="false">IF(COUNT(D139:G139)=0,0,PRODUCT(D139:G139))</f>
        <v>0</v>
      </c>
      <c r="J139" s="30" t="n">
        <f aca="false">I139*IF(H139="",1,H139)</f>
        <v>0</v>
      </c>
      <c r="K139" s="21"/>
    </row>
    <row r="140" customFormat="false" ht="15" hidden="false" customHeight="false" outlineLevel="0" collapsed="false">
      <c r="A140" s="21"/>
      <c r="B140" s="21"/>
      <c r="C140" s="21"/>
      <c r="D140" s="29"/>
      <c r="E140" s="29"/>
      <c r="F140" s="29"/>
      <c r="G140" s="29"/>
      <c r="H140" s="22"/>
      <c r="I140" s="30" t="n">
        <f aca="false">IF(COUNT(D140:G140)=0,0,PRODUCT(D140:G140))</f>
        <v>0</v>
      </c>
      <c r="J140" s="30" t="n">
        <f aca="false">I140*IF(H140="",1,H140)</f>
        <v>0</v>
      </c>
      <c r="K140" s="21"/>
    </row>
    <row r="141" customFormat="false" ht="15" hidden="false" customHeight="false" outlineLevel="0" collapsed="false">
      <c r="A141" s="21"/>
      <c r="B141" s="21"/>
      <c r="C141" s="21"/>
      <c r="D141" s="29"/>
      <c r="E141" s="29"/>
      <c r="F141" s="29"/>
      <c r="G141" s="29"/>
      <c r="H141" s="22"/>
      <c r="I141" s="30" t="n">
        <f aca="false">IF(COUNT(D141:G141)=0,0,PRODUCT(D141:G141))</f>
        <v>0</v>
      </c>
      <c r="J141" s="30" t="n">
        <f aca="false">I141*IF(H141="",1,H141)</f>
        <v>0</v>
      </c>
      <c r="K141" s="21"/>
    </row>
    <row r="142" customFormat="false" ht="15" hidden="false" customHeight="false" outlineLevel="0" collapsed="false">
      <c r="A142" s="21"/>
      <c r="B142" s="21"/>
      <c r="C142" s="21"/>
      <c r="D142" s="29"/>
      <c r="E142" s="29"/>
      <c r="F142" s="29"/>
      <c r="G142" s="29"/>
      <c r="H142" s="22"/>
      <c r="I142" s="30" t="n">
        <f aca="false">IF(COUNT(D142:G142)=0,0,PRODUCT(D142:G142))</f>
        <v>0</v>
      </c>
      <c r="J142" s="30" t="n">
        <f aca="false">I142*IF(H142="",1,H142)</f>
        <v>0</v>
      </c>
      <c r="K142" s="21"/>
    </row>
    <row r="143" customFormat="false" ht="15" hidden="false" customHeight="false" outlineLevel="0" collapsed="false">
      <c r="A143" s="21"/>
      <c r="B143" s="21"/>
      <c r="C143" s="21"/>
      <c r="D143" s="29"/>
      <c r="E143" s="29"/>
      <c r="F143" s="29"/>
      <c r="G143" s="29"/>
      <c r="H143" s="22"/>
      <c r="I143" s="30" t="n">
        <f aca="false">IF(COUNT(D143:G143)=0,0,PRODUCT(D143:G143))</f>
        <v>0</v>
      </c>
      <c r="J143" s="30" t="n">
        <f aca="false">I143*IF(H143="",1,H143)</f>
        <v>0</v>
      </c>
      <c r="K143" s="21"/>
    </row>
    <row r="144" customFormat="false" ht="15" hidden="false" customHeight="false" outlineLevel="0" collapsed="false">
      <c r="A144" s="21"/>
      <c r="B144" s="21"/>
      <c r="C144" s="21"/>
      <c r="D144" s="29"/>
      <c r="E144" s="29"/>
      <c r="F144" s="29"/>
      <c r="G144" s="29"/>
      <c r="H144" s="22"/>
      <c r="I144" s="30" t="n">
        <f aca="false">IF(COUNT(D144:G144)=0,0,PRODUCT(D144:G144))</f>
        <v>0</v>
      </c>
      <c r="J144" s="30" t="n">
        <f aca="false">I144*IF(H144="",1,H144)</f>
        <v>0</v>
      </c>
      <c r="K144" s="21"/>
    </row>
    <row r="145" customFormat="false" ht="15" hidden="false" customHeight="false" outlineLevel="0" collapsed="false">
      <c r="A145" s="21"/>
      <c r="B145" s="21"/>
      <c r="C145" s="21"/>
      <c r="D145" s="29"/>
      <c r="E145" s="29"/>
      <c r="F145" s="29"/>
      <c r="G145" s="29"/>
      <c r="H145" s="22"/>
      <c r="I145" s="30" t="n">
        <f aca="false">IF(COUNT(D145:G145)=0,0,PRODUCT(D145:G145))</f>
        <v>0</v>
      </c>
      <c r="J145" s="30" t="n">
        <f aca="false">I145*IF(H145="",1,H145)</f>
        <v>0</v>
      </c>
      <c r="K145" s="21"/>
    </row>
    <row r="146" customFormat="false" ht="15" hidden="false" customHeight="false" outlineLevel="0" collapsed="false">
      <c r="A146" s="21"/>
      <c r="B146" s="21"/>
      <c r="C146" s="21"/>
      <c r="D146" s="29"/>
      <c r="E146" s="29"/>
      <c r="F146" s="29"/>
      <c r="G146" s="29"/>
      <c r="H146" s="22"/>
      <c r="I146" s="30" t="n">
        <f aca="false">IF(COUNT(D146:G146)=0,0,PRODUCT(D146:G146))</f>
        <v>0</v>
      </c>
      <c r="J146" s="30" t="n">
        <f aca="false">I146*IF(H146="",1,H146)</f>
        <v>0</v>
      </c>
      <c r="K146" s="21"/>
    </row>
    <row r="147" customFormat="false" ht="15" hidden="false" customHeight="false" outlineLevel="0" collapsed="false">
      <c r="A147" s="21"/>
      <c r="B147" s="21"/>
      <c r="C147" s="21"/>
      <c r="D147" s="29"/>
      <c r="E147" s="29"/>
      <c r="F147" s="29"/>
      <c r="G147" s="29"/>
      <c r="H147" s="22"/>
      <c r="I147" s="30" t="n">
        <f aca="false">IF(COUNT(D147:G147)=0,0,PRODUCT(D147:G147))</f>
        <v>0</v>
      </c>
      <c r="J147" s="30" t="n">
        <f aca="false">I147*IF(H147="",1,H147)</f>
        <v>0</v>
      </c>
      <c r="K147" s="21"/>
    </row>
    <row r="148" customFormat="false" ht="15" hidden="false" customHeight="false" outlineLevel="0" collapsed="false">
      <c r="A148" s="21"/>
      <c r="B148" s="21"/>
      <c r="C148" s="21"/>
      <c r="D148" s="29"/>
      <c r="E148" s="29"/>
      <c r="F148" s="29"/>
      <c r="G148" s="29"/>
      <c r="H148" s="22"/>
      <c r="I148" s="30" t="n">
        <f aca="false">IF(COUNT(D148:G148)=0,0,PRODUCT(D148:G148))</f>
        <v>0</v>
      </c>
      <c r="J148" s="30" t="n">
        <f aca="false">I148*IF(H148="",1,H148)</f>
        <v>0</v>
      </c>
      <c r="K148" s="21"/>
    </row>
    <row r="149" customFormat="false" ht="15" hidden="false" customHeight="false" outlineLevel="0" collapsed="false">
      <c r="A149" s="21"/>
      <c r="B149" s="21"/>
      <c r="C149" s="21"/>
      <c r="D149" s="29"/>
      <c r="E149" s="29"/>
      <c r="F149" s="29"/>
      <c r="G149" s="29"/>
      <c r="H149" s="22"/>
      <c r="I149" s="30" t="n">
        <f aca="false">IF(COUNT(D149:G149)=0,0,PRODUCT(D149:G149))</f>
        <v>0</v>
      </c>
      <c r="J149" s="30" t="n">
        <f aca="false">I149*IF(H149="",1,H149)</f>
        <v>0</v>
      </c>
      <c r="K149" s="21"/>
    </row>
    <row r="150" customFormat="false" ht="15" hidden="false" customHeight="false" outlineLevel="0" collapsed="false">
      <c r="A150" s="21"/>
      <c r="B150" s="21"/>
      <c r="C150" s="21"/>
      <c r="D150" s="29"/>
      <c r="E150" s="29"/>
      <c r="F150" s="29"/>
      <c r="G150" s="29"/>
      <c r="H150" s="22"/>
      <c r="I150" s="30" t="n">
        <f aca="false">IF(COUNT(D150:G150)=0,0,PRODUCT(D150:G150))</f>
        <v>0</v>
      </c>
      <c r="J150" s="30" t="n">
        <f aca="false">I150*IF(H150="",1,H150)</f>
        <v>0</v>
      </c>
      <c r="K150" s="21"/>
    </row>
    <row r="151" customFormat="false" ht="15" hidden="false" customHeight="false" outlineLevel="0" collapsed="false">
      <c r="A151" s="21"/>
      <c r="B151" s="21"/>
      <c r="C151" s="21"/>
      <c r="D151" s="29"/>
      <c r="E151" s="29"/>
      <c r="F151" s="29"/>
      <c r="G151" s="29"/>
      <c r="H151" s="22"/>
      <c r="I151" s="30" t="n">
        <f aca="false">IF(COUNT(D151:G151)=0,0,PRODUCT(D151:G151))</f>
        <v>0</v>
      </c>
      <c r="J151" s="30" t="n">
        <f aca="false">I151*IF(H151="",1,H151)</f>
        <v>0</v>
      </c>
      <c r="K151" s="21"/>
    </row>
    <row r="152" customFormat="false" ht="15" hidden="false" customHeight="false" outlineLevel="0" collapsed="false">
      <c r="A152" s="21"/>
      <c r="B152" s="21"/>
      <c r="C152" s="21"/>
      <c r="D152" s="29"/>
      <c r="E152" s="29"/>
      <c r="F152" s="29"/>
      <c r="G152" s="29"/>
      <c r="H152" s="22"/>
      <c r="I152" s="30" t="n">
        <f aca="false">IF(COUNT(D152:G152)=0,0,PRODUCT(D152:G152))</f>
        <v>0</v>
      </c>
      <c r="J152" s="30" t="n">
        <f aca="false">I152*IF(H152="",1,H152)</f>
        <v>0</v>
      </c>
      <c r="K152" s="21"/>
    </row>
    <row r="153" customFormat="false" ht="15" hidden="false" customHeight="false" outlineLevel="0" collapsed="false">
      <c r="A153" s="21"/>
      <c r="B153" s="21"/>
      <c r="C153" s="21"/>
      <c r="D153" s="29"/>
      <c r="E153" s="29"/>
      <c r="F153" s="29"/>
      <c r="G153" s="29"/>
      <c r="H153" s="22"/>
      <c r="I153" s="30" t="n">
        <f aca="false">IF(COUNT(D153:G153)=0,0,PRODUCT(D153:G153))</f>
        <v>0</v>
      </c>
      <c r="J153" s="30" t="n">
        <f aca="false">I153*IF(H153="",1,H153)</f>
        <v>0</v>
      </c>
      <c r="K153" s="21"/>
    </row>
    <row r="154" customFormat="false" ht="15" hidden="false" customHeight="false" outlineLevel="0" collapsed="false">
      <c r="A154" s="21"/>
      <c r="B154" s="21"/>
      <c r="C154" s="21"/>
      <c r="D154" s="29"/>
      <c r="E154" s="29"/>
      <c r="F154" s="29"/>
      <c r="G154" s="29"/>
      <c r="H154" s="22"/>
      <c r="I154" s="30" t="n">
        <f aca="false">IF(COUNT(D154:G154)=0,0,PRODUCT(D154:G154))</f>
        <v>0</v>
      </c>
      <c r="J154" s="30" t="n">
        <f aca="false">I154*IF(H154="",1,H154)</f>
        <v>0</v>
      </c>
      <c r="K154" s="21"/>
    </row>
    <row r="155" customFormat="false" ht="15" hidden="false" customHeight="false" outlineLevel="0" collapsed="false">
      <c r="A155" s="21"/>
      <c r="B155" s="21"/>
      <c r="C155" s="21"/>
      <c r="D155" s="29"/>
      <c r="E155" s="29"/>
      <c r="F155" s="29"/>
      <c r="G155" s="29"/>
      <c r="H155" s="22"/>
      <c r="I155" s="30" t="n">
        <f aca="false">IF(COUNT(D155:G155)=0,0,PRODUCT(D155:G155))</f>
        <v>0</v>
      </c>
      <c r="J155" s="30" t="n">
        <f aca="false">I155*IF(H155="",1,H155)</f>
        <v>0</v>
      </c>
      <c r="K155" s="21"/>
    </row>
    <row r="156" customFormat="false" ht="15" hidden="false" customHeight="false" outlineLevel="0" collapsed="false">
      <c r="A156" s="21"/>
      <c r="B156" s="21"/>
      <c r="C156" s="21"/>
      <c r="D156" s="29"/>
      <c r="E156" s="29"/>
      <c r="F156" s="29"/>
      <c r="G156" s="29"/>
      <c r="H156" s="22"/>
      <c r="I156" s="30" t="n">
        <f aca="false">IF(COUNT(D156:G156)=0,0,PRODUCT(D156:G156))</f>
        <v>0</v>
      </c>
      <c r="J156" s="30" t="n">
        <f aca="false">I156*IF(H156="",1,H156)</f>
        <v>0</v>
      </c>
      <c r="K156" s="21"/>
    </row>
    <row r="157" customFormat="false" ht="15" hidden="false" customHeight="false" outlineLevel="0" collapsed="false">
      <c r="A157" s="21"/>
      <c r="B157" s="21"/>
      <c r="C157" s="21"/>
      <c r="D157" s="29"/>
      <c r="E157" s="29"/>
      <c r="F157" s="29"/>
      <c r="G157" s="29"/>
      <c r="H157" s="22"/>
      <c r="I157" s="30" t="n">
        <f aca="false">IF(COUNT(D157:G157)=0,0,PRODUCT(D157:G157))</f>
        <v>0</v>
      </c>
      <c r="J157" s="30" t="n">
        <f aca="false">I157*IF(H157="",1,H157)</f>
        <v>0</v>
      </c>
      <c r="K157" s="21"/>
    </row>
    <row r="158" customFormat="false" ht="15" hidden="false" customHeight="false" outlineLevel="0" collapsed="false">
      <c r="A158" s="21"/>
      <c r="B158" s="21"/>
      <c r="C158" s="21"/>
      <c r="D158" s="29"/>
      <c r="E158" s="29"/>
      <c r="F158" s="29"/>
      <c r="G158" s="29"/>
      <c r="H158" s="22"/>
      <c r="I158" s="30" t="n">
        <f aca="false">IF(COUNT(D158:G158)=0,0,PRODUCT(D158:G158))</f>
        <v>0</v>
      </c>
      <c r="J158" s="30" t="n">
        <f aca="false">I158*IF(H158="",1,H158)</f>
        <v>0</v>
      </c>
      <c r="K158" s="21"/>
    </row>
    <row r="159" customFormat="false" ht="15" hidden="false" customHeight="false" outlineLevel="0" collapsed="false">
      <c r="A159" s="21"/>
      <c r="B159" s="21"/>
      <c r="C159" s="21"/>
      <c r="D159" s="29"/>
      <c r="E159" s="29"/>
      <c r="F159" s="29"/>
      <c r="G159" s="29"/>
      <c r="H159" s="22"/>
      <c r="I159" s="30" t="n">
        <f aca="false">IF(COUNT(D159:G159)=0,0,PRODUCT(D159:G159))</f>
        <v>0</v>
      </c>
      <c r="J159" s="30" t="n">
        <f aca="false">I159*IF(H159="",1,H159)</f>
        <v>0</v>
      </c>
      <c r="K159" s="21"/>
    </row>
    <row r="160" customFormat="false" ht="15" hidden="false" customHeight="false" outlineLevel="0" collapsed="false">
      <c r="A160" s="21"/>
      <c r="B160" s="21"/>
      <c r="C160" s="21"/>
      <c r="D160" s="29"/>
      <c r="E160" s="29"/>
      <c r="F160" s="29"/>
      <c r="G160" s="29"/>
      <c r="H160" s="22"/>
      <c r="I160" s="30" t="n">
        <f aca="false">IF(COUNT(D160:G160)=0,0,PRODUCT(D160:G160))</f>
        <v>0</v>
      </c>
      <c r="J160" s="30" t="n">
        <f aca="false">I160*IF(H160="",1,H160)</f>
        <v>0</v>
      </c>
      <c r="K160" s="21"/>
    </row>
    <row r="161" customFormat="false" ht="15" hidden="false" customHeight="false" outlineLevel="0" collapsed="false">
      <c r="A161" s="21"/>
      <c r="B161" s="21"/>
      <c r="C161" s="21"/>
      <c r="D161" s="29"/>
      <c r="E161" s="29"/>
      <c r="F161" s="29"/>
      <c r="G161" s="29"/>
      <c r="H161" s="22"/>
      <c r="I161" s="30" t="n">
        <f aca="false">IF(COUNT(D161:G161)=0,0,PRODUCT(D161:G161))</f>
        <v>0</v>
      </c>
      <c r="J161" s="30" t="n">
        <f aca="false">I161*IF(H161="",1,H161)</f>
        <v>0</v>
      </c>
      <c r="K161" s="21"/>
    </row>
    <row r="162" customFormat="false" ht="15" hidden="false" customHeight="false" outlineLevel="0" collapsed="false">
      <c r="A162" s="21"/>
      <c r="B162" s="21"/>
      <c r="C162" s="21"/>
      <c r="D162" s="29"/>
      <c r="E162" s="29"/>
      <c r="F162" s="29"/>
      <c r="G162" s="29"/>
      <c r="H162" s="22"/>
      <c r="I162" s="30" t="n">
        <f aca="false">IF(COUNT(D162:G162)=0,0,PRODUCT(D162:G162))</f>
        <v>0</v>
      </c>
      <c r="J162" s="30" t="n">
        <f aca="false">I162*IF(H162="",1,H162)</f>
        <v>0</v>
      </c>
      <c r="K162" s="21"/>
    </row>
    <row r="163" customFormat="false" ht="15" hidden="false" customHeight="false" outlineLevel="0" collapsed="false">
      <c r="A163" s="21"/>
      <c r="B163" s="21"/>
      <c r="C163" s="21"/>
      <c r="D163" s="29"/>
      <c r="E163" s="29"/>
      <c r="F163" s="29"/>
      <c r="G163" s="29"/>
      <c r="H163" s="22"/>
      <c r="I163" s="30" t="n">
        <f aca="false">IF(COUNT(D163:G163)=0,0,PRODUCT(D163:G163))</f>
        <v>0</v>
      </c>
      <c r="J163" s="30" t="n">
        <f aca="false">I163*IF(H163="",1,H163)</f>
        <v>0</v>
      </c>
      <c r="K163" s="21"/>
    </row>
    <row r="164" customFormat="false" ht="15" hidden="false" customHeight="false" outlineLevel="0" collapsed="false">
      <c r="A164" s="21"/>
      <c r="B164" s="21"/>
      <c r="C164" s="21"/>
      <c r="D164" s="29"/>
      <c r="E164" s="29"/>
      <c r="F164" s="29"/>
      <c r="G164" s="29"/>
      <c r="H164" s="22"/>
      <c r="I164" s="30" t="n">
        <f aca="false">IF(COUNT(D164:G164)=0,0,PRODUCT(D164:G164))</f>
        <v>0</v>
      </c>
      <c r="J164" s="30" t="n">
        <f aca="false">I164*IF(H164="",1,H164)</f>
        <v>0</v>
      </c>
      <c r="K164" s="21"/>
    </row>
    <row r="165" customFormat="false" ht="15" hidden="false" customHeight="false" outlineLevel="0" collapsed="false">
      <c r="A165" s="21"/>
      <c r="B165" s="21"/>
      <c r="C165" s="21"/>
      <c r="D165" s="29"/>
      <c r="E165" s="29"/>
      <c r="F165" s="29"/>
      <c r="G165" s="29"/>
      <c r="H165" s="22"/>
      <c r="I165" s="30" t="n">
        <f aca="false">IF(COUNT(D165:G165)=0,0,PRODUCT(D165:G165))</f>
        <v>0</v>
      </c>
      <c r="J165" s="30" t="n">
        <f aca="false">I165*IF(H165="",1,H165)</f>
        <v>0</v>
      </c>
      <c r="K165" s="21"/>
    </row>
    <row r="166" customFormat="false" ht="15" hidden="false" customHeight="false" outlineLevel="0" collapsed="false">
      <c r="A166" s="21"/>
      <c r="B166" s="21"/>
      <c r="C166" s="21"/>
      <c r="D166" s="29"/>
      <c r="E166" s="29"/>
      <c r="F166" s="29"/>
      <c r="G166" s="29"/>
      <c r="H166" s="22"/>
      <c r="I166" s="30" t="n">
        <f aca="false">IF(COUNT(D166:G166)=0,0,PRODUCT(D166:G166))</f>
        <v>0</v>
      </c>
      <c r="J166" s="30" t="n">
        <f aca="false">I166*IF(H166="",1,H166)</f>
        <v>0</v>
      </c>
      <c r="K166" s="21"/>
    </row>
    <row r="167" customFormat="false" ht="15" hidden="false" customHeight="false" outlineLevel="0" collapsed="false">
      <c r="A167" s="21"/>
      <c r="B167" s="21"/>
      <c r="C167" s="21"/>
      <c r="D167" s="29"/>
      <c r="E167" s="29"/>
      <c r="F167" s="29"/>
      <c r="G167" s="29"/>
      <c r="H167" s="22"/>
      <c r="I167" s="30" t="n">
        <f aca="false">IF(COUNT(D167:G167)=0,0,PRODUCT(D167:G167))</f>
        <v>0</v>
      </c>
      <c r="J167" s="30" t="n">
        <f aca="false">I167*IF(H167="",1,H167)</f>
        <v>0</v>
      </c>
      <c r="K167" s="21"/>
    </row>
    <row r="168" customFormat="false" ht="15" hidden="false" customHeight="false" outlineLevel="0" collapsed="false">
      <c r="A168" s="21"/>
      <c r="B168" s="21"/>
      <c r="C168" s="21"/>
      <c r="D168" s="29"/>
      <c r="E168" s="29"/>
      <c r="F168" s="29"/>
      <c r="G168" s="29"/>
      <c r="H168" s="22"/>
      <c r="I168" s="30" t="n">
        <f aca="false">IF(COUNT(D168:G168)=0,0,PRODUCT(D168:G168))</f>
        <v>0</v>
      </c>
      <c r="J168" s="30" t="n">
        <f aca="false">I168*IF(H168="",1,H168)</f>
        <v>0</v>
      </c>
      <c r="K168" s="21"/>
    </row>
    <row r="169" customFormat="false" ht="15" hidden="false" customHeight="false" outlineLevel="0" collapsed="false">
      <c r="A169" s="21"/>
      <c r="B169" s="21"/>
      <c r="C169" s="21"/>
      <c r="D169" s="29"/>
      <c r="E169" s="29"/>
      <c r="F169" s="29"/>
      <c r="G169" s="29"/>
      <c r="H169" s="22"/>
      <c r="I169" s="30" t="n">
        <f aca="false">IF(COUNT(D169:G169)=0,0,PRODUCT(D169:G169))</f>
        <v>0</v>
      </c>
      <c r="J169" s="30" t="n">
        <f aca="false">I169*IF(H169="",1,H169)</f>
        <v>0</v>
      </c>
      <c r="K169" s="21"/>
    </row>
    <row r="170" customFormat="false" ht="15" hidden="false" customHeight="false" outlineLevel="0" collapsed="false">
      <c r="A170" s="21"/>
      <c r="B170" s="21"/>
      <c r="C170" s="21"/>
      <c r="D170" s="29"/>
      <c r="E170" s="29"/>
      <c r="F170" s="29"/>
      <c r="G170" s="29"/>
      <c r="H170" s="22"/>
      <c r="I170" s="30" t="n">
        <f aca="false">IF(COUNT(D170:G170)=0,0,PRODUCT(D170:G170))</f>
        <v>0</v>
      </c>
      <c r="J170" s="30" t="n">
        <f aca="false">I170*IF(H170="",1,H170)</f>
        <v>0</v>
      </c>
      <c r="K170" s="21"/>
    </row>
    <row r="171" customFormat="false" ht="15" hidden="false" customHeight="false" outlineLevel="0" collapsed="false">
      <c r="A171" s="21"/>
      <c r="B171" s="21"/>
      <c r="C171" s="21"/>
      <c r="D171" s="29"/>
      <c r="E171" s="29"/>
      <c r="F171" s="29"/>
      <c r="G171" s="29"/>
      <c r="H171" s="22"/>
      <c r="I171" s="30" t="n">
        <f aca="false">IF(COUNT(D171:G171)=0,0,PRODUCT(D171:G171))</f>
        <v>0</v>
      </c>
      <c r="J171" s="30" t="n">
        <f aca="false">I171*IF(H171="",1,H171)</f>
        <v>0</v>
      </c>
      <c r="K171" s="21"/>
    </row>
    <row r="172" customFormat="false" ht="15" hidden="false" customHeight="false" outlineLevel="0" collapsed="false">
      <c r="A172" s="21"/>
      <c r="B172" s="21"/>
      <c r="C172" s="21"/>
      <c r="D172" s="29"/>
      <c r="E172" s="29"/>
      <c r="F172" s="29"/>
      <c r="G172" s="29"/>
      <c r="H172" s="22"/>
      <c r="I172" s="30" t="n">
        <f aca="false">IF(COUNT(D172:G172)=0,0,PRODUCT(D172:G172))</f>
        <v>0</v>
      </c>
      <c r="J172" s="30" t="n">
        <f aca="false">I172*IF(H172="",1,H172)</f>
        <v>0</v>
      </c>
      <c r="K172" s="21"/>
    </row>
    <row r="173" customFormat="false" ht="15" hidden="false" customHeight="false" outlineLevel="0" collapsed="false">
      <c r="A173" s="21"/>
      <c r="B173" s="21"/>
      <c r="C173" s="21"/>
      <c r="D173" s="29"/>
      <c r="E173" s="29"/>
      <c r="F173" s="29"/>
      <c r="G173" s="29"/>
      <c r="H173" s="22"/>
      <c r="I173" s="30" t="n">
        <f aca="false">IF(COUNT(D173:G173)=0,0,PRODUCT(D173:G173))</f>
        <v>0</v>
      </c>
      <c r="J173" s="30" t="n">
        <f aca="false">I173*IF(H173="",1,H173)</f>
        <v>0</v>
      </c>
      <c r="K173" s="21"/>
    </row>
    <row r="174" customFormat="false" ht="15" hidden="false" customHeight="false" outlineLevel="0" collapsed="false">
      <c r="A174" s="21"/>
      <c r="B174" s="21"/>
      <c r="C174" s="21"/>
      <c r="D174" s="29"/>
      <c r="E174" s="29"/>
      <c r="F174" s="29"/>
      <c r="G174" s="29"/>
      <c r="H174" s="22"/>
      <c r="I174" s="30" t="n">
        <f aca="false">IF(COUNT(D174:G174)=0,0,PRODUCT(D174:G174))</f>
        <v>0</v>
      </c>
      <c r="J174" s="30" t="n">
        <f aca="false">I174*IF(H174="",1,H174)</f>
        <v>0</v>
      </c>
      <c r="K174" s="21"/>
    </row>
    <row r="175" customFormat="false" ht="15" hidden="false" customHeight="false" outlineLevel="0" collapsed="false">
      <c r="A175" s="21"/>
      <c r="B175" s="21"/>
      <c r="C175" s="21"/>
      <c r="D175" s="29"/>
      <c r="E175" s="29"/>
      <c r="F175" s="29"/>
      <c r="G175" s="29"/>
      <c r="H175" s="22"/>
      <c r="I175" s="30" t="n">
        <f aca="false">IF(COUNT(D175:G175)=0,0,PRODUCT(D175:G175))</f>
        <v>0</v>
      </c>
      <c r="J175" s="30" t="n">
        <f aca="false">I175*IF(H175="",1,H175)</f>
        <v>0</v>
      </c>
      <c r="K175" s="21"/>
    </row>
    <row r="176" customFormat="false" ht="15" hidden="false" customHeight="false" outlineLevel="0" collapsed="false">
      <c r="A176" s="21"/>
      <c r="B176" s="21"/>
      <c r="C176" s="21"/>
      <c r="D176" s="29"/>
      <c r="E176" s="29"/>
      <c r="F176" s="29"/>
      <c r="G176" s="29"/>
      <c r="H176" s="22"/>
      <c r="I176" s="30" t="n">
        <f aca="false">IF(COUNT(D176:G176)=0,0,PRODUCT(D176:G176))</f>
        <v>0</v>
      </c>
      <c r="J176" s="30" t="n">
        <f aca="false">I176*IF(H176="",1,H176)</f>
        <v>0</v>
      </c>
      <c r="K176" s="21"/>
    </row>
    <row r="177" customFormat="false" ht="15" hidden="false" customHeight="false" outlineLevel="0" collapsed="false">
      <c r="A177" s="21"/>
      <c r="B177" s="21"/>
      <c r="C177" s="21"/>
      <c r="D177" s="29"/>
      <c r="E177" s="29"/>
      <c r="F177" s="29"/>
      <c r="G177" s="29"/>
      <c r="H177" s="22"/>
      <c r="I177" s="30" t="n">
        <f aca="false">IF(COUNT(D177:G177)=0,0,PRODUCT(D177:G177))</f>
        <v>0</v>
      </c>
      <c r="J177" s="30" t="n">
        <f aca="false">I177*IF(H177="",1,H177)</f>
        <v>0</v>
      </c>
      <c r="K177" s="21"/>
    </row>
    <row r="178" customFormat="false" ht="15" hidden="false" customHeight="false" outlineLevel="0" collapsed="false">
      <c r="A178" s="21"/>
      <c r="B178" s="21"/>
      <c r="C178" s="21"/>
      <c r="D178" s="29"/>
      <c r="E178" s="29"/>
      <c r="F178" s="29"/>
      <c r="G178" s="29"/>
      <c r="H178" s="22"/>
      <c r="I178" s="30" t="n">
        <f aca="false">IF(COUNT(D178:G178)=0,0,PRODUCT(D178:G178))</f>
        <v>0</v>
      </c>
      <c r="J178" s="30" t="n">
        <f aca="false">I178*IF(H178="",1,H178)</f>
        <v>0</v>
      </c>
      <c r="K178" s="21"/>
    </row>
    <row r="179" customFormat="false" ht="15" hidden="false" customHeight="false" outlineLevel="0" collapsed="false">
      <c r="A179" s="21"/>
      <c r="B179" s="21"/>
      <c r="C179" s="21"/>
      <c r="D179" s="29"/>
      <c r="E179" s="29"/>
      <c r="F179" s="29"/>
      <c r="G179" s="29"/>
      <c r="H179" s="22"/>
      <c r="I179" s="30" t="n">
        <f aca="false">IF(COUNT(D179:G179)=0,0,PRODUCT(D179:G179))</f>
        <v>0</v>
      </c>
      <c r="J179" s="30" t="n">
        <f aca="false">I179*IF(H179="",1,H179)</f>
        <v>0</v>
      </c>
      <c r="K179" s="21"/>
    </row>
    <row r="180" customFormat="false" ht="15" hidden="false" customHeight="false" outlineLevel="0" collapsed="false">
      <c r="A180" s="21"/>
      <c r="B180" s="21"/>
      <c r="C180" s="21"/>
      <c r="D180" s="29"/>
      <c r="E180" s="29"/>
      <c r="F180" s="29"/>
      <c r="G180" s="29"/>
      <c r="H180" s="22"/>
      <c r="I180" s="30" t="n">
        <f aca="false">IF(COUNT(D180:G180)=0,0,PRODUCT(D180:G180))</f>
        <v>0</v>
      </c>
      <c r="J180" s="30" t="n">
        <f aca="false">I180*IF(H180="",1,H180)</f>
        <v>0</v>
      </c>
      <c r="K180" s="21"/>
    </row>
    <row r="181" customFormat="false" ht="15" hidden="false" customHeight="false" outlineLevel="0" collapsed="false">
      <c r="A181" s="21"/>
      <c r="B181" s="21"/>
      <c r="C181" s="21"/>
      <c r="D181" s="29"/>
      <c r="E181" s="29"/>
      <c r="F181" s="29"/>
      <c r="G181" s="29"/>
      <c r="H181" s="22"/>
      <c r="I181" s="30" t="n">
        <f aca="false">IF(COUNT(D181:G181)=0,0,PRODUCT(D181:G181))</f>
        <v>0</v>
      </c>
      <c r="J181" s="30" t="n">
        <f aca="false">I181*IF(H181="",1,H181)</f>
        <v>0</v>
      </c>
      <c r="K181" s="21"/>
    </row>
    <row r="182" customFormat="false" ht="15" hidden="false" customHeight="false" outlineLevel="0" collapsed="false">
      <c r="A182" s="21"/>
      <c r="B182" s="21"/>
      <c r="C182" s="21"/>
      <c r="D182" s="29"/>
      <c r="E182" s="29"/>
      <c r="F182" s="29"/>
      <c r="G182" s="29"/>
      <c r="H182" s="22"/>
      <c r="I182" s="30" t="n">
        <f aca="false">IF(COUNT(D182:G182)=0,0,PRODUCT(D182:G182))</f>
        <v>0</v>
      </c>
      <c r="J182" s="30" t="n">
        <f aca="false">I182*IF(H182="",1,H182)</f>
        <v>0</v>
      </c>
      <c r="K182" s="21"/>
    </row>
    <row r="183" customFormat="false" ht="15" hidden="false" customHeight="false" outlineLevel="0" collapsed="false">
      <c r="A183" s="21"/>
      <c r="B183" s="21"/>
      <c r="C183" s="21"/>
      <c r="D183" s="29"/>
      <c r="E183" s="29"/>
      <c r="F183" s="29"/>
      <c r="G183" s="29"/>
      <c r="H183" s="22"/>
      <c r="I183" s="30" t="n">
        <f aca="false">IF(COUNT(D183:G183)=0,0,PRODUCT(D183:G183))</f>
        <v>0</v>
      </c>
      <c r="J183" s="30" t="n">
        <f aca="false">I183*IF(H183="",1,H183)</f>
        <v>0</v>
      </c>
      <c r="K183" s="21"/>
    </row>
    <row r="184" customFormat="false" ht="15" hidden="false" customHeight="false" outlineLevel="0" collapsed="false">
      <c r="A184" s="21"/>
      <c r="B184" s="21"/>
      <c r="C184" s="21"/>
      <c r="D184" s="29"/>
      <c r="E184" s="29"/>
      <c r="F184" s="29"/>
      <c r="G184" s="29"/>
      <c r="H184" s="22"/>
      <c r="I184" s="30" t="n">
        <f aca="false">IF(COUNT(D184:G184)=0,0,PRODUCT(D184:G184))</f>
        <v>0</v>
      </c>
      <c r="J184" s="30" t="n">
        <f aca="false">I184*IF(H184="",1,H184)</f>
        <v>0</v>
      </c>
      <c r="K184" s="21"/>
    </row>
    <row r="185" customFormat="false" ht="15" hidden="false" customHeight="false" outlineLevel="0" collapsed="false">
      <c r="A185" s="21"/>
      <c r="B185" s="21"/>
      <c r="C185" s="21"/>
      <c r="D185" s="29"/>
      <c r="E185" s="29"/>
      <c r="F185" s="29"/>
      <c r="G185" s="29"/>
      <c r="H185" s="22"/>
      <c r="I185" s="30" t="n">
        <f aca="false">IF(COUNT(D185:G185)=0,0,PRODUCT(D185:G185))</f>
        <v>0</v>
      </c>
      <c r="J185" s="30" t="n">
        <f aca="false">I185*IF(H185="",1,H185)</f>
        <v>0</v>
      </c>
      <c r="K185" s="21"/>
    </row>
    <row r="186" customFormat="false" ht="15" hidden="false" customHeight="false" outlineLevel="0" collapsed="false">
      <c r="A186" s="21"/>
      <c r="B186" s="21"/>
      <c r="C186" s="21"/>
      <c r="D186" s="29"/>
      <c r="E186" s="29"/>
      <c r="F186" s="29"/>
      <c r="G186" s="29"/>
      <c r="H186" s="22"/>
      <c r="I186" s="30" t="n">
        <f aca="false">IF(COUNT(D186:G186)=0,0,PRODUCT(D186:G186))</f>
        <v>0</v>
      </c>
      <c r="J186" s="30" t="n">
        <f aca="false">I186*IF(H186="",1,H186)</f>
        <v>0</v>
      </c>
      <c r="K186" s="21"/>
    </row>
    <row r="187" customFormat="false" ht="15" hidden="false" customHeight="false" outlineLevel="0" collapsed="false">
      <c r="A187" s="21"/>
      <c r="B187" s="21"/>
      <c r="C187" s="21"/>
      <c r="D187" s="29"/>
      <c r="E187" s="29"/>
      <c r="F187" s="29"/>
      <c r="G187" s="29"/>
      <c r="H187" s="22"/>
      <c r="I187" s="30" t="n">
        <f aca="false">IF(COUNT(D187:G187)=0,0,PRODUCT(D187:G187))</f>
        <v>0</v>
      </c>
      <c r="J187" s="30" t="n">
        <f aca="false">I187*IF(H187="",1,H187)</f>
        <v>0</v>
      </c>
      <c r="K187" s="21"/>
    </row>
    <row r="188" customFormat="false" ht="15" hidden="false" customHeight="false" outlineLevel="0" collapsed="false">
      <c r="A188" s="21"/>
      <c r="B188" s="21"/>
      <c r="C188" s="21"/>
      <c r="D188" s="29"/>
      <c r="E188" s="29"/>
      <c r="F188" s="29"/>
      <c r="G188" s="29"/>
      <c r="H188" s="22"/>
      <c r="I188" s="30" t="n">
        <f aca="false">IF(COUNT(D188:G188)=0,0,PRODUCT(D188:G188))</f>
        <v>0</v>
      </c>
      <c r="J188" s="30" t="n">
        <f aca="false">I188*IF(H188="",1,H188)</f>
        <v>0</v>
      </c>
      <c r="K188" s="21"/>
    </row>
    <row r="189" customFormat="false" ht="15" hidden="false" customHeight="false" outlineLevel="0" collapsed="false">
      <c r="A189" s="21"/>
      <c r="B189" s="21"/>
      <c r="C189" s="21"/>
      <c r="D189" s="29"/>
      <c r="E189" s="29"/>
      <c r="F189" s="29"/>
      <c r="G189" s="29"/>
      <c r="H189" s="22"/>
      <c r="I189" s="30" t="n">
        <f aca="false">IF(COUNT(D189:G189)=0,0,PRODUCT(D189:G189))</f>
        <v>0</v>
      </c>
      <c r="J189" s="30" t="n">
        <f aca="false">I189*IF(H189="",1,H189)</f>
        <v>0</v>
      </c>
      <c r="K189" s="21"/>
    </row>
    <row r="190" customFormat="false" ht="15" hidden="false" customHeight="false" outlineLevel="0" collapsed="false">
      <c r="A190" s="21"/>
      <c r="B190" s="21"/>
      <c r="C190" s="21"/>
      <c r="D190" s="29"/>
      <c r="E190" s="29"/>
      <c r="F190" s="29"/>
      <c r="G190" s="29"/>
      <c r="H190" s="22"/>
      <c r="I190" s="30" t="n">
        <f aca="false">IF(COUNT(D190:G190)=0,0,PRODUCT(D190:G190))</f>
        <v>0</v>
      </c>
      <c r="J190" s="30" t="n">
        <f aca="false">I190*IF(H190="",1,H190)</f>
        <v>0</v>
      </c>
      <c r="K190" s="21"/>
    </row>
    <row r="191" customFormat="false" ht="15" hidden="false" customHeight="false" outlineLevel="0" collapsed="false">
      <c r="A191" s="21"/>
      <c r="B191" s="21"/>
      <c r="C191" s="21"/>
      <c r="D191" s="29"/>
      <c r="E191" s="29"/>
      <c r="F191" s="29"/>
      <c r="G191" s="29"/>
      <c r="H191" s="22"/>
      <c r="I191" s="30" t="n">
        <f aca="false">IF(COUNT(D191:G191)=0,0,PRODUCT(D191:G191))</f>
        <v>0</v>
      </c>
      <c r="J191" s="30" t="n">
        <f aca="false">I191*IF(H191="",1,H191)</f>
        <v>0</v>
      </c>
      <c r="K191" s="21"/>
    </row>
    <row r="192" customFormat="false" ht="15" hidden="false" customHeight="false" outlineLevel="0" collapsed="false">
      <c r="A192" s="21"/>
      <c r="B192" s="21"/>
      <c r="C192" s="21"/>
      <c r="D192" s="29"/>
      <c r="E192" s="29"/>
      <c r="F192" s="29"/>
      <c r="G192" s="29"/>
      <c r="H192" s="22"/>
      <c r="I192" s="30" t="n">
        <f aca="false">IF(COUNT(D192:G192)=0,0,PRODUCT(D192:G192))</f>
        <v>0</v>
      </c>
      <c r="J192" s="30" t="n">
        <f aca="false">I192*IF(H192="",1,H192)</f>
        <v>0</v>
      </c>
      <c r="K192" s="21"/>
    </row>
    <row r="193" customFormat="false" ht="15" hidden="false" customHeight="false" outlineLevel="0" collapsed="false">
      <c r="A193" s="21"/>
      <c r="B193" s="21"/>
      <c r="C193" s="21"/>
      <c r="D193" s="29"/>
      <c r="E193" s="29"/>
      <c r="F193" s="29"/>
      <c r="G193" s="29"/>
      <c r="H193" s="22"/>
      <c r="I193" s="30" t="n">
        <f aca="false">IF(COUNT(D193:G193)=0,0,PRODUCT(D193:G193))</f>
        <v>0</v>
      </c>
      <c r="J193" s="30" t="n">
        <f aca="false">I193*IF(H193="",1,H193)</f>
        <v>0</v>
      </c>
      <c r="K193" s="21"/>
    </row>
    <row r="194" customFormat="false" ht="15" hidden="false" customHeight="false" outlineLevel="0" collapsed="false">
      <c r="A194" s="21"/>
      <c r="B194" s="21"/>
      <c r="C194" s="21"/>
      <c r="D194" s="29"/>
      <c r="E194" s="29"/>
      <c r="F194" s="29"/>
      <c r="G194" s="29"/>
      <c r="H194" s="22"/>
      <c r="I194" s="30" t="n">
        <f aca="false">IF(COUNT(D194:G194)=0,0,PRODUCT(D194:G194))</f>
        <v>0</v>
      </c>
      <c r="J194" s="30" t="n">
        <f aca="false">I194*IF(H194="",1,H194)</f>
        <v>0</v>
      </c>
      <c r="K194" s="21"/>
    </row>
    <row r="195" customFormat="false" ht="15" hidden="false" customHeight="false" outlineLevel="0" collapsed="false">
      <c r="A195" s="21"/>
      <c r="B195" s="21"/>
      <c r="C195" s="21"/>
      <c r="D195" s="29"/>
      <c r="E195" s="29"/>
      <c r="F195" s="29"/>
      <c r="G195" s="29"/>
      <c r="H195" s="22"/>
      <c r="I195" s="30" t="n">
        <f aca="false">IF(COUNT(D195:G195)=0,0,PRODUCT(D195:G195))</f>
        <v>0</v>
      </c>
      <c r="J195" s="30" t="n">
        <f aca="false">I195*IF(H195="",1,H195)</f>
        <v>0</v>
      </c>
      <c r="K195" s="21"/>
    </row>
    <row r="196" customFormat="false" ht="15" hidden="false" customHeight="false" outlineLevel="0" collapsed="false">
      <c r="A196" s="21"/>
      <c r="B196" s="21"/>
      <c r="C196" s="21"/>
      <c r="D196" s="29"/>
      <c r="E196" s="29"/>
      <c r="F196" s="29"/>
      <c r="G196" s="29"/>
      <c r="H196" s="22"/>
      <c r="I196" s="30" t="n">
        <f aca="false">IF(COUNT(D196:G196)=0,0,PRODUCT(D196:G196))</f>
        <v>0</v>
      </c>
      <c r="J196" s="30" t="n">
        <f aca="false">I196*IF(H196="",1,H196)</f>
        <v>0</v>
      </c>
      <c r="K196" s="21"/>
    </row>
    <row r="197" customFormat="false" ht="15" hidden="false" customHeight="false" outlineLevel="0" collapsed="false">
      <c r="A197" s="21"/>
      <c r="B197" s="21"/>
      <c r="C197" s="21"/>
      <c r="D197" s="29"/>
      <c r="E197" s="29"/>
      <c r="F197" s="29"/>
      <c r="G197" s="29"/>
      <c r="H197" s="22"/>
      <c r="I197" s="30" t="n">
        <f aca="false">IF(COUNT(D197:G197)=0,0,PRODUCT(D197:G197))</f>
        <v>0</v>
      </c>
      <c r="J197" s="30" t="n">
        <f aca="false">I197*IF(H197="",1,H197)</f>
        <v>0</v>
      </c>
      <c r="K197" s="21"/>
    </row>
    <row r="198" customFormat="false" ht="15" hidden="false" customHeight="false" outlineLevel="0" collapsed="false">
      <c r="A198" s="21"/>
      <c r="B198" s="21"/>
      <c r="C198" s="21"/>
      <c r="D198" s="29"/>
      <c r="E198" s="29"/>
      <c r="F198" s="29"/>
      <c r="G198" s="29"/>
      <c r="H198" s="22"/>
      <c r="I198" s="30" t="n">
        <f aca="false">IF(COUNT(D198:G198)=0,0,PRODUCT(D198:G198))</f>
        <v>0</v>
      </c>
      <c r="J198" s="30" t="n">
        <f aca="false">I198*IF(H198="",1,H198)</f>
        <v>0</v>
      </c>
      <c r="K198" s="21"/>
    </row>
    <row r="199" customFormat="false" ht="15" hidden="false" customHeight="false" outlineLevel="0" collapsed="false">
      <c r="A199" s="21"/>
      <c r="B199" s="21"/>
      <c r="C199" s="21"/>
      <c r="D199" s="29"/>
      <c r="E199" s="29"/>
      <c r="F199" s="29"/>
      <c r="G199" s="29"/>
      <c r="H199" s="22"/>
      <c r="I199" s="30" t="n">
        <f aca="false">IF(COUNT(D199:G199)=0,0,PRODUCT(D199:G199))</f>
        <v>0</v>
      </c>
      <c r="J199" s="30" t="n">
        <f aca="false">I199*IF(H199="",1,H199)</f>
        <v>0</v>
      </c>
      <c r="K199" s="21"/>
    </row>
    <row r="200" customFormat="false" ht="15" hidden="false" customHeight="false" outlineLevel="0" collapsed="false">
      <c r="A200" s="21"/>
      <c r="B200" s="21"/>
      <c r="C200" s="21"/>
      <c r="D200" s="29"/>
      <c r="E200" s="29"/>
      <c r="F200" s="29"/>
      <c r="G200" s="29"/>
      <c r="H200" s="22"/>
      <c r="I200" s="30" t="n">
        <f aca="false">IF(COUNT(D200:G200)=0,0,PRODUCT(D200:G200))</f>
        <v>0</v>
      </c>
      <c r="J200" s="30" t="n">
        <f aca="false">I200*IF(H200="",1,H200)</f>
        <v>0</v>
      </c>
      <c r="K200" s="21"/>
    </row>
    <row r="201" customFormat="false" ht="15" hidden="false" customHeight="false" outlineLevel="0" collapsed="false">
      <c r="A201" s="21"/>
      <c r="B201" s="21"/>
      <c r="C201" s="21"/>
      <c r="D201" s="29"/>
      <c r="E201" s="29"/>
      <c r="F201" s="29"/>
      <c r="G201" s="29"/>
      <c r="H201" s="22"/>
      <c r="I201" s="30" t="n">
        <f aca="false">IF(COUNT(D201:G201)=0,0,PRODUCT(D201:G201))</f>
        <v>0</v>
      </c>
      <c r="J201" s="30" t="n">
        <f aca="false">I201*IF(H201="",1,H201)</f>
        <v>0</v>
      </c>
      <c r="K201" s="21"/>
    </row>
    <row r="202" customFormat="false" ht="15" hidden="false" customHeight="false" outlineLevel="0" collapsed="false">
      <c r="A202" s="21"/>
      <c r="B202" s="21"/>
      <c r="C202" s="21"/>
      <c r="D202" s="29"/>
      <c r="E202" s="29"/>
      <c r="F202" s="29"/>
      <c r="G202" s="29"/>
      <c r="H202" s="22"/>
      <c r="I202" s="30" t="n">
        <f aca="false">IF(COUNT(D202:G202)=0,0,PRODUCT(D202:G202))</f>
        <v>0</v>
      </c>
      <c r="J202" s="30" t="n">
        <f aca="false">I202*IF(H202="",1,H202)</f>
        <v>0</v>
      </c>
      <c r="K202" s="21"/>
    </row>
    <row r="203" customFormat="false" ht="15" hidden="false" customHeight="false" outlineLevel="0" collapsed="false">
      <c r="A203" s="21"/>
      <c r="B203" s="21"/>
      <c r="C203" s="21"/>
      <c r="D203" s="29"/>
      <c r="E203" s="29"/>
      <c r="F203" s="29"/>
      <c r="G203" s="29"/>
      <c r="H203" s="22"/>
      <c r="I203" s="30" t="n">
        <f aca="false">IF(COUNT(D203:G203)=0,0,PRODUCT(D203:G203))</f>
        <v>0</v>
      </c>
      <c r="J203" s="30" t="n">
        <f aca="false">I203*IF(H203="",1,H203)</f>
        <v>0</v>
      </c>
      <c r="K203" s="21"/>
    </row>
    <row r="204" customFormat="false" ht="15" hidden="false" customHeight="false" outlineLevel="0" collapsed="false">
      <c r="A204" s="21"/>
      <c r="B204" s="21"/>
      <c r="C204" s="21"/>
      <c r="D204" s="29"/>
      <c r="E204" s="29"/>
      <c r="F204" s="29"/>
      <c r="G204" s="29"/>
      <c r="H204" s="22"/>
      <c r="I204" s="30" t="n">
        <f aca="false">IF(COUNT(D204:G204)=0,0,PRODUCT(D204:G204))</f>
        <v>0</v>
      </c>
      <c r="J204" s="30" t="n">
        <f aca="false">I204*IF(H204="",1,H204)</f>
        <v>0</v>
      </c>
      <c r="K204" s="21"/>
    </row>
    <row r="205" customFormat="false" ht="15" hidden="false" customHeight="false" outlineLevel="0" collapsed="false">
      <c r="A205" s="21"/>
      <c r="B205" s="21"/>
      <c r="C205" s="21"/>
      <c r="D205" s="29"/>
      <c r="E205" s="29"/>
      <c r="F205" s="29"/>
      <c r="G205" s="29"/>
      <c r="H205" s="22"/>
      <c r="I205" s="30" t="n">
        <f aca="false">IF(COUNT(D205:G205)=0,0,PRODUCT(D205:G205))</f>
        <v>0</v>
      </c>
      <c r="J205" s="30" t="n">
        <f aca="false">I205*IF(H205="",1,H205)</f>
        <v>0</v>
      </c>
      <c r="K205" s="21"/>
    </row>
    <row r="206" customFormat="false" ht="15" hidden="false" customHeight="false" outlineLevel="0" collapsed="false">
      <c r="A206" s="21"/>
      <c r="B206" s="21"/>
      <c r="C206" s="21"/>
      <c r="D206" s="29"/>
      <c r="E206" s="29"/>
      <c r="F206" s="29"/>
      <c r="G206" s="29"/>
      <c r="H206" s="22"/>
      <c r="I206" s="30" t="n">
        <f aca="false">IF(COUNT(D206:G206)=0,0,PRODUCT(D206:G206))</f>
        <v>0</v>
      </c>
      <c r="J206" s="30" t="n">
        <f aca="false">I206*IF(H206="",1,H206)</f>
        <v>0</v>
      </c>
      <c r="K206" s="21"/>
    </row>
    <row r="207" customFormat="false" ht="15" hidden="false" customHeight="false" outlineLevel="0" collapsed="false">
      <c r="A207" s="21"/>
      <c r="B207" s="21"/>
      <c r="C207" s="21"/>
      <c r="D207" s="29"/>
      <c r="E207" s="29"/>
      <c r="F207" s="29"/>
      <c r="G207" s="29"/>
      <c r="H207" s="22"/>
      <c r="I207" s="30" t="n">
        <f aca="false">IF(COUNT(D207:G207)=0,0,PRODUCT(D207:G207))</f>
        <v>0</v>
      </c>
      <c r="J207" s="30" t="n">
        <f aca="false">I207*IF(H207="",1,H207)</f>
        <v>0</v>
      </c>
      <c r="K207" s="21"/>
    </row>
    <row r="208" customFormat="false" ht="15" hidden="false" customHeight="false" outlineLevel="0" collapsed="false">
      <c r="A208" s="21"/>
      <c r="B208" s="21"/>
      <c r="C208" s="21"/>
      <c r="D208" s="29"/>
      <c r="E208" s="29"/>
      <c r="F208" s="29"/>
      <c r="G208" s="29"/>
      <c r="H208" s="22"/>
      <c r="I208" s="30" t="n">
        <f aca="false">IF(COUNT(D208:G208)=0,0,PRODUCT(D208:G208))</f>
        <v>0</v>
      </c>
      <c r="J208" s="30" t="n">
        <f aca="false">I208*IF(H208="",1,H208)</f>
        <v>0</v>
      </c>
      <c r="K208" s="21"/>
    </row>
    <row r="209" customFormat="false" ht="15" hidden="false" customHeight="false" outlineLevel="0" collapsed="false">
      <c r="A209" s="21"/>
      <c r="B209" s="21"/>
      <c r="C209" s="21"/>
      <c r="D209" s="29"/>
      <c r="E209" s="29"/>
      <c r="F209" s="29"/>
      <c r="G209" s="29"/>
      <c r="H209" s="22"/>
      <c r="I209" s="30" t="n">
        <f aca="false">IF(COUNT(D209:G209)=0,0,PRODUCT(D209:G209))</f>
        <v>0</v>
      </c>
      <c r="J209" s="30" t="n">
        <f aca="false">I209*IF(H209="",1,H209)</f>
        <v>0</v>
      </c>
      <c r="K209" s="21"/>
    </row>
    <row r="210" customFormat="false" ht="15" hidden="false" customHeight="false" outlineLevel="0" collapsed="false">
      <c r="A210" s="21"/>
      <c r="B210" s="21"/>
      <c r="C210" s="21"/>
      <c r="D210" s="29"/>
      <c r="E210" s="29"/>
      <c r="F210" s="29"/>
      <c r="G210" s="29"/>
      <c r="H210" s="22"/>
      <c r="I210" s="30" t="n">
        <f aca="false">IF(COUNT(D210:G210)=0,0,PRODUCT(D210:G210))</f>
        <v>0</v>
      </c>
      <c r="J210" s="30" t="n">
        <f aca="false">I210*IF(H210="",1,H210)</f>
        <v>0</v>
      </c>
      <c r="K210" s="21"/>
    </row>
    <row r="211" customFormat="false" ht="15" hidden="false" customHeight="false" outlineLevel="0" collapsed="false">
      <c r="A211" s="21"/>
      <c r="B211" s="21"/>
      <c r="C211" s="21"/>
      <c r="D211" s="29"/>
      <c r="E211" s="29"/>
      <c r="F211" s="29"/>
      <c r="G211" s="29"/>
      <c r="H211" s="22"/>
      <c r="I211" s="30" t="n">
        <f aca="false">IF(COUNT(D211:G211)=0,0,PRODUCT(D211:G211))</f>
        <v>0</v>
      </c>
      <c r="J211" s="30" t="n">
        <f aca="false">I211*IF(H211="",1,H211)</f>
        <v>0</v>
      </c>
      <c r="K211" s="21"/>
    </row>
    <row r="212" customFormat="false" ht="15" hidden="false" customHeight="false" outlineLevel="0" collapsed="false">
      <c r="A212" s="21"/>
      <c r="B212" s="21"/>
      <c r="C212" s="21"/>
      <c r="D212" s="29"/>
      <c r="E212" s="29"/>
      <c r="F212" s="29"/>
      <c r="G212" s="29"/>
      <c r="H212" s="22"/>
      <c r="I212" s="30" t="n">
        <f aca="false">IF(COUNT(D212:G212)=0,0,PRODUCT(D212:G212))</f>
        <v>0</v>
      </c>
      <c r="J212" s="30" t="n">
        <f aca="false">I212*IF(H212="",1,H212)</f>
        <v>0</v>
      </c>
      <c r="K212" s="21"/>
    </row>
    <row r="213" customFormat="false" ht="15" hidden="false" customHeight="false" outlineLevel="0" collapsed="false">
      <c r="A213" s="21"/>
      <c r="B213" s="21"/>
      <c r="C213" s="21"/>
      <c r="D213" s="29"/>
      <c r="E213" s="29"/>
      <c r="F213" s="29"/>
      <c r="G213" s="29"/>
      <c r="H213" s="22"/>
      <c r="I213" s="30" t="n">
        <f aca="false">IF(COUNT(D213:G213)=0,0,PRODUCT(D213:G213))</f>
        <v>0</v>
      </c>
      <c r="J213" s="30" t="n">
        <f aca="false">I213*IF(H213="",1,H213)</f>
        <v>0</v>
      </c>
      <c r="K213" s="21"/>
    </row>
    <row r="214" customFormat="false" ht="15" hidden="false" customHeight="false" outlineLevel="0" collapsed="false">
      <c r="A214" s="21"/>
      <c r="B214" s="21"/>
      <c r="C214" s="21"/>
      <c r="D214" s="29"/>
      <c r="E214" s="29"/>
      <c r="F214" s="29"/>
      <c r="G214" s="29"/>
      <c r="H214" s="22"/>
      <c r="I214" s="30" t="n">
        <f aca="false">IF(COUNT(D214:G214)=0,0,PRODUCT(D214:G214))</f>
        <v>0</v>
      </c>
      <c r="J214" s="30" t="n">
        <f aca="false">I214*IF(H214="",1,H214)</f>
        <v>0</v>
      </c>
      <c r="K214" s="21"/>
    </row>
    <row r="215" customFormat="false" ht="15" hidden="false" customHeight="false" outlineLevel="0" collapsed="false">
      <c r="A215" s="21"/>
      <c r="B215" s="21"/>
      <c r="C215" s="21"/>
      <c r="D215" s="29"/>
      <c r="E215" s="29"/>
      <c r="F215" s="29"/>
      <c r="G215" s="29"/>
      <c r="H215" s="22"/>
      <c r="I215" s="30" t="n">
        <f aca="false">IF(COUNT(D215:G215)=0,0,PRODUCT(D215:G215))</f>
        <v>0</v>
      </c>
      <c r="J215" s="30" t="n">
        <f aca="false">I215*IF(H215="",1,H215)</f>
        <v>0</v>
      </c>
      <c r="K215" s="21"/>
    </row>
    <row r="216" customFormat="false" ht="15" hidden="false" customHeight="false" outlineLevel="0" collapsed="false">
      <c r="A216" s="21"/>
      <c r="B216" s="21"/>
      <c r="C216" s="21"/>
      <c r="D216" s="29"/>
      <c r="E216" s="29"/>
      <c r="F216" s="29"/>
      <c r="G216" s="29"/>
      <c r="H216" s="22"/>
      <c r="I216" s="30" t="n">
        <f aca="false">IF(COUNT(D216:G216)=0,0,PRODUCT(D216:G216))</f>
        <v>0</v>
      </c>
      <c r="J216" s="30" t="n">
        <f aca="false">I216*IF(H216="",1,H216)</f>
        <v>0</v>
      </c>
      <c r="K216" s="21"/>
    </row>
    <row r="217" customFormat="false" ht="15" hidden="false" customHeight="false" outlineLevel="0" collapsed="false">
      <c r="A217" s="21"/>
      <c r="B217" s="21"/>
      <c r="C217" s="21"/>
      <c r="D217" s="29"/>
      <c r="E217" s="29"/>
      <c r="F217" s="29"/>
      <c r="G217" s="29"/>
      <c r="H217" s="22"/>
      <c r="I217" s="30" t="n">
        <f aca="false">IF(COUNT(D217:G217)=0,0,PRODUCT(D217:G217))</f>
        <v>0</v>
      </c>
      <c r="J217" s="30" t="n">
        <f aca="false">I217*IF(H217="",1,H217)</f>
        <v>0</v>
      </c>
      <c r="K217" s="21"/>
    </row>
    <row r="218" customFormat="false" ht="15" hidden="false" customHeight="false" outlineLevel="0" collapsed="false">
      <c r="A218" s="21"/>
      <c r="B218" s="21"/>
      <c r="C218" s="21"/>
      <c r="D218" s="29"/>
      <c r="E218" s="29"/>
      <c r="F218" s="29"/>
      <c r="G218" s="29"/>
      <c r="H218" s="22"/>
      <c r="I218" s="30" t="n">
        <f aca="false">IF(COUNT(D218:G218)=0,0,PRODUCT(D218:G218))</f>
        <v>0</v>
      </c>
      <c r="J218" s="30" t="n">
        <f aca="false">I218*IF(H218="",1,H218)</f>
        <v>0</v>
      </c>
      <c r="K218" s="21"/>
    </row>
    <row r="219" customFormat="false" ht="15" hidden="false" customHeight="false" outlineLevel="0" collapsed="false">
      <c r="A219" s="21"/>
      <c r="B219" s="21"/>
      <c r="C219" s="21"/>
      <c r="D219" s="29"/>
      <c r="E219" s="29"/>
      <c r="F219" s="29"/>
      <c r="G219" s="29"/>
      <c r="H219" s="22"/>
      <c r="I219" s="30" t="n">
        <f aca="false">IF(COUNT(D219:G219)=0,0,PRODUCT(D219:G219))</f>
        <v>0</v>
      </c>
      <c r="J219" s="30" t="n">
        <f aca="false">I219*IF(H219="",1,H219)</f>
        <v>0</v>
      </c>
      <c r="K219" s="21"/>
    </row>
    <row r="220" customFormat="false" ht="15" hidden="false" customHeight="false" outlineLevel="0" collapsed="false">
      <c r="A220" s="21"/>
      <c r="B220" s="21"/>
      <c r="C220" s="21"/>
      <c r="D220" s="29"/>
      <c r="E220" s="29"/>
      <c r="F220" s="29"/>
      <c r="G220" s="29"/>
      <c r="H220" s="22"/>
      <c r="I220" s="30" t="n">
        <f aca="false">IF(COUNT(D220:G220)=0,0,PRODUCT(D220:G220))</f>
        <v>0</v>
      </c>
      <c r="J220" s="30" t="n">
        <f aca="false">I220*IF(H220="",1,H220)</f>
        <v>0</v>
      </c>
      <c r="K220" s="21"/>
    </row>
    <row r="221" customFormat="false" ht="15" hidden="false" customHeight="false" outlineLevel="0" collapsed="false">
      <c r="A221" s="21"/>
      <c r="B221" s="21"/>
      <c r="C221" s="21"/>
      <c r="D221" s="29"/>
      <c r="E221" s="29"/>
      <c r="F221" s="29"/>
      <c r="G221" s="29"/>
      <c r="H221" s="22"/>
      <c r="I221" s="30" t="n">
        <f aca="false">IF(COUNT(D221:G221)=0,0,PRODUCT(D221:G221))</f>
        <v>0</v>
      </c>
      <c r="J221" s="30" t="n">
        <f aca="false">I221*IF(H221="",1,H221)</f>
        <v>0</v>
      </c>
      <c r="K221" s="21"/>
    </row>
    <row r="222" customFormat="false" ht="15" hidden="false" customHeight="false" outlineLevel="0" collapsed="false">
      <c r="A222" s="21"/>
      <c r="B222" s="21"/>
      <c r="C222" s="21"/>
      <c r="D222" s="29"/>
      <c r="E222" s="29"/>
      <c r="F222" s="29"/>
      <c r="G222" s="29"/>
      <c r="H222" s="22"/>
      <c r="I222" s="30" t="n">
        <f aca="false">IF(COUNT(D222:G222)=0,0,PRODUCT(D222:G222))</f>
        <v>0</v>
      </c>
      <c r="J222" s="30" t="n">
        <f aca="false">I222*IF(H222="",1,H222)</f>
        <v>0</v>
      </c>
      <c r="K222" s="21"/>
    </row>
    <row r="223" customFormat="false" ht="15" hidden="false" customHeight="false" outlineLevel="0" collapsed="false">
      <c r="A223" s="21"/>
      <c r="B223" s="21"/>
      <c r="C223" s="21"/>
      <c r="D223" s="29"/>
      <c r="E223" s="29"/>
      <c r="F223" s="29"/>
      <c r="G223" s="29"/>
      <c r="H223" s="22"/>
      <c r="I223" s="30" t="n">
        <f aca="false">IF(COUNT(D223:G223)=0,0,PRODUCT(D223:G223))</f>
        <v>0</v>
      </c>
      <c r="J223" s="30" t="n">
        <f aca="false">I223*IF(H223="",1,H223)</f>
        <v>0</v>
      </c>
      <c r="K223" s="21"/>
    </row>
    <row r="224" customFormat="false" ht="15" hidden="false" customHeight="false" outlineLevel="0" collapsed="false">
      <c r="A224" s="21"/>
      <c r="B224" s="21"/>
      <c r="C224" s="21"/>
      <c r="D224" s="29"/>
      <c r="E224" s="29"/>
      <c r="F224" s="29"/>
      <c r="G224" s="29"/>
      <c r="H224" s="22"/>
      <c r="I224" s="30" t="n">
        <f aca="false">IF(COUNT(D224:G224)=0,0,PRODUCT(D224:G224))</f>
        <v>0</v>
      </c>
      <c r="J224" s="30" t="n">
        <f aca="false">I224*IF(H224="",1,H224)</f>
        <v>0</v>
      </c>
      <c r="K224" s="21"/>
    </row>
    <row r="225" customFormat="false" ht="15" hidden="false" customHeight="false" outlineLevel="0" collapsed="false">
      <c r="A225" s="21"/>
      <c r="B225" s="21"/>
      <c r="C225" s="21"/>
      <c r="D225" s="29"/>
      <c r="E225" s="29"/>
      <c r="F225" s="29"/>
      <c r="G225" s="29"/>
      <c r="H225" s="22"/>
      <c r="I225" s="30" t="n">
        <f aca="false">IF(COUNT(D225:G225)=0,0,PRODUCT(D225:G225))</f>
        <v>0</v>
      </c>
      <c r="J225" s="30" t="n">
        <f aca="false">I225*IF(H225="",1,H225)</f>
        <v>0</v>
      </c>
      <c r="K225" s="21"/>
    </row>
    <row r="226" customFormat="false" ht="15" hidden="false" customHeight="false" outlineLevel="0" collapsed="false">
      <c r="A226" s="21"/>
      <c r="B226" s="21"/>
      <c r="C226" s="21"/>
      <c r="D226" s="29"/>
      <c r="E226" s="29"/>
      <c r="F226" s="29"/>
      <c r="G226" s="29"/>
      <c r="H226" s="22"/>
      <c r="I226" s="30" t="n">
        <f aca="false">IF(COUNT(D226:G226)=0,0,PRODUCT(D226:G226))</f>
        <v>0</v>
      </c>
      <c r="J226" s="30" t="n">
        <f aca="false">I226*IF(H226="",1,H226)</f>
        <v>0</v>
      </c>
      <c r="K226" s="21"/>
    </row>
    <row r="227" customFormat="false" ht="15" hidden="false" customHeight="false" outlineLevel="0" collapsed="false">
      <c r="A227" s="21"/>
      <c r="B227" s="21"/>
      <c r="C227" s="21"/>
      <c r="D227" s="29"/>
      <c r="E227" s="29"/>
      <c r="F227" s="29"/>
      <c r="G227" s="29"/>
      <c r="H227" s="22"/>
      <c r="I227" s="30" t="n">
        <f aca="false">IF(COUNT(D227:G227)=0,0,PRODUCT(D227:G227))</f>
        <v>0</v>
      </c>
      <c r="J227" s="30" t="n">
        <f aca="false">I227*IF(H227="",1,H227)</f>
        <v>0</v>
      </c>
      <c r="K227" s="21"/>
    </row>
    <row r="228" customFormat="false" ht="15" hidden="false" customHeight="false" outlineLevel="0" collapsed="false">
      <c r="A228" s="21"/>
      <c r="B228" s="21"/>
      <c r="C228" s="21"/>
      <c r="D228" s="29"/>
      <c r="E228" s="29"/>
      <c r="F228" s="29"/>
      <c r="G228" s="29"/>
      <c r="H228" s="22"/>
      <c r="I228" s="30" t="n">
        <f aca="false">IF(COUNT(D228:G228)=0,0,PRODUCT(D228:G228))</f>
        <v>0</v>
      </c>
      <c r="J228" s="30" t="n">
        <f aca="false">I228*IF(H228="",1,H228)</f>
        <v>0</v>
      </c>
      <c r="K228" s="21"/>
    </row>
    <row r="229" customFormat="false" ht="15" hidden="false" customHeight="false" outlineLevel="0" collapsed="false">
      <c r="A229" s="21"/>
      <c r="B229" s="21"/>
      <c r="C229" s="21"/>
      <c r="D229" s="29"/>
      <c r="E229" s="29"/>
      <c r="F229" s="29"/>
      <c r="G229" s="29"/>
      <c r="H229" s="22"/>
      <c r="I229" s="30" t="n">
        <f aca="false">IF(COUNT(D229:G229)=0,0,PRODUCT(D229:G229))</f>
        <v>0</v>
      </c>
      <c r="J229" s="30" t="n">
        <f aca="false">I229*IF(H229="",1,H229)</f>
        <v>0</v>
      </c>
      <c r="K229" s="21"/>
    </row>
    <row r="230" customFormat="false" ht="15" hidden="false" customHeight="false" outlineLevel="0" collapsed="false">
      <c r="A230" s="21"/>
      <c r="B230" s="21"/>
      <c r="C230" s="21"/>
      <c r="D230" s="29"/>
      <c r="E230" s="29"/>
      <c r="F230" s="29"/>
      <c r="G230" s="29"/>
      <c r="H230" s="22"/>
      <c r="I230" s="30" t="n">
        <f aca="false">IF(COUNT(D230:G230)=0,0,PRODUCT(D230:G230))</f>
        <v>0</v>
      </c>
      <c r="J230" s="30" t="n">
        <f aca="false">I230*IF(H230="",1,H230)</f>
        <v>0</v>
      </c>
      <c r="K230" s="21"/>
    </row>
    <row r="231" customFormat="false" ht="15" hidden="false" customHeight="false" outlineLevel="0" collapsed="false">
      <c r="A231" s="21"/>
      <c r="B231" s="21"/>
      <c r="C231" s="21"/>
      <c r="D231" s="29"/>
      <c r="E231" s="29"/>
      <c r="F231" s="29"/>
      <c r="G231" s="29"/>
      <c r="H231" s="22"/>
      <c r="I231" s="30" t="n">
        <f aca="false">IF(COUNT(D231:G231)=0,0,PRODUCT(D231:G231))</f>
        <v>0</v>
      </c>
      <c r="J231" s="30" t="n">
        <f aca="false">I231*IF(H231="",1,H231)</f>
        <v>0</v>
      </c>
      <c r="K231" s="21"/>
    </row>
    <row r="232" customFormat="false" ht="15" hidden="false" customHeight="false" outlineLevel="0" collapsed="false">
      <c r="A232" s="21"/>
      <c r="B232" s="21"/>
      <c r="C232" s="21"/>
      <c r="D232" s="29"/>
      <c r="E232" s="29"/>
      <c r="F232" s="29"/>
      <c r="G232" s="29"/>
      <c r="H232" s="22"/>
      <c r="I232" s="30" t="n">
        <f aca="false">IF(COUNT(D232:G232)=0,0,PRODUCT(D232:G232))</f>
        <v>0</v>
      </c>
      <c r="J232" s="30" t="n">
        <f aca="false">I232*IF(H232="",1,H232)</f>
        <v>0</v>
      </c>
      <c r="K232" s="21"/>
    </row>
    <row r="233" customFormat="false" ht="15" hidden="false" customHeight="false" outlineLevel="0" collapsed="false">
      <c r="A233" s="21"/>
      <c r="B233" s="21"/>
      <c r="C233" s="21"/>
      <c r="D233" s="29"/>
      <c r="E233" s="29"/>
      <c r="F233" s="29"/>
      <c r="G233" s="29"/>
      <c r="H233" s="22"/>
      <c r="I233" s="30" t="n">
        <f aca="false">IF(COUNT(D233:G233)=0,0,PRODUCT(D233:G233))</f>
        <v>0</v>
      </c>
      <c r="J233" s="30" t="n">
        <f aca="false">I233*IF(H233="",1,H233)</f>
        <v>0</v>
      </c>
      <c r="K233" s="21"/>
    </row>
    <row r="234" customFormat="false" ht="15" hidden="false" customHeight="false" outlineLevel="0" collapsed="false">
      <c r="A234" s="21"/>
      <c r="B234" s="21"/>
      <c r="C234" s="21"/>
      <c r="D234" s="29"/>
      <c r="E234" s="29"/>
      <c r="F234" s="29"/>
      <c r="G234" s="29"/>
      <c r="H234" s="22"/>
      <c r="I234" s="30" t="n">
        <f aca="false">IF(COUNT(D234:G234)=0,0,PRODUCT(D234:G234))</f>
        <v>0</v>
      </c>
      <c r="J234" s="30" t="n">
        <f aca="false">I234*IF(H234="",1,H234)</f>
        <v>0</v>
      </c>
      <c r="K234" s="21"/>
    </row>
    <row r="235" customFormat="false" ht="15" hidden="false" customHeight="false" outlineLevel="0" collapsed="false">
      <c r="A235" s="21"/>
      <c r="B235" s="21"/>
      <c r="C235" s="21"/>
      <c r="D235" s="29"/>
      <c r="E235" s="29"/>
      <c r="F235" s="29"/>
      <c r="G235" s="29"/>
      <c r="H235" s="22"/>
      <c r="I235" s="30" t="n">
        <f aca="false">IF(COUNT(D235:G235)=0,0,PRODUCT(D235:G235))</f>
        <v>0</v>
      </c>
      <c r="J235" s="30" t="n">
        <f aca="false">I235*IF(H235="",1,H235)</f>
        <v>0</v>
      </c>
      <c r="K235" s="21"/>
    </row>
    <row r="236" customFormat="false" ht="15" hidden="false" customHeight="false" outlineLevel="0" collapsed="false">
      <c r="A236" s="21"/>
      <c r="B236" s="21"/>
      <c r="C236" s="21"/>
      <c r="D236" s="29"/>
      <c r="E236" s="29"/>
      <c r="F236" s="29"/>
      <c r="G236" s="29"/>
      <c r="H236" s="22"/>
      <c r="I236" s="30" t="n">
        <f aca="false">IF(COUNT(D236:G236)=0,0,PRODUCT(D236:G236))</f>
        <v>0</v>
      </c>
      <c r="J236" s="30" t="n">
        <f aca="false">I236*IF(H236="",1,H236)</f>
        <v>0</v>
      </c>
      <c r="K236" s="21"/>
    </row>
    <row r="237" customFormat="false" ht="15" hidden="false" customHeight="false" outlineLevel="0" collapsed="false">
      <c r="A237" s="21"/>
      <c r="B237" s="21"/>
      <c r="C237" s="21"/>
      <c r="D237" s="29"/>
      <c r="E237" s="29"/>
      <c r="F237" s="29"/>
      <c r="G237" s="29"/>
      <c r="H237" s="22"/>
      <c r="I237" s="30" t="n">
        <f aca="false">IF(COUNT(D237:G237)=0,0,PRODUCT(D237:G237))</f>
        <v>0</v>
      </c>
      <c r="J237" s="30" t="n">
        <f aca="false">I237*IF(H237="",1,H237)</f>
        <v>0</v>
      </c>
      <c r="K237" s="21"/>
    </row>
    <row r="238" customFormat="false" ht="15" hidden="false" customHeight="false" outlineLevel="0" collapsed="false">
      <c r="A238" s="21"/>
      <c r="B238" s="21"/>
      <c r="C238" s="21"/>
      <c r="D238" s="29"/>
      <c r="E238" s="29"/>
      <c r="F238" s="29"/>
      <c r="G238" s="29"/>
      <c r="H238" s="22"/>
      <c r="I238" s="30" t="n">
        <f aca="false">IF(COUNT(D238:G238)=0,0,PRODUCT(D238:G238))</f>
        <v>0</v>
      </c>
      <c r="J238" s="30" t="n">
        <f aca="false">I238*IF(H238="",1,H238)</f>
        <v>0</v>
      </c>
      <c r="K238" s="21"/>
    </row>
    <row r="239" customFormat="false" ht="15" hidden="false" customHeight="false" outlineLevel="0" collapsed="false">
      <c r="A239" s="21"/>
      <c r="B239" s="21"/>
      <c r="C239" s="21"/>
      <c r="D239" s="29"/>
      <c r="E239" s="29"/>
      <c r="F239" s="29"/>
      <c r="G239" s="29"/>
      <c r="H239" s="22"/>
      <c r="I239" s="30" t="n">
        <f aca="false">IF(COUNT(D239:G239)=0,0,PRODUCT(D239:G239))</f>
        <v>0</v>
      </c>
      <c r="J239" s="30" t="n">
        <f aca="false">I239*IF(H239="",1,H239)</f>
        <v>0</v>
      </c>
      <c r="K239" s="21"/>
    </row>
    <row r="240" customFormat="false" ht="15" hidden="false" customHeight="false" outlineLevel="0" collapsed="false">
      <c r="A240" s="21"/>
      <c r="B240" s="21"/>
      <c r="C240" s="21"/>
      <c r="D240" s="29"/>
      <c r="E240" s="29"/>
      <c r="F240" s="29"/>
      <c r="G240" s="29"/>
      <c r="H240" s="22"/>
      <c r="I240" s="30" t="n">
        <f aca="false">IF(COUNT(D240:G240)=0,0,PRODUCT(D240:G240))</f>
        <v>0</v>
      </c>
      <c r="J240" s="30" t="n">
        <f aca="false">I240*IF(H240="",1,H240)</f>
        <v>0</v>
      </c>
      <c r="K240" s="21"/>
    </row>
    <row r="241" customFormat="false" ht="15" hidden="false" customHeight="false" outlineLevel="0" collapsed="false">
      <c r="A241" s="21"/>
      <c r="B241" s="21"/>
      <c r="C241" s="21"/>
      <c r="D241" s="29"/>
      <c r="E241" s="29"/>
      <c r="F241" s="29"/>
      <c r="G241" s="29"/>
      <c r="H241" s="22"/>
      <c r="I241" s="30" t="n">
        <f aca="false">IF(COUNT(D241:G241)=0,0,PRODUCT(D241:G241))</f>
        <v>0</v>
      </c>
      <c r="J241" s="30" t="n">
        <f aca="false">I241*IF(H241="",1,H241)</f>
        <v>0</v>
      </c>
      <c r="K241" s="21"/>
    </row>
    <row r="242" customFormat="false" ht="15" hidden="false" customHeight="false" outlineLevel="0" collapsed="false">
      <c r="A242" s="21"/>
      <c r="B242" s="21"/>
      <c r="C242" s="21"/>
      <c r="D242" s="29"/>
      <c r="E242" s="29"/>
      <c r="F242" s="29"/>
      <c r="G242" s="29"/>
      <c r="H242" s="22"/>
      <c r="I242" s="30" t="n">
        <f aca="false">IF(COUNT(D242:G242)=0,0,PRODUCT(D242:G242))</f>
        <v>0</v>
      </c>
      <c r="J242" s="30" t="n">
        <f aca="false">I242*IF(H242="",1,H242)</f>
        <v>0</v>
      </c>
      <c r="K242" s="21"/>
    </row>
    <row r="243" customFormat="false" ht="15" hidden="false" customHeight="false" outlineLevel="0" collapsed="false">
      <c r="A243" s="21"/>
      <c r="B243" s="21"/>
      <c r="C243" s="21"/>
      <c r="D243" s="29"/>
      <c r="E243" s="29"/>
      <c r="F243" s="29"/>
      <c r="G243" s="29"/>
      <c r="H243" s="22"/>
      <c r="I243" s="30" t="n">
        <f aca="false">IF(COUNT(D243:G243)=0,0,PRODUCT(D243:G243))</f>
        <v>0</v>
      </c>
      <c r="J243" s="30" t="n">
        <f aca="false">I243*IF(H243="",1,H243)</f>
        <v>0</v>
      </c>
      <c r="K243" s="21"/>
    </row>
    <row r="244" customFormat="false" ht="15" hidden="false" customHeight="false" outlineLevel="0" collapsed="false">
      <c r="A244" s="21"/>
      <c r="B244" s="21"/>
      <c r="C244" s="21"/>
      <c r="D244" s="29"/>
      <c r="E244" s="29"/>
      <c r="F244" s="29"/>
      <c r="G244" s="29"/>
      <c r="H244" s="22"/>
      <c r="I244" s="30" t="n">
        <f aca="false">IF(COUNT(D244:G244)=0,0,PRODUCT(D244:G244))</f>
        <v>0</v>
      </c>
      <c r="J244" s="30" t="n">
        <f aca="false">I244*IF(H244="",1,H244)</f>
        <v>0</v>
      </c>
      <c r="K244" s="21"/>
    </row>
    <row r="245" customFormat="false" ht="15" hidden="false" customHeight="false" outlineLevel="0" collapsed="false">
      <c r="A245" s="21"/>
      <c r="B245" s="21"/>
      <c r="C245" s="21"/>
      <c r="D245" s="29"/>
      <c r="E245" s="29"/>
      <c r="F245" s="29"/>
      <c r="G245" s="29"/>
      <c r="H245" s="22"/>
      <c r="I245" s="30" t="n">
        <f aca="false">IF(COUNT(D245:G245)=0,0,PRODUCT(D245:G245))</f>
        <v>0</v>
      </c>
      <c r="J245" s="30" t="n">
        <f aca="false">I245*IF(H245="",1,H245)</f>
        <v>0</v>
      </c>
      <c r="K245" s="21"/>
    </row>
    <row r="246" customFormat="false" ht="15" hidden="false" customHeight="false" outlineLevel="0" collapsed="false">
      <c r="A246" s="21"/>
      <c r="B246" s="21"/>
      <c r="C246" s="21"/>
      <c r="D246" s="29"/>
      <c r="E246" s="29"/>
      <c r="F246" s="29"/>
      <c r="G246" s="29"/>
      <c r="H246" s="22"/>
      <c r="I246" s="30" t="n">
        <f aca="false">IF(COUNT(D246:G246)=0,0,PRODUCT(D246:G246))</f>
        <v>0</v>
      </c>
      <c r="J246" s="30" t="n">
        <f aca="false">I246*IF(H246="",1,H246)</f>
        <v>0</v>
      </c>
      <c r="K246" s="21"/>
    </row>
    <row r="247" customFormat="false" ht="15" hidden="false" customHeight="false" outlineLevel="0" collapsed="false">
      <c r="A247" s="21"/>
      <c r="B247" s="21"/>
      <c r="C247" s="21"/>
      <c r="D247" s="29"/>
      <c r="E247" s="29"/>
      <c r="F247" s="29"/>
      <c r="G247" s="29"/>
      <c r="H247" s="22"/>
      <c r="I247" s="30" t="n">
        <f aca="false">IF(COUNT(D247:G247)=0,0,PRODUCT(D247:G247))</f>
        <v>0</v>
      </c>
      <c r="J247" s="30" t="n">
        <f aca="false">I247*IF(H247="",1,H247)</f>
        <v>0</v>
      </c>
      <c r="K247" s="21"/>
    </row>
    <row r="248" customFormat="false" ht="15" hidden="false" customHeight="false" outlineLevel="0" collapsed="false">
      <c r="A248" s="21"/>
      <c r="B248" s="21"/>
      <c r="C248" s="21"/>
      <c r="D248" s="29"/>
      <c r="E248" s="29"/>
      <c r="F248" s="29"/>
      <c r="G248" s="29"/>
      <c r="H248" s="22"/>
      <c r="I248" s="30" t="n">
        <f aca="false">IF(COUNT(D248:G248)=0,0,PRODUCT(D248:G248))</f>
        <v>0</v>
      </c>
      <c r="J248" s="30" t="n">
        <f aca="false">I248*IF(H248="",1,H248)</f>
        <v>0</v>
      </c>
      <c r="K248" s="21"/>
    </row>
    <row r="249" customFormat="false" ht="15" hidden="false" customHeight="false" outlineLevel="0" collapsed="false">
      <c r="A249" s="21"/>
      <c r="B249" s="21"/>
      <c r="C249" s="21"/>
      <c r="D249" s="29"/>
      <c r="E249" s="29"/>
      <c r="F249" s="29"/>
      <c r="G249" s="29"/>
      <c r="H249" s="22"/>
      <c r="I249" s="30" t="n">
        <f aca="false">IF(COUNT(D249:G249)=0,0,PRODUCT(D249:G249))</f>
        <v>0</v>
      </c>
      <c r="J249" s="30" t="n">
        <f aca="false">I249*IF(H249="",1,H249)</f>
        <v>0</v>
      </c>
      <c r="K249" s="21"/>
    </row>
    <row r="250" customFormat="false" ht="15" hidden="false" customHeight="false" outlineLevel="0" collapsed="false">
      <c r="A250" s="21"/>
      <c r="B250" s="21"/>
      <c r="C250" s="21"/>
      <c r="D250" s="29"/>
      <c r="E250" s="29"/>
      <c r="F250" s="29"/>
      <c r="G250" s="29"/>
      <c r="H250" s="22"/>
      <c r="I250" s="30" t="n">
        <f aca="false">IF(COUNT(D250:G250)=0,0,PRODUCT(D250:G250))</f>
        <v>0</v>
      </c>
      <c r="J250" s="30" t="n">
        <f aca="false">I250*IF(H250="",1,H250)</f>
        <v>0</v>
      </c>
      <c r="K250" s="21"/>
    </row>
    <row r="251" customFormat="false" ht="15" hidden="false" customHeight="false" outlineLevel="0" collapsed="false">
      <c r="A251" s="21"/>
      <c r="B251" s="21"/>
      <c r="C251" s="21"/>
      <c r="D251" s="29"/>
      <c r="E251" s="29"/>
      <c r="F251" s="29"/>
      <c r="G251" s="29"/>
      <c r="H251" s="22"/>
      <c r="I251" s="30" t="n">
        <f aca="false">IF(COUNT(D251:G251)=0,0,PRODUCT(D251:G251))</f>
        <v>0</v>
      </c>
      <c r="J251" s="30" t="n">
        <f aca="false">I251*IF(H251="",1,H251)</f>
        <v>0</v>
      </c>
      <c r="K251" s="21"/>
    </row>
    <row r="252" customFormat="false" ht="15" hidden="false" customHeight="false" outlineLevel="0" collapsed="false">
      <c r="A252" s="21"/>
      <c r="B252" s="21"/>
      <c r="C252" s="21"/>
      <c r="D252" s="29"/>
      <c r="E252" s="29"/>
      <c r="F252" s="29"/>
      <c r="G252" s="29"/>
      <c r="H252" s="22"/>
      <c r="I252" s="30" t="n">
        <f aca="false">IF(COUNT(D252:G252)=0,0,PRODUCT(D252:G252))</f>
        <v>0</v>
      </c>
      <c r="J252" s="30" t="n">
        <f aca="false">I252*IF(H252="",1,H252)</f>
        <v>0</v>
      </c>
      <c r="K252" s="21"/>
    </row>
    <row r="253" customFormat="false" ht="15" hidden="false" customHeight="false" outlineLevel="0" collapsed="false">
      <c r="A253" s="21"/>
      <c r="B253" s="21"/>
      <c r="C253" s="21"/>
      <c r="D253" s="29"/>
      <c r="E253" s="29"/>
      <c r="F253" s="29"/>
      <c r="G253" s="29"/>
      <c r="H253" s="22"/>
      <c r="I253" s="30" t="n">
        <f aca="false">IF(COUNT(D253:G253)=0,0,PRODUCT(D253:G253))</f>
        <v>0</v>
      </c>
      <c r="J253" s="30" t="n">
        <f aca="false">I253*IF(H253="",1,H253)</f>
        <v>0</v>
      </c>
      <c r="K253" s="21"/>
    </row>
    <row r="254" customFormat="false" ht="15" hidden="false" customHeight="false" outlineLevel="0" collapsed="false">
      <c r="A254" s="21"/>
      <c r="B254" s="21"/>
      <c r="C254" s="21"/>
      <c r="D254" s="29"/>
      <c r="E254" s="29"/>
      <c r="F254" s="29"/>
      <c r="G254" s="29"/>
      <c r="H254" s="22"/>
      <c r="I254" s="30" t="n">
        <f aca="false">IF(COUNT(D254:G254)=0,0,PRODUCT(D254:G254))</f>
        <v>0</v>
      </c>
      <c r="J254" s="30" t="n">
        <f aca="false">I254*IF(H254="",1,H254)</f>
        <v>0</v>
      </c>
      <c r="K254" s="21"/>
    </row>
    <row r="255" customFormat="false" ht="15" hidden="false" customHeight="false" outlineLevel="0" collapsed="false">
      <c r="A255" s="21"/>
      <c r="B255" s="21"/>
      <c r="C255" s="21"/>
      <c r="D255" s="29"/>
      <c r="E255" s="29"/>
      <c r="F255" s="29"/>
      <c r="G255" s="29"/>
      <c r="H255" s="22"/>
      <c r="I255" s="30" t="n">
        <f aca="false">IF(COUNT(D255:G255)=0,0,PRODUCT(D255:G255))</f>
        <v>0</v>
      </c>
      <c r="J255" s="30" t="n">
        <f aca="false">I255*IF(H255="",1,H255)</f>
        <v>0</v>
      </c>
      <c r="K255" s="21"/>
    </row>
    <row r="256" customFormat="false" ht="15" hidden="false" customHeight="false" outlineLevel="0" collapsed="false">
      <c r="A256" s="21"/>
      <c r="B256" s="21"/>
      <c r="C256" s="21"/>
      <c r="D256" s="29"/>
      <c r="E256" s="29"/>
      <c r="F256" s="29"/>
      <c r="G256" s="29"/>
      <c r="H256" s="22"/>
      <c r="I256" s="30" t="n">
        <f aca="false">IF(COUNT(D256:G256)=0,0,PRODUCT(D256:G256))</f>
        <v>0</v>
      </c>
      <c r="J256" s="30" t="n">
        <f aca="false">I256*IF(H256="",1,H256)</f>
        <v>0</v>
      </c>
      <c r="K256" s="21"/>
    </row>
    <row r="257" customFormat="false" ht="15" hidden="false" customHeight="false" outlineLevel="0" collapsed="false">
      <c r="A257" s="21"/>
      <c r="B257" s="21"/>
      <c r="C257" s="21"/>
      <c r="D257" s="29"/>
      <c r="E257" s="29"/>
      <c r="F257" s="29"/>
      <c r="G257" s="29"/>
      <c r="H257" s="22"/>
      <c r="I257" s="30" t="n">
        <f aca="false">IF(COUNT(D257:G257)=0,0,PRODUCT(D257:G257))</f>
        <v>0</v>
      </c>
      <c r="J257" s="30" t="n">
        <f aca="false">I257*IF(H257="",1,H257)</f>
        <v>0</v>
      </c>
      <c r="K257" s="21"/>
    </row>
    <row r="258" customFormat="false" ht="15" hidden="false" customHeight="false" outlineLevel="0" collapsed="false">
      <c r="A258" s="21"/>
      <c r="B258" s="21"/>
      <c r="C258" s="21"/>
      <c r="D258" s="29"/>
      <c r="E258" s="29"/>
      <c r="F258" s="29"/>
      <c r="G258" s="29"/>
      <c r="H258" s="22"/>
      <c r="I258" s="30" t="n">
        <f aca="false">IF(COUNT(D258:G258)=0,0,PRODUCT(D258:G258))</f>
        <v>0</v>
      </c>
      <c r="J258" s="30" t="n">
        <f aca="false">I258*IF(H258="",1,H258)</f>
        <v>0</v>
      </c>
      <c r="K258" s="21"/>
    </row>
    <row r="259" customFormat="false" ht="15" hidden="false" customHeight="false" outlineLevel="0" collapsed="false">
      <c r="A259" s="21"/>
      <c r="B259" s="21"/>
      <c r="C259" s="21"/>
      <c r="D259" s="29"/>
      <c r="E259" s="29"/>
      <c r="F259" s="29"/>
      <c r="G259" s="29"/>
      <c r="H259" s="22"/>
      <c r="I259" s="30" t="n">
        <f aca="false">IF(COUNT(D259:G259)=0,0,PRODUCT(D259:G259))</f>
        <v>0</v>
      </c>
      <c r="J259" s="30" t="n">
        <f aca="false">I259*IF(H259="",1,H259)</f>
        <v>0</v>
      </c>
      <c r="K259" s="21"/>
    </row>
    <row r="260" customFormat="false" ht="15" hidden="false" customHeight="false" outlineLevel="0" collapsed="false">
      <c r="A260" s="21"/>
      <c r="B260" s="21"/>
      <c r="C260" s="21"/>
      <c r="D260" s="29"/>
      <c r="E260" s="29"/>
      <c r="F260" s="29"/>
      <c r="G260" s="29"/>
      <c r="H260" s="22"/>
      <c r="I260" s="30" t="n">
        <f aca="false">IF(COUNT(D260:G260)=0,0,PRODUCT(D260:G260))</f>
        <v>0</v>
      </c>
      <c r="J260" s="30" t="n">
        <f aca="false">I260*IF(H260="",1,H260)</f>
        <v>0</v>
      </c>
      <c r="K260" s="21"/>
    </row>
    <row r="261" customFormat="false" ht="15" hidden="false" customHeight="false" outlineLevel="0" collapsed="false">
      <c r="A261" s="21"/>
      <c r="B261" s="21"/>
      <c r="C261" s="21"/>
      <c r="D261" s="29"/>
      <c r="E261" s="29"/>
      <c r="F261" s="29"/>
      <c r="G261" s="29"/>
      <c r="H261" s="22"/>
      <c r="I261" s="30" t="n">
        <f aca="false">IF(COUNT(D261:G261)=0,0,PRODUCT(D261:G261))</f>
        <v>0</v>
      </c>
      <c r="J261" s="30" t="n">
        <f aca="false">I261*IF(H261="",1,H261)</f>
        <v>0</v>
      </c>
      <c r="K261" s="21"/>
    </row>
    <row r="262" customFormat="false" ht="15" hidden="false" customHeight="false" outlineLevel="0" collapsed="false">
      <c r="A262" s="21"/>
      <c r="B262" s="21"/>
      <c r="C262" s="21"/>
      <c r="D262" s="29"/>
      <c r="E262" s="29"/>
      <c r="F262" s="29"/>
      <c r="G262" s="29"/>
      <c r="H262" s="22"/>
      <c r="I262" s="30" t="n">
        <f aca="false">IF(COUNT(D262:G262)=0,0,PRODUCT(D262:G262))</f>
        <v>0</v>
      </c>
      <c r="J262" s="30" t="n">
        <f aca="false">I262*IF(H262="",1,H262)</f>
        <v>0</v>
      </c>
      <c r="K262" s="21"/>
    </row>
    <row r="263" customFormat="false" ht="15" hidden="false" customHeight="false" outlineLevel="0" collapsed="false">
      <c r="A263" s="21"/>
      <c r="B263" s="21"/>
      <c r="C263" s="21"/>
      <c r="D263" s="29"/>
      <c r="E263" s="29"/>
      <c r="F263" s="29"/>
      <c r="G263" s="29"/>
      <c r="H263" s="22"/>
      <c r="I263" s="30" t="n">
        <f aca="false">IF(COUNT(D263:G263)=0,0,PRODUCT(D263:G263))</f>
        <v>0</v>
      </c>
      <c r="J263" s="30" t="n">
        <f aca="false">I263*IF(H263="",1,H263)</f>
        <v>0</v>
      </c>
      <c r="K263" s="21"/>
    </row>
    <row r="264" customFormat="false" ht="15" hidden="false" customHeight="false" outlineLevel="0" collapsed="false">
      <c r="A264" s="21"/>
      <c r="B264" s="21"/>
      <c r="C264" s="21"/>
      <c r="D264" s="29"/>
      <c r="E264" s="29"/>
      <c r="F264" s="29"/>
      <c r="G264" s="29"/>
      <c r="H264" s="22"/>
      <c r="I264" s="30" t="n">
        <f aca="false">IF(COUNT(D264:G264)=0,0,PRODUCT(D264:G264))</f>
        <v>0</v>
      </c>
      <c r="J264" s="30" t="n">
        <f aca="false">I264*IF(H264="",1,H264)</f>
        <v>0</v>
      </c>
      <c r="K264" s="21"/>
    </row>
    <row r="265" customFormat="false" ht="15" hidden="false" customHeight="false" outlineLevel="0" collapsed="false">
      <c r="A265" s="21"/>
      <c r="B265" s="21"/>
      <c r="C265" s="21"/>
      <c r="D265" s="29"/>
      <c r="E265" s="29"/>
      <c r="F265" s="29"/>
      <c r="G265" s="29"/>
      <c r="H265" s="22"/>
      <c r="I265" s="30" t="n">
        <f aca="false">IF(COUNT(D265:G265)=0,0,PRODUCT(D265:G265))</f>
        <v>0</v>
      </c>
      <c r="J265" s="30" t="n">
        <f aca="false">I265*IF(H265="",1,H265)</f>
        <v>0</v>
      </c>
      <c r="K265" s="21"/>
    </row>
    <row r="266" customFormat="false" ht="15" hidden="false" customHeight="false" outlineLevel="0" collapsed="false">
      <c r="A266" s="21"/>
      <c r="B266" s="21"/>
      <c r="C266" s="21"/>
      <c r="D266" s="29"/>
      <c r="E266" s="29"/>
      <c r="F266" s="29"/>
      <c r="G266" s="29"/>
      <c r="H266" s="22"/>
      <c r="I266" s="30" t="n">
        <f aca="false">IF(COUNT(D266:G266)=0,0,PRODUCT(D266:G266))</f>
        <v>0</v>
      </c>
      <c r="J266" s="30" t="n">
        <f aca="false">I266*IF(H266="",1,H266)</f>
        <v>0</v>
      </c>
      <c r="K266" s="21"/>
    </row>
    <row r="267" customFormat="false" ht="15" hidden="false" customHeight="false" outlineLevel="0" collapsed="false">
      <c r="A267" s="21"/>
      <c r="B267" s="21"/>
      <c r="C267" s="21"/>
      <c r="D267" s="29"/>
      <c r="E267" s="29"/>
      <c r="F267" s="29"/>
      <c r="G267" s="29"/>
      <c r="H267" s="22"/>
      <c r="I267" s="30" t="n">
        <f aca="false">IF(COUNT(D267:G267)=0,0,PRODUCT(D267:G267))</f>
        <v>0</v>
      </c>
      <c r="J267" s="30" t="n">
        <f aca="false">I267*IF(H267="",1,H267)</f>
        <v>0</v>
      </c>
      <c r="K267" s="21"/>
    </row>
    <row r="268" customFormat="false" ht="15" hidden="false" customHeight="false" outlineLevel="0" collapsed="false">
      <c r="A268" s="21"/>
      <c r="B268" s="21"/>
      <c r="C268" s="21"/>
      <c r="D268" s="29"/>
      <c r="E268" s="29"/>
      <c r="F268" s="29"/>
      <c r="G268" s="29"/>
      <c r="H268" s="22"/>
      <c r="I268" s="30" t="n">
        <f aca="false">IF(COUNT(D268:G268)=0,0,PRODUCT(D268:G268))</f>
        <v>0</v>
      </c>
      <c r="J268" s="30" t="n">
        <f aca="false">I268*IF(H268="",1,H268)</f>
        <v>0</v>
      </c>
      <c r="K268" s="21"/>
    </row>
    <row r="269" customFormat="false" ht="15" hidden="false" customHeight="false" outlineLevel="0" collapsed="false">
      <c r="A269" s="21"/>
      <c r="B269" s="21"/>
      <c r="C269" s="21"/>
      <c r="D269" s="29"/>
      <c r="E269" s="29"/>
      <c r="F269" s="29"/>
      <c r="G269" s="29"/>
      <c r="H269" s="22"/>
      <c r="I269" s="30" t="n">
        <f aca="false">IF(COUNT(D269:G269)=0,0,PRODUCT(D269:G269))</f>
        <v>0</v>
      </c>
      <c r="J269" s="30" t="n">
        <f aca="false">I269*IF(H269="",1,H269)</f>
        <v>0</v>
      </c>
      <c r="K269" s="21"/>
    </row>
    <row r="270" customFormat="false" ht="15" hidden="false" customHeight="false" outlineLevel="0" collapsed="false">
      <c r="A270" s="21"/>
      <c r="B270" s="21"/>
      <c r="C270" s="21"/>
      <c r="D270" s="29"/>
      <c r="E270" s="29"/>
      <c r="F270" s="29"/>
      <c r="G270" s="29"/>
      <c r="H270" s="22"/>
      <c r="I270" s="30" t="n">
        <f aca="false">IF(COUNT(D270:G270)=0,0,PRODUCT(D270:G270))</f>
        <v>0</v>
      </c>
      <c r="J270" s="30" t="n">
        <f aca="false">I270*IF(H270="",1,H270)</f>
        <v>0</v>
      </c>
      <c r="K270" s="21"/>
    </row>
    <row r="271" customFormat="false" ht="15" hidden="false" customHeight="false" outlineLevel="0" collapsed="false">
      <c r="A271" s="21"/>
      <c r="B271" s="21"/>
      <c r="C271" s="21"/>
      <c r="D271" s="29"/>
      <c r="E271" s="29"/>
      <c r="F271" s="29"/>
      <c r="G271" s="29"/>
      <c r="H271" s="22"/>
      <c r="I271" s="30" t="n">
        <f aca="false">IF(COUNT(D271:G271)=0,0,PRODUCT(D271:G271))</f>
        <v>0</v>
      </c>
      <c r="J271" s="30" t="n">
        <f aca="false">I271*IF(H271="",1,H271)</f>
        <v>0</v>
      </c>
      <c r="K271" s="21"/>
    </row>
    <row r="272" customFormat="false" ht="15" hidden="false" customHeight="false" outlineLevel="0" collapsed="false">
      <c r="A272" s="21"/>
      <c r="B272" s="21"/>
      <c r="C272" s="21"/>
      <c r="D272" s="29"/>
      <c r="E272" s="29"/>
      <c r="F272" s="29"/>
      <c r="G272" s="29"/>
      <c r="H272" s="22"/>
      <c r="I272" s="30" t="n">
        <f aca="false">IF(COUNT(D272:G272)=0,0,PRODUCT(D272:G272))</f>
        <v>0</v>
      </c>
      <c r="J272" s="30" t="n">
        <f aca="false">I272*IF(H272="",1,H272)</f>
        <v>0</v>
      </c>
      <c r="K272" s="21"/>
    </row>
    <row r="273" customFormat="false" ht="15" hidden="false" customHeight="false" outlineLevel="0" collapsed="false">
      <c r="A273" s="21"/>
      <c r="B273" s="21"/>
      <c r="C273" s="21"/>
      <c r="D273" s="29"/>
      <c r="E273" s="29"/>
      <c r="F273" s="29"/>
      <c r="G273" s="29"/>
      <c r="H273" s="22"/>
      <c r="I273" s="30" t="n">
        <f aca="false">IF(COUNT(D273:G273)=0,0,PRODUCT(D273:G273))</f>
        <v>0</v>
      </c>
      <c r="J273" s="30" t="n">
        <f aca="false">I273*IF(H273="",1,H273)</f>
        <v>0</v>
      </c>
      <c r="K273" s="21"/>
    </row>
    <row r="274" customFormat="false" ht="15" hidden="false" customHeight="false" outlineLevel="0" collapsed="false">
      <c r="A274" s="21"/>
      <c r="B274" s="21"/>
      <c r="C274" s="21"/>
      <c r="D274" s="29"/>
      <c r="E274" s="29"/>
      <c r="F274" s="29"/>
      <c r="G274" s="29"/>
      <c r="H274" s="22"/>
      <c r="I274" s="30" t="n">
        <f aca="false">IF(COUNT(D274:G274)=0,0,PRODUCT(D274:G274))</f>
        <v>0</v>
      </c>
      <c r="J274" s="30" t="n">
        <f aca="false">I274*IF(H274="",1,H274)</f>
        <v>0</v>
      </c>
      <c r="K274" s="21"/>
    </row>
    <row r="275" customFormat="false" ht="15" hidden="false" customHeight="false" outlineLevel="0" collapsed="false">
      <c r="A275" s="21"/>
      <c r="B275" s="21"/>
      <c r="C275" s="21"/>
      <c r="D275" s="29"/>
      <c r="E275" s="29"/>
      <c r="F275" s="29"/>
      <c r="G275" s="29"/>
      <c r="H275" s="22"/>
      <c r="I275" s="30" t="n">
        <f aca="false">IF(COUNT(D275:G275)=0,0,PRODUCT(D275:G275))</f>
        <v>0</v>
      </c>
      <c r="J275" s="30" t="n">
        <f aca="false">I275*IF(H275="",1,H275)</f>
        <v>0</v>
      </c>
      <c r="K275" s="21"/>
    </row>
    <row r="276" customFormat="false" ht="15" hidden="false" customHeight="false" outlineLevel="0" collapsed="false">
      <c r="A276" s="21"/>
      <c r="B276" s="21"/>
      <c r="C276" s="21"/>
      <c r="D276" s="29"/>
      <c r="E276" s="29"/>
      <c r="F276" s="29"/>
      <c r="G276" s="29"/>
      <c r="H276" s="22"/>
      <c r="I276" s="30" t="n">
        <f aca="false">IF(COUNT(D276:G276)=0,0,PRODUCT(D276:G276))</f>
        <v>0</v>
      </c>
      <c r="J276" s="30" t="n">
        <f aca="false">I276*IF(H276="",1,H276)</f>
        <v>0</v>
      </c>
      <c r="K276" s="21"/>
    </row>
    <row r="277" customFormat="false" ht="15" hidden="false" customHeight="false" outlineLevel="0" collapsed="false">
      <c r="A277" s="21"/>
      <c r="B277" s="21"/>
      <c r="C277" s="21"/>
      <c r="D277" s="29"/>
      <c r="E277" s="29"/>
      <c r="F277" s="29"/>
      <c r="G277" s="29"/>
      <c r="H277" s="22"/>
      <c r="I277" s="30" t="n">
        <f aca="false">IF(COUNT(D277:G277)=0,0,PRODUCT(D277:G277))</f>
        <v>0</v>
      </c>
      <c r="J277" s="30" t="n">
        <f aca="false">I277*IF(H277="",1,H277)</f>
        <v>0</v>
      </c>
      <c r="K277" s="21"/>
    </row>
    <row r="278" customFormat="false" ht="15" hidden="false" customHeight="false" outlineLevel="0" collapsed="false">
      <c r="A278" s="21"/>
      <c r="B278" s="21"/>
      <c r="C278" s="21"/>
      <c r="D278" s="29"/>
      <c r="E278" s="29"/>
      <c r="F278" s="29"/>
      <c r="G278" s="29"/>
      <c r="H278" s="22"/>
      <c r="I278" s="30" t="n">
        <f aca="false">IF(COUNT(D278:G278)=0,0,PRODUCT(D278:G278))</f>
        <v>0</v>
      </c>
      <c r="J278" s="30" t="n">
        <f aca="false">I278*IF(H278="",1,H278)</f>
        <v>0</v>
      </c>
      <c r="K278" s="21"/>
    </row>
    <row r="279" customFormat="false" ht="15" hidden="false" customHeight="false" outlineLevel="0" collapsed="false">
      <c r="A279" s="21"/>
      <c r="B279" s="21"/>
      <c r="C279" s="21"/>
      <c r="D279" s="29"/>
      <c r="E279" s="29"/>
      <c r="F279" s="29"/>
      <c r="G279" s="29"/>
      <c r="H279" s="22"/>
      <c r="I279" s="30" t="n">
        <f aca="false">IF(COUNT(D279:G279)=0,0,PRODUCT(D279:G279))</f>
        <v>0</v>
      </c>
      <c r="J279" s="30" t="n">
        <f aca="false">I279*IF(H279="",1,H279)</f>
        <v>0</v>
      </c>
      <c r="K279" s="21"/>
    </row>
    <row r="280" customFormat="false" ht="15" hidden="false" customHeight="false" outlineLevel="0" collapsed="false">
      <c r="A280" s="21"/>
      <c r="B280" s="21"/>
      <c r="C280" s="21"/>
      <c r="D280" s="29"/>
      <c r="E280" s="29"/>
      <c r="F280" s="29"/>
      <c r="G280" s="29"/>
      <c r="H280" s="22"/>
      <c r="I280" s="30" t="n">
        <f aca="false">IF(COUNT(D280:G280)=0,0,PRODUCT(D280:G280))</f>
        <v>0</v>
      </c>
      <c r="J280" s="30" t="n">
        <f aca="false">I280*IF(H280="",1,H280)</f>
        <v>0</v>
      </c>
      <c r="K280" s="21"/>
    </row>
    <row r="281" customFormat="false" ht="15" hidden="false" customHeight="false" outlineLevel="0" collapsed="false">
      <c r="A281" s="21"/>
      <c r="B281" s="21"/>
      <c r="C281" s="21"/>
      <c r="D281" s="29"/>
      <c r="E281" s="29"/>
      <c r="F281" s="29"/>
      <c r="G281" s="29"/>
      <c r="H281" s="22"/>
      <c r="I281" s="30" t="n">
        <f aca="false">IF(COUNT(D281:G281)=0,0,PRODUCT(D281:G281))</f>
        <v>0</v>
      </c>
      <c r="J281" s="30" t="n">
        <f aca="false">I281*IF(H281="",1,H281)</f>
        <v>0</v>
      </c>
      <c r="K281" s="21"/>
    </row>
    <row r="282" customFormat="false" ht="15" hidden="false" customHeight="false" outlineLevel="0" collapsed="false">
      <c r="A282" s="21"/>
      <c r="B282" s="21"/>
      <c r="C282" s="21"/>
      <c r="D282" s="29"/>
      <c r="E282" s="29"/>
      <c r="F282" s="29"/>
      <c r="G282" s="29"/>
      <c r="H282" s="22"/>
      <c r="I282" s="30" t="n">
        <f aca="false">IF(COUNT(D282:G282)=0,0,PRODUCT(D282:G282))</f>
        <v>0</v>
      </c>
      <c r="J282" s="30" t="n">
        <f aca="false">I282*IF(H282="",1,H282)</f>
        <v>0</v>
      </c>
      <c r="K282" s="21"/>
    </row>
    <row r="283" customFormat="false" ht="15" hidden="false" customHeight="false" outlineLevel="0" collapsed="false">
      <c r="A283" s="21"/>
      <c r="B283" s="21"/>
      <c r="C283" s="21"/>
      <c r="D283" s="29"/>
      <c r="E283" s="29"/>
      <c r="F283" s="29"/>
      <c r="G283" s="29"/>
      <c r="H283" s="22"/>
      <c r="I283" s="30" t="n">
        <f aca="false">IF(COUNT(D283:G283)=0,0,PRODUCT(D283:G283))</f>
        <v>0</v>
      </c>
      <c r="J283" s="30" t="n">
        <f aca="false">I283*IF(H283="",1,H283)</f>
        <v>0</v>
      </c>
      <c r="K283" s="21"/>
    </row>
    <row r="284" customFormat="false" ht="15" hidden="false" customHeight="false" outlineLevel="0" collapsed="false">
      <c r="A284" s="21"/>
      <c r="B284" s="21"/>
      <c r="C284" s="21"/>
      <c r="D284" s="29"/>
      <c r="E284" s="29"/>
      <c r="F284" s="29"/>
      <c r="G284" s="29"/>
      <c r="H284" s="22"/>
      <c r="I284" s="30" t="n">
        <f aca="false">IF(COUNT(D284:G284)=0,0,PRODUCT(D284:G284))</f>
        <v>0</v>
      </c>
      <c r="J284" s="30" t="n">
        <f aca="false">I284*IF(H284="",1,H284)</f>
        <v>0</v>
      </c>
      <c r="K284" s="21"/>
    </row>
    <row r="285" customFormat="false" ht="15" hidden="false" customHeight="false" outlineLevel="0" collapsed="false">
      <c r="A285" s="21"/>
      <c r="B285" s="21"/>
      <c r="C285" s="21"/>
      <c r="D285" s="29"/>
      <c r="E285" s="29"/>
      <c r="F285" s="29"/>
      <c r="G285" s="29"/>
      <c r="H285" s="22"/>
      <c r="I285" s="30" t="n">
        <f aca="false">IF(COUNT(D285:G285)=0,0,PRODUCT(D285:G285))</f>
        <v>0</v>
      </c>
      <c r="J285" s="30" t="n">
        <f aca="false">I285*IF(H285="",1,H285)</f>
        <v>0</v>
      </c>
      <c r="K285" s="21"/>
    </row>
    <row r="286" customFormat="false" ht="15" hidden="false" customHeight="false" outlineLevel="0" collapsed="false">
      <c r="A286" s="21"/>
      <c r="B286" s="21"/>
      <c r="C286" s="21"/>
      <c r="D286" s="29"/>
      <c r="E286" s="29"/>
      <c r="F286" s="29"/>
      <c r="G286" s="29"/>
      <c r="H286" s="22"/>
      <c r="I286" s="30" t="n">
        <f aca="false">IF(COUNT(D286:G286)=0,0,PRODUCT(D286:G286))</f>
        <v>0</v>
      </c>
      <c r="J286" s="30" t="n">
        <f aca="false">I286*IF(H286="",1,H286)</f>
        <v>0</v>
      </c>
      <c r="K286" s="21"/>
    </row>
    <row r="287" customFormat="false" ht="15" hidden="false" customHeight="false" outlineLevel="0" collapsed="false">
      <c r="A287" s="21"/>
      <c r="B287" s="21"/>
      <c r="C287" s="21"/>
      <c r="D287" s="29"/>
      <c r="E287" s="29"/>
      <c r="F287" s="29"/>
      <c r="G287" s="29"/>
      <c r="H287" s="22"/>
      <c r="I287" s="30" t="n">
        <f aca="false">IF(COUNT(D287:G287)=0,0,PRODUCT(D287:G287))</f>
        <v>0</v>
      </c>
      <c r="J287" s="30" t="n">
        <f aca="false">I287*IF(H287="",1,H287)</f>
        <v>0</v>
      </c>
      <c r="K287" s="21"/>
    </row>
    <row r="288" customFormat="false" ht="15" hidden="false" customHeight="false" outlineLevel="0" collapsed="false">
      <c r="A288" s="21"/>
      <c r="B288" s="21"/>
      <c r="C288" s="21"/>
      <c r="D288" s="29"/>
      <c r="E288" s="29"/>
      <c r="F288" s="29"/>
      <c r="G288" s="29"/>
      <c r="H288" s="22"/>
      <c r="I288" s="30" t="n">
        <f aca="false">IF(COUNT(D288:G288)=0,0,PRODUCT(D288:G288))</f>
        <v>0</v>
      </c>
      <c r="J288" s="30" t="n">
        <f aca="false">I288*IF(H288="",1,H288)</f>
        <v>0</v>
      </c>
      <c r="K288" s="21"/>
    </row>
    <row r="289" customFormat="false" ht="15" hidden="false" customHeight="false" outlineLevel="0" collapsed="false">
      <c r="A289" s="21"/>
      <c r="B289" s="21"/>
      <c r="C289" s="21"/>
      <c r="D289" s="29"/>
      <c r="E289" s="29"/>
      <c r="F289" s="29"/>
      <c r="G289" s="29"/>
      <c r="H289" s="22"/>
      <c r="I289" s="30" t="n">
        <f aca="false">IF(COUNT(D289:G289)=0,0,PRODUCT(D289:G289))</f>
        <v>0</v>
      </c>
      <c r="J289" s="30" t="n">
        <f aca="false">I289*IF(H289="",1,H289)</f>
        <v>0</v>
      </c>
      <c r="K289" s="21"/>
    </row>
    <row r="290" customFormat="false" ht="15" hidden="false" customHeight="false" outlineLevel="0" collapsed="false">
      <c r="A290" s="21"/>
      <c r="B290" s="21"/>
      <c r="C290" s="21"/>
      <c r="D290" s="29"/>
      <c r="E290" s="29"/>
      <c r="F290" s="29"/>
      <c r="G290" s="29"/>
      <c r="H290" s="22"/>
      <c r="I290" s="30" t="n">
        <f aca="false">IF(COUNT(D290:G290)=0,0,PRODUCT(D290:G290))</f>
        <v>0</v>
      </c>
      <c r="J290" s="30" t="n">
        <f aca="false">I290*IF(H290="",1,H290)</f>
        <v>0</v>
      </c>
      <c r="K290" s="21"/>
    </row>
    <row r="291" customFormat="false" ht="15" hidden="false" customHeight="false" outlineLevel="0" collapsed="false">
      <c r="A291" s="21"/>
      <c r="B291" s="21"/>
      <c r="C291" s="21"/>
      <c r="D291" s="29"/>
      <c r="E291" s="29"/>
      <c r="F291" s="29"/>
      <c r="G291" s="29"/>
      <c r="H291" s="22"/>
      <c r="I291" s="30" t="n">
        <f aca="false">IF(COUNT(D291:G291)=0,0,PRODUCT(D291:G291))</f>
        <v>0</v>
      </c>
      <c r="J291" s="30" t="n">
        <f aca="false">I291*IF(H291="",1,H291)</f>
        <v>0</v>
      </c>
      <c r="K291" s="21"/>
    </row>
    <row r="292" customFormat="false" ht="15" hidden="false" customHeight="false" outlineLevel="0" collapsed="false">
      <c r="A292" s="21"/>
      <c r="B292" s="21"/>
      <c r="C292" s="21"/>
      <c r="D292" s="29"/>
      <c r="E292" s="29"/>
      <c r="F292" s="29"/>
      <c r="G292" s="29"/>
      <c r="H292" s="22"/>
      <c r="I292" s="30" t="n">
        <f aca="false">IF(COUNT(D292:G292)=0,0,PRODUCT(D292:G292))</f>
        <v>0</v>
      </c>
      <c r="J292" s="30" t="n">
        <f aca="false">I292*IF(H292="",1,H292)</f>
        <v>0</v>
      </c>
      <c r="K292" s="21"/>
    </row>
    <row r="293" customFormat="false" ht="15" hidden="false" customHeight="false" outlineLevel="0" collapsed="false">
      <c r="A293" s="21"/>
      <c r="B293" s="21"/>
      <c r="C293" s="21"/>
      <c r="D293" s="29"/>
      <c r="E293" s="29"/>
      <c r="F293" s="29"/>
      <c r="G293" s="29"/>
      <c r="H293" s="22"/>
      <c r="I293" s="30" t="n">
        <f aca="false">IF(COUNT(D293:G293)=0,0,PRODUCT(D293:G293))</f>
        <v>0</v>
      </c>
      <c r="J293" s="30" t="n">
        <f aca="false">I293*IF(H293="",1,H293)</f>
        <v>0</v>
      </c>
      <c r="K293" s="21"/>
    </row>
    <row r="294" customFormat="false" ht="15" hidden="false" customHeight="false" outlineLevel="0" collapsed="false">
      <c r="A294" s="21"/>
      <c r="B294" s="21"/>
      <c r="C294" s="21"/>
      <c r="D294" s="29"/>
      <c r="E294" s="29"/>
      <c r="F294" s="29"/>
      <c r="G294" s="29"/>
      <c r="H294" s="22"/>
      <c r="I294" s="30" t="n">
        <f aca="false">IF(COUNT(D294:G294)=0,0,PRODUCT(D294:G294))</f>
        <v>0</v>
      </c>
      <c r="J294" s="30" t="n">
        <f aca="false">I294*IF(H294="",1,H294)</f>
        <v>0</v>
      </c>
      <c r="K294" s="21"/>
    </row>
    <row r="295" customFormat="false" ht="15" hidden="false" customHeight="false" outlineLevel="0" collapsed="false">
      <c r="A295" s="21"/>
      <c r="B295" s="21"/>
      <c r="C295" s="21"/>
      <c r="D295" s="29"/>
      <c r="E295" s="29"/>
      <c r="F295" s="29"/>
      <c r="G295" s="29"/>
      <c r="H295" s="22"/>
      <c r="I295" s="30" t="n">
        <f aca="false">IF(COUNT(D295:G295)=0,0,PRODUCT(D295:G295))</f>
        <v>0</v>
      </c>
      <c r="J295" s="30" t="n">
        <f aca="false">I295*IF(H295="",1,H295)</f>
        <v>0</v>
      </c>
      <c r="K295" s="21"/>
    </row>
    <row r="296" customFormat="false" ht="15" hidden="false" customHeight="false" outlineLevel="0" collapsed="false">
      <c r="A296" s="21"/>
      <c r="B296" s="21"/>
      <c r="C296" s="21"/>
      <c r="D296" s="29"/>
      <c r="E296" s="29"/>
      <c r="F296" s="29"/>
      <c r="G296" s="29"/>
      <c r="H296" s="22"/>
      <c r="I296" s="30" t="n">
        <f aca="false">IF(COUNT(D296:G296)=0,0,PRODUCT(D296:G296))</f>
        <v>0</v>
      </c>
      <c r="J296" s="30" t="n">
        <f aca="false">I296*IF(H296="",1,H296)</f>
        <v>0</v>
      </c>
      <c r="K296" s="21"/>
    </row>
    <row r="297" customFormat="false" ht="15" hidden="false" customHeight="false" outlineLevel="0" collapsed="false">
      <c r="A297" s="21"/>
      <c r="B297" s="21"/>
      <c r="C297" s="21"/>
      <c r="D297" s="29"/>
      <c r="E297" s="29"/>
      <c r="F297" s="29"/>
      <c r="G297" s="29"/>
      <c r="H297" s="22"/>
      <c r="I297" s="30" t="n">
        <f aca="false">IF(COUNT(D297:G297)=0,0,PRODUCT(D297:G297))</f>
        <v>0</v>
      </c>
      <c r="J297" s="30" t="n">
        <f aca="false">I297*IF(H297="",1,H297)</f>
        <v>0</v>
      </c>
      <c r="K297" s="21"/>
    </row>
    <row r="298" customFormat="false" ht="15" hidden="false" customHeight="false" outlineLevel="0" collapsed="false">
      <c r="A298" s="21"/>
      <c r="B298" s="21"/>
      <c r="C298" s="21"/>
      <c r="D298" s="29"/>
      <c r="E298" s="29"/>
      <c r="F298" s="29"/>
      <c r="G298" s="29"/>
      <c r="H298" s="22"/>
      <c r="I298" s="30" t="n">
        <f aca="false">IF(COUNT(D298:G298)=0,0,PRODUCT(D298:G298))</f>
        <v>0</v>
      </c>
      <c r="J298" s="30" t="n">
        <f aca="false">I298*IF(H298="",1,H298)</f>
        <v>0</v>
      </c>
      <c r="K298" s="21"/>
    </row>
    <row r="299" customFormat="false" ht="15" hidden="false" customHeight="false" outlineLevel="0" collapsed="false">
      <c r="A299" s="21"/>
      <c r="B299" s="21"/>
      <c r="C299" s="21"/>
      <c r="D299" s="29"/>
      <c r="E299" s="29"/>
      <c r="F299" s="29"/>
      <c r="G299" s="29"/>
      <c r="H299" s="22"/>
      <c r="I299" s="30" t="n">
        <f aca="false">IF(COUNT(D299:G299)=0,0,PRODUCT(D299:G299))</f>
        <v>0</v>
      </c>
      <c r="J299" s="30" t="n">
        <f aca="false">I299*IF(H299="",1,H299)</f>
        <v>0</v>
      </c>
      <c r="K299" s="21"/>
    </row>
    <row r="300" customFormat="false" ht="15" hidden="false" customHeight="false" outlineLevel="0" collapsed="false">
      <c r="A300" s="21"/>
      <c r="B300" s="21"/>
      <c r="C300" s="21"/>
      <c r="D300" s="29"/>
      <c r="E300" s="29"/>
      <c r="F300" s="29"/>
      <c r="G300" s="29"/>
      <c r="H300" s="22"/>
      <c r="I300" s="30" t="n">
        <f aca="false">IF(COUNT(D300:G300)=0,0,PRODUCT(D300:G300))</f>
        <v>0</v>
      </c>
      <c r="J300" s="30" t="n">
        <f aca="false">I300*IF(H300="",1,H300)</f>
        <v>0</v>
      </c>
      <c r="K300" s="21"/>
    </row>
    <row r="301" customFormat="false" ht="15" hidden="false" customHeight="false" outlineLevel="0" collapsed="false">
      <c r="A301" s="21"/>
      <c r="B301" s="21"/>
      <c r="C301" s="21"/>
      <c r="D301" s="29"/>
      <c r="E301" s="29"/>
      <c r="F301" s="29"/>
      <c r="G301" s="29"/>
      <c r="H301" s="22"/>
      <c r="I301" s="30" t="n">
        <f aca="false">IF(COUNT(D301:G301)=0,0,PRODUCT(D301:G301))</f>
        <v>0</v>
      </c>
      <c r="J301" s="30" t="n">
        <f aca="false">I301*IF(H301="",1,H301)</f>
        <v>0</v>
      </c>
      <c r="K301" s="21"/>
    </row>
    <row r="302" customFormat="false" ht="15" hidden="false" customHeight="false" outlineLevel="0" collapsed="false">
      <c r="A302" s="21"/>
      <c r="B302" s="21"/>
      <c r="C302" s="21"/>
      <c r="D302" s="29"/>
      <c r="E302" s="29"/>
      <c r="F302" s="29"/>
      <c r="G302" s="29"/>
      <c r="H302" s="22"/>
      <c r="I302" s="30" t="n">
        <f aca="false">IF(COUNT(D302:G302)=0,0,PRODUCT(D302:G302))</f>
        <v>0</v>
      </c>
      <c r="J302" s="30" t="n">
        <f aca="false">I302*IF(H302="",1,H302)</f>
        <v>0</v>
      </c>
      <c r="K302" s="21"/>
    </row>
    <row r="303" customFormat="false" ht="15" hidden="false" customHeight="false" outlineLevel="0" collapsed="false">
      <c r="A303" s="21"/>
      <c r="B303" s="21"/>
      <c r="C303" s="21"/>
      <c r="D303" s="29"/>
      <c r="E303" s="29"/>
      <c r="F303" s="29"/>
      <c r="G303" s="29"/>
      <c r="H303" s="22"/>
      <c r="I303" s="30" t="n">
        <f aca="false">IF(COUNT(D303:G303)=0,0,PRODUCT(D303:G303))</f>
        <v>0</v>
      </c>
      <c r="J303" s="30" t="n">
        <f aca="false">I303*IF(H303="",1,H303)</f>
        <v>0</v>
      </c>
      <c r="K303" s="21"/>
    </row>
    <row r="304" customFormat="false" ht="15" hidden="false" customHeight="false" outlineLevel="0" collapsed="false">
      <c r="A304" s="21"/>
      <c r="B304" s="21"/>
      <c r="C304" s="21"/>
      <c r="D304" s="29"/>
      <c r="E304" s="29"/>
      <c r="F304" s="29"/>
      <c r="G304" s="29"/>
      <c r="H304" s="22"/>
      <c r="I304" s="30" t="n">
        <f aca="false">IF(COUNT(D304:G304)=0,0,PRODUCT(D304:G304))</f>
        <v>0</v>
      </c>
      <c r="J304" s="30" t="n">
        <f aca="false">I304*IF(H304="",1,H304)</f>
        <v>0</v>
      </c>
      <c r="K304" s="21"/>
    </row>
    <row r="305" customFormat="false" ht="15" hidden="false" customHeight="false" outlineLevel="0" collapsed="false">
      <c r="A305" s="21"/>
      <c r="B305" s="21"/>
      <c r="C305" s="21"/>
      <c r="D305" s="29"/>
      <c r="E305" s="29"/>
      <c r="F305" s="29"/>
      <c r="G305" s="29"/>
      <c r="H305" s="22"/>
      <c r="I305" s="30" t="n">
        <f aca="false">IF(COUNT(D305:G305)=0,0,PRODUCT(D305:G305))</f>
        <v>0</v>
      </c>
      <c r="J305" s="30" t="n">
        <f aca="false">I305*IF(H305="",1,H305)</f>
        <v>0</v>
      </c>
      <c r="K305" s="21"/>
    </row>
    <row r="306" customFormat="false" ht="15" hidden="false" customHeight="false" outlineLevel="0" collapsed="false">
      <c r="A306" s="21"/>
      <c r="B306" s="21"/>
      <c r="C306" s="21"/>
      <c r="D306" s="29"/>
      <c r="E306" s="29"/>
      <c r="F306" s="29"/>
      <c r="G306" s="29"/>
      <c r="H306" s="22"/>
      <c r="I306" s="30" t="n">
        <f aca="false">IF(COUNT(D306:G306)=0,0,PRODUCT(D306:G306))</f>
        <v>0</v>
      </c>
      <c r="J306" s="30" t="n">
        <f aca="false">I306*IF(H306="",1,H306)</f>
        <v>0</v>
      </c>
      <c r="K306" s="21"/>
    </row>
    <row r="307" customFormat="false" ht="15" hidden="false" customHeight="false" outlineLevel="0" collapsed="false">
      <c r="A307" s="21"/>
      <c r="B307" s="21"/>
      <c r="C307" s="21"/>
      <c r="D307" s="29"/>
      <c r="E307" s="29"/>
      <c r="F307" s="29"/>
      <c r="G307" s="29"/>
      <c r="H307" s="22"/>
      <c r="I307" s="30" t="n">
        <f aca="false">IF(COUNT(D307:G307)=0,0,PRODUCT(D307:G307))</f>
        <v>0</v>
      </c>
      <c r="J307" s="30" t="n">
        <f aca="false">I307*IF(H307="",1,H307)</f>
        <v>0</v>
      </c>
      <c r="K307" s="21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H8:H307" type="list">
      <formula1>"1,-1"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</row>
    <row r="2" customFormat="false" ht="15" hidden="false" customHeight="false" outlineLevel="0" collapsed="false">
      <c r="A2" s="8" t="s">
        <v>116</v>
      </c>
      <c r="B2" s="8"/>
      <c r="C2" s="8"/>
      <c r="D2" s="8"/>
    </row>
    <row r="3" customFormat="false" ht="15" hidden="false" customHeight="false" outlineLevel="0" collapsed="false">
      <c r="A3" s="9" t="s">
        <v>16</v>
      </c>
      <c r="B3" s="10"/>
    </row>
    <row r="4" customFormat="false" ht="15" hidden="false" customHeight="false" outlineLevel="0" collapsed="false">
      <c r="A4" s="9" t="s">
        <v>17</v>
      </c>
      <c r="B4" s="10"/>
    </row>
    <row r="6" customFormat="false" ht="15" hidden="false" customHeight="true" outlineLevel="0" collapsed="false">
      <c r="A6" s="32" t="s">
        <v>117</v>
      </c>
      <c r="B6" s="32"/>
      <c r="C6" s="32" t="s">
        <v>118</v>
      </c>
      <c r="D6" s="32"/>
    </row>
    <row r="7" customFormat="false" ht="15" hidden="false" customHeight="false" outlineLevel="0" collapsed="false">
      <c r="A7" s="32"/>
      <c r="B7" s="32"/>
      <c r="C7" s="32"/>
      <c r="D7" s="32"/>
    </row>
    <row r="8" customFormat="false" ht="15" hidden="false" customHeight="false" outlineLevel="0" collapsed="false">
      <c r="A8" s="32"/>
      <c r="B8" s="32"/>
      <c r="C8" s="32"/>
      <c r="D8" s="32"/>
    </row>
    <row r="9" customFormat="false" ht="15" hidden="false" customHeight="false" outlineLevel="0" collapsed="false">
      <c r="A9" s="32"/>
      <c r="B9" s="32"/>
      <c r="C9" s="32"/>
      <c r="D9" s="32"/>
    </row>
    <row r="10" customFormat="false" ht="15" hidden="false" customHeight="false" outlineLevel="0" collapsed="false">
      <c r="A10" s="32"/>
      <c r="B10" s="32"/>
      <c r="C10" s="32"/>
      <c r="D10" s="32"/>
    </row>
    <row r="11" customFormat="false" ht="15" hidden="false" customHeight="false" outlineLevel="0" collapsed="false">
      <c r="A11" s="32"/>
      <c r="B11" s="32"/>
      <c r="C11" s="32"/>
      <c r="D11" s="32"/>
    </row>
    <row r="12" customFormat="false" ht="15" hidden="false" customHeight="false" outlineLevel="0" collapsed="false">
      <c r="A12" s="32"/>
      <c r="B12" s="32"/>
      <c r="C12" s="32"/>
      <c r="D12" s="32"/>
    </row>
    <row r="13" customFormat="false" ht="15" hidden="false" customHeight="false" outlineLevel="0" collapsed="false">
      <c r="A13" s="32"/>
      <c r="B13" s="32"/>
      <c r="C13" s="32"/>
      <c r="D13" s="32"/>
    </row>
    <row r="14" customFormat="false" ht="15" hidden="false" customHeight="false" outlineLevel="0" collapsed="false">
      <c r="A14" s="32"/>
      <c r="B14" s="32"/>
      <c r="C14" s="32"/>
      <c r="D14" s="32"/>
    </row>
    <row r="15" customFormat="false" ht="15" hidden="false" customHeight="false" outlineLevel="0" collapsed="false">
      <c r="A15" s="32"/>
      <c r="B15" s="32"/>
      <c r="C15" s="32"/>
      <c r="D15" s="32"/>
    </row>
    <row r="16" customFormat="false" ht="15" hidden="false" customHeight="false" outlineLevel="0" collapsed="false">
      <c r="A16" s="32"/>
      <c r="B16" s="32"/>
      <c r="C16" s="32"/>
      <c r="D16" s="32"/>
    </row>
    <row r="17" customFormat="false" ht="15" hidden="false" customHeight="false" outlineLevel="0" collapsed="false">
      <c r="A17" s="32"/>
      <c r="B17" s="32"/>
      <c r="C17" s="32"/>
      <c r="D17" s="32"/>
    </row>
    <row r="18" customFormat="false" ht="15" hidden="false" customHeight="false" outlineLevel="0" collapsed="false">
      <c r="A18" s="32"/>
      <c r="B18" s="32"/>
      <c r="C18" s="32"/>
      <c r="D18" s="32"/>
    </row>
    <row r="19" customFormat="false" ht="15" hidden="false" customHeight="false" outlineLevel="0" collapsed="false">
      <c r="A19" s="12" t="s">
        <v>119</v>
      </c>
      <c r="B19" s="21"/>
      <c r="C19" s="12" t="s">
        <v>119</v>
      </c>
      <c r="D19" s="21"/>
    </row>
    <row r="20" customFormat="false" ht="15" hidden="false" customHeight="false" outlineLevel="0" collapsed="false">
      <c r="A20" s="12" t="s">
        <v>120</v>
      </c>
      <c r="B20" s="21"/>
      <c r="C20" s="12" t="s">
        <v>120</v>
      </c>
      <c r="D20" s="21"/>
    </row>
    <row r="22" customFormat="false" ht="15" hidden="false" customHeight="true" outlineLevel="0" collapsed="false">
      <c r="A22" s="32" t="s">
        <v>121</v>
      </c>
      <c r="B22" s="32"/>
      <c r="C22" s="32" t="s">
        <v>122</v>
      </c>
      <c r="D22" s="32"/>
    </row>
    <row r="23" customFormat="false" ht="15" hidden="false" customHeight="false" outlineLevel="0" collapsed="false">
      <c r="A23" s="32"/>
      <c r="B23" s="32"/>
      <c r="C23" s="32"/>
      <c r="D23" s="32"/>
    </row>
    <row r="24" customFormat="false" ht="15" hidden="false" customHeight="false" outlineLevel="0" collapsed="false">
      <c r="A24" s="32"/>
      <c r="B24" s="32"/>
      <c r="C24" s="32"/>
      <c r="D24" s="32"/>
    </row>
    <row r="25" customFormat="false" ht="15" hidden="false" customHeight="false" outlineLevel="0" collapsed="false">
      <c r="A25" s="32"/>
      <c r="B25" s="32"/>
      <c r="C25" s="32"/>
      <c r="D25" s="32"/>
    </row>
    <row r="26" customFormat="false" ht="15" hidden="false" customHeight="false" outlineLevel="0" collapsed="false">
      <c r="A26" s="32"/>
      <c r="B26" s="32"/>
      <c r="C26" s="32"/>
      <c r="D26" s="32"/>
    </row>
    <row r="27" customFormat="false" ht="15" hidden="false" customHeight="false" outlineLevel="0" collapsed="false">
      <c r="A27" s="32"/>
      <c r="B27" s="32"/>
      <c r="C27" s="32"/>
      <c r="D27" s="32"/>
    </row>
    <row r="28" customFormat="false" ht="15" hidden="false" customHeight="false" outlineLevel="0" collapsed="false">
      <c r="A28" s="32"/>
      <c r="B28" s="32"/>
      <c r="C28" s="32"/>
      <c r="D28" s="32"/>
    </row>
    <row r="29" customFormat="false" ht="15" hidden="false" customHeight="false" outlineLevel="0" collapsed="false">
      <c r="A29" s="32"/>
      <c r="B29" s="32"/>
      <c r="C29" s="32"/>
      <c r="D29" s="32"/>
    </row>
    <row r="30" customFormat="false" ht="15" hidden="false" customHeight="false" outlineLevel="0" collapsed="false">
      <c r="A30" s="32"/>
      <c r="B30" s="32"/>
      <c r="C30" s="32"/>
      <c r="D30" s="32"/>
    </row>
    <row r="31" customFormat="false" ht="15" hidden="false" customHeight="false" outlineLevel="0" collapsed="false">
      <c r="A31" s="32"/>
      <c r="B31" s="32"/>
      <c r="C31" s="32"/>
      <c r="D31" s="32"/>
    </row>
    <row r="32" customFormat="false" ht="15" hidden="false" customHeight="false" outlineLevel="0" collapsed="false">
      <c r="A32" s="32"/>
      <c r="B32" s="32"/>
      <c r="C32" s="32"/>
      <c r="D32" s="32"/>
    </row>
    <row r="33" customFormat="false" ht="15" hidden="false" customHeight="false" outlineLevel="0" collapsed="false">
      <c r="A33" s="32"/>
      <c r="B33" s="32"/>
      <c r="C33" s="32"/>
      <c r="D33" s="32"/>
    </row>
    <row r="34" customFormat="false" ht="15" hidden="false" customHeight="false" outlineLevel="0" collapsed="false">
      <c r="A34" s="32"/>
      <c r="B34" s="32"/>
      <c r="C34" s="32"/>
      <c r="D34" s="32"/>
    </row>
    <row r="35" customFormat="false" ht="15" hidden="false" customHeight="false" outlineLevel="0" collapsed="false">
      <c r="A35" s="12" t="s">
        <v>119</v>
      </c>
      <c r="B35" s="21"/>
      <c r="C35" s="12" t="s">
        <v>119</v>
      </c>
      <c r="D35" s="21"/>
    </row>
    <row r="36" customFormat="false" ht="15" hidden="false" customHeight="false" outlineLevel="0" collapsed="false">
      <c r="A36" s="12" t="s">
        <v>120</v>
      </c>
      <c r="B36" s="21"/>
      <c r="C36" s="12" t="s">
        <v>120</v>
      </c>
      <c r="D36" s="21"/>
    </row>
    <row r="38" customFormat="false" ht="15" hidden="false" customHeight="true" outlineLevel="0" collapsed="false">
      <c r="A38" s="32" t="s">
        <v>123</v>
      </c>
      <c r="B38" s="32"/>
      <c r="C38" s="32" t="s">
        <v>124</v>
      </c>
      <c r="D38" s="32"/>
    </row>
    <row r="39" customFormat="false" ht="15" hidden="false" customHeight="false" outlineLevel="0" collapsed="false">
      <c r="A39" s="32"/>
      <c r="B39" s="32"/>
      <c r="C39" s="32"/>
      <c r="D39" s="32"/>
    </row>
    <row r="40" customFormat="false" ht="15" hidden="false" customHeight="false" outlineLevel="0" collapsed="false">
      <c r="A40" s="32"/>
      <c r="B40" s="32"/>
      <c r="C40" s="32"/>
      <c r="D40" s="32"/>
    </row>
    <row r="41" customFormat="false" ht="15" hidden="false" customHeight="false" outlineLevel="0" collapsed="false">
      <c r="A41" s="32"/>
      <c r="B41" s="32"/>
      <c r="C41" s="32"/>
      <c r="D41" s="32"/>
    </row>
    <row r="42" customFormat="false" ht="15" hidden="false" customHeight="false" outlineLevel="0" collapsed="false">
      <c r="A42" s="32"/>
      <c r="B42" s="32"/>
      <c r="C42" s="32"/>
      <c r="D42" s="32"/>
    </row>
    <row r="43" customFormat="false" ht="15" hidden="false" customHeight="false" outlineLevel="0" collapsed="false">
      <c r="A43" s="32"/>
      <c r="B43" s="32"/>
      <c r="C43" s="32"/>
      <c r="D43" s="32"/>
    </row>
    <row r="44" customFormat="false" ht="15" hidden="false" customHeight="false" outlineLevel="0" collapsed="false">
      <c r="A44" s="32"/>
      <c r="B44" s="32"/>
      <c r="C44" s="32"/>
      <c r="D44" s="32"/>
    </row>
    <row r="45" customFormat="false" ht="15" hidden="false" customHeight="false" outlineLevel="0" collapsed="false">
      <c r="A45" s="32"/>
      <c r="B45" s="32"/>
      <c r="C45" s="32"/>
      <c r="D45" s="32"/>
    </row>
    <row r="46" customFormat="false" ht="15" hidden="false" customHeight="false" outlineLevel="0" collapsed="false">
      <c r="A46" s="32"/>
      <c r="B46" s="32"/>
      <c r="C46" s="32"/>
      <c r="D46" s="32"/>
    </row>
    <row r="47" customFormat="false" ht="15" hidden="false" customHeight="false" outlineLevel="0" collapsed="false">
      <c r="A47" s="32"/>
      <c r="B47" s="32"/>
      <c r="C47" s="32"/>
      <c r="D47" s="32"/>
    </row>
    <row r="48" customFormat="false" ht="15" hidden="false" customHeight="false" outlineLevel="0" collapsed="false">
      <c r="A48" s="32"/>
      <c r="B48" s="32"/>
      <c r="C48" s="32"/>
      <c r="D48" s="32"/>
    </row>
    <row r="49" customFormat="false" ht="15" hidden="false" customHeight="false" outlineLevel="0" collapsed="false">
      <c r="A49" s="32"/>
      <c r="B49" s="32"/>
      <c r="C49" s="32"/>
      <c r="D49" s="32"/>
    </row>
    <row r="50" customFormat="false" ht="15" hidden="false" customHeight="false" outlineLevel="0" collapsed="false">
      <c r="A50" s="32"/>
      <c r="B50" s="32"/>
      <c r="C50" s="32"/>
      <c r="D50" s="32"/>
    </row>
    <row r="51" customFormat="false" ht="15" hidden="false" customHeight="false" outlineLevel="0" collapsed="false">
      <c r="A51" s="12" t="s">
        <v>119</v>
      </c>
      <c r="B51" s="21"/>
      <c r="C51" s="12" t="s">
        <v>119</v>
      </c>
      <c r="D51" s="21"/>
    </row>
    <row r="52" customFormat="false" ht="15" hidden="false" customHeight="false" outlineLevel="0" collapsed="false">
      <c r="A52" s="12" t="s">
        <v>120</v>
      </c>
      <c r="B52" s="21"/>
      <c r="C52" s="12" t="s">
        <v>120</v>
      </c>
      <c r="D52" s="21"/>
    </row>
    <row r="54" customFormat="false" ht="15" hidden="false" customHeight="true" outlineLevel="0" collapsed="false">
      <c r="A54" s="32" t="s">
        <v>125</v>
      </c>
      <c r="B54" s="32"/>
      <c r="C54" s="32" t="s">
        <v>126</v>
      </c>
      <c r="D54" s="32"/>
    </row>
    <row r="55" customFormat="false" ht="15" hidden="false" customHeight="false" outlineLevel="0" collapsed="false">
      <c r="A55" s="32"/>
      <c r="B55" s="32"/>
      <c r="C55" s="32"/>
      <c r="D55" s="32"/>
    </row>
    <row r="56" customFormat="false" ht="15" hidden="false" customHeight="false" outlineLevel="0" collapsed="false">
      <c r="A56" s="32"/>
      <c r="B56" s="32"/>
      <c r="C56" s="32"/>
      <c r="D56" s="32"/>
    </row>
    <row r="57" customFormat="false" ht="15" hidden="false" customHeight="false" outlineLevel="0" collapsed="false">
      <c r="A57" s="32"/>
      <c r="B57" s="32"/>
      <c r="C57" s="32"/>
      <c r="D57" s="32"/>
    </row>
    <row r="58" customFormat="false" ht="15" hidden="false" customHeight="false" outlineLevel="0" collapsed="false">
      <c r="A58" s="32"/>
      <c r="B58" s="32"/>
      <c r="C58" s="32"/>
      <c r="D58" s="32"/>
    </row>
    <row r="59" customFormat="false" ht="15" hidden="false" customHeight="false" outlineLevel="0" collapsed="false">
      <c r="A59" s="32"/>
      <c r="B59" s="32"/>
      <c r="C59" s="32"/>
      <c r="D59" s="32"/>
    </row>
    <row r="60" customFormat="false" ht="15" hidden="false" customHeight="false" outlineLevel="0" collapsed="false">
      <c r="A60" s="32"/>
      <c r="B60" s="32"/>
      <c r="C60" s="32"/>
      <c r="D60" s="32"/>
    </row>
    <row r="61" customFormat="false" ht="15" hidden="false" customHeight="false" outlineLevel="0" collapsed="false">
      <c r="A61" s="32"/>
      <c r="B61" s="32"/>
      <c r="C61" s="32"/>
      <c r="D61" s="32"/>
    </row>
    <row r="62" customFormat="false" ht="15" hidden="false" customHeight="false" outlineLevel="0" collapsed="false">
      <c r="A62" s="32"/>
      <c r="B62" s="32"/>
      <c r="C62" s="32"/>
      <c r="D62" s="32"/>
    </row>
    <row r="63" customFormat="false" ht="15" hidden="false" customHeight="false" outlineLevel="0" collapsed="false">
      <c r="A63" s="32"/>
      <c r="B63" s="32"/>
      <c r="C63" s="32"/>
      <c r="D63" s="32"/>
    </row>
    <row r="64" customFormat="false" ht="15" hidden="false" customHeight="false" outlineLevel="0" collapsed="false">
      <c r="A64" s="32"/>
      <c r="B64" s="32"/>
      <c r="C64" s="32"/>
      <c r="D64" s="32"/>
    </row>
    <row r="65" customFormat="false" ht="15" hidden="false" customHeight="false" outlineLevel="0" collapsed="false">
      <c r="A65" s="32"/>
      <c r="B65" s="32"/>
      <c r="C65" s="32"/>
      <c r="D65" s="32"/>
    </row>
    <row r="66" customFormat="false" ht="15" hidden="false" customHeight="false" outlineLevel="0" collapsed="false">
      <c r="A66" s="32"/>
      <c r="B66" s="32"/>
      <c r="C66" s="32"/>
      <c r="D66" s="32"/>
    </row>
    <row r="67" customFormat="false" ht="15" hidden="false" customHeight="false" outlineLevel="0" collapsed="false">
      <c r="A67" s="12" t="s">
        <v>119</v>
      </c>
      <c r="B67" s="21"/>
      <c r="C67" s="12" t="s">
        <v>119</v>
      </c>
      <c r="D67" s="21"/>
    </row>
    <row r="68" customFormat="false" ht="15" hidden="false" customHeight="false" outlineLevel="0" collapsed="false">
      <c r="A68" s="12" t="s">
        <v>120</v>
      </c>
      <c r="B68" s="21"/>
      <c r="C68" s="12" t="s">
        <v>120</v>
      </c>
      <c r="D68" s="21"/>
    </row>
  </sheetData>
  <mergeCells count="10">
    <mergeCell ref="A1:D1"/>
    <mergeCell ref="A2:D2"/>
    <mergeCell ref="A6:B18"/>
    <mergeCell ref="C6:D18"/>
    <mergeCell ref="A22:B34"/>
    <mergeCell ref="C22:D34"/>
    <mergeCell ref="A38:B50"/>
    <mergeCell ref="C38:D50"/>
    <mergeCell ref="A54:B66"/>
    <mergeCell ref="C54:D66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2026-10-19T09:06:04Z</dcterms:created>
  <dc:creator>openpyxl</dc:creator>
  <dc:description/>
  <dc:language>en-US</dc:language>
  <cp:lastModifiedBy/>
  <dcterms:modified xsi:type="dcterms:W3CDTF">2026-10-19T09:06:04Z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