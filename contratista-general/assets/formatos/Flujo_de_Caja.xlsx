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Flujo sema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<sst xmlns="http://schemas.openxmlformats.org/spreadsheetml/2006/main" count="71" uniqueCount="67">
  <si>
    <t xml:space="preserve">VÉRTICE  ·  Ingeniería, Arquitectura y Proyectos</t>
  </si>
  <si>
    <t xml:space="preserve">FLUJO DE CAJA SEMANAL DE OBRA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</si>
  <si>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</si>
  <si>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</si>
  <si>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</si>
  <si>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Proyecta cobros y pagos semana a semana a partir del costo programado, el anticipo, las estimaciones, la retención del fondo de garantía y el crédito de proveedores; calcula cuánto dinero tienes que poner (necesidad máxima de financiamiento) y lo que cuesta.</t>
  </si>
  <si>
    <t xml:space="preserve">Cómo se llena:</t>
  </si>
  <si>
    <t xml:space="preserve">1. En «Datos» captura el monto del contrato, el costo presupuestado y las condiciones de pago del contrato (mismas cláusulas de ANTICIPO, ESTIMACIONES y FONDO DE GARANTÍA).</t>
  </si>
  <si>
    <t xml:space="preserve">2. En «Flujo semanal», columna C, captura el costo programado de cada semana (sale del programa de obra de VERTICE-CALCULO: programa.costo_por_semana()). La celda de control debajo de la tabla debe coincidir con el costo presupuestado.</t>
  </si>
  <si>
    <t xml:space="preserve">3. Cada semana captura en Q y R lo que realmente cobraste y pagaste: el libro compara el acumulado real contra el proyectado.</t>
  </si>
  <si>
    <t xml:space="preserve">Notas:</t>
  </si>
  <si>
    <t xml:space="preserve">Todo está SIN IVA: el IVA se traslada y acredita aparte. Para el IVA en la frontera norte usa la tasa del Decreto vigente (8 % hasta el 31-dic-2026).</t>
  </si>
  <si>
    <t xml:space="preserve">La lógica es la misma de vertice/programa.py → flujo_de_caja(): anticipo en la semana 1, estimaciones cada N semanas, cobro con desfase, material con crédito, nómina la misma semana y el resto con una semana de desfase.</t>
  </si>
  <si>
    <t xml:space="preserve">FLUJO DE CAJA — DATOS</t>
  </si>
  <si>
    <t xml:space="preserve">Obra:</t>
  </si>
  <si>
    <t xml:space="preserve">Contrato:</t>
  </si>
  <si>
    <t xml:space="preserve">Fecha de inicio de obra</t>
  </si>
  <si>
    <t xml:space="preserve">Monto del contrato (sin IVA)</t>
  </si>
  <si>
    <t xml:space="preserve">Costo total presupuestado (sin IVA)</t>
  </si>
  <si>
    <t xml:space="preserve">Costo directo + indirectos de campo, sin utilidad (de tu presupuesto)</t>
  </si>
  <si>
    <t xml:space="preserve">Anticipo</t>
  </si>
  <si>
    <t xml:space="preserve">Fondo de garantía retenido</t>
  </si>
  <si>
    <t xml:space="preserve">Periodo de estimación (semanas)</t>
  </si>
  <si>
    <t xml:space="preserve">Semanas que tarda el cliente en pagar</t>
  </si>
  <si>
    <t xml:space="preserve">Semanas después del fin para devolver el fondo</t>
  </si>
  <si>
    <t xml:space="preserve">Fracción del costo que es material</t>
  </si>
  <si>
    <t xml:space="preserve">Crédito de proveedores (semanas)</t>
  </si>
  <si>
    <t xml:space="preserve">Fracción del costo que es mano de obra</t>
  </si>
  <si>
    <t xml:space="preserve">Se paga la misma semana (nómina)</t>
  </si>
  <si>
    <t xml:space="preserve">Resto (subcontratos e indirectos), 1 semana de desfase</t>
  </si>
  <si>
    <t xml:space="preserve">Tasa anual de financiamiento</t>
  </si>
  <si>
    <t xml:space="preserve">IVA (sólo informativo)</t>
  </si>
  <si>
    <t xml:space="preserve">RESULTADOS</t>
  </si>
  <si>
    <t xml:space="preserve">Semana final de obra</t>
  </si>
  <si>
    <t xml:space="preserve">Necesidad máxima de financiamiento</t>
  </si>
  <si>
    <t xml:space="preserve">Semana de mayor necesidad</t>
  </si>
  <si>
    <t xml:space="preserve">Costo financiero estimado</t>
  </si>
  <si>
    <t xml:space="preserve">Utilidad bruta proyectada (antes de financiamiento)</t>
  </si>
  <si>
    <t xml:space="preserve">Utilidad neta proyectada</t>
  </si>
  <si>
    <t xml:space="preserve">Margen sobre contrato</t>
  </si>
  <si>
    <t xml:space="preserve">Última semana con captura real</t>
  </si>
  <si>
    <t xml:space="preserve">Diferencia real vs proyectado a esa semana</t>
  </si>
  <si>
    <t xml:space="preserve">Negativo = traes menos caja de la proyectada</t>
  </si>
  <si>
    <t xml:space="preserve">FLUJO DE CAJA SEMANAL (SIN IVA)</t>
  </si>
  <si>
    <t xml:space="preserve">Semana</t>
  </si>
  <si>
    <t xml:space="preserve">Inicia</t>
  </si>
  <si>
    <t xml:space="preserve">Costo programado</t>
  </si>
  <si>
    <t xml:space="preserve">% avance semanal</t>
  </si>
  <si>
    <t xml:space="preserve">Estimación</t>
  </si>
  <si>
    <t xml:space="preserve">Amortiz. anticipo</t>
  </si>
  <si>
    <t xml:space="preserve">Fondo garantía</t>
  </si>
  <si>
    <t xml:space="preserve">Neto a cobrar</t>
  </si>
  <si>
    <t xml:space="preserve">COBROS proyectados</t>
  </si>
  <si>
    <t xml:space="preserve">Pago material</t>
  </si>
  <si>
    <t xml:space="preserve">Pago mano de obra</t>
  </si>
  <si>
    <t xml:space="preserve">Otros pagos</t>
  </si>
  <si>
    <t xml:space="preserve">PAGOS proyectados</t>
  </si>
  <si>
    <t xml:space="preserve">Saldo semanal</t>
  </si>
  <si>
    <t xml:space="preserve">Acumulado proyectado</t>
  </si>
  <si>
    <t xml:space="preserve">Costo financiero</t>
  </si>
  <si>
    <t xml:space="preserve">Cobro REAL</t>
  </si>
  <si>
    <t xml:space="preserve">Pago REAL</t>
  </si>
  <si>
    <t xml:space="preserve">Acumulado REAL</t>
  </si>
  <si>
    <t xml:space="preserve">Real − proyectado</t>
  </si>
  <si>
    <t xml:space="preserve">TOTAL</t>
  </si>
  <si>
    <t xml:space="preserve">Control:</t>
  </si>
  <si>
    <t xml:space="preserve">Columnas Q y R: captura lo cobrado y pagado cada semana; S y T se llenan solas y comparan contra lo proyectado.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</si>
</sst>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$#,##0.00;&quot;($&quot;#,##0.00\);\-"/>
    <numFmt numFmtId="167" formatCode="0.0%;\(0.0%\);\-"/>
    <numFmt numFmtId="168" formatCode="0"/>
    <numFmt numFmtId="169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B656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B23B2E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D2328"/>
        <bgColor rgb="FF333300"/>
      </patternFill>
    </fill>
    <fill>
      <patternFill patternType="solid">
        <fgColor rgb="FFE3E6E8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78787"/>
      <rgbColor rgb="FF9999FF"/>
      <rgbColor rgb="FF993366"/>
      <rgbColor rgb="FFFFF2CC"/>
      <rgbColor rgb="FFE3E6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B656E"/>
      <rgbColor rgb="FF969696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acumulado proyectado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'Flujo semanal'!O7</c:f>
              <c:strCache>
                <c:ptCount val="1"/>
                <c:pt idx="0">
                  <c:v>Acumulado proyectado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'Flujo semanal'!$A$8:$A$59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'Flujo semanal'!$O$8:$O$59</c:f>
              <c:numCache>
                <c:formatCode>\$#,##0;"($"#,##0\);\-</c:formatCode>
                <c:ptCount val="52"/>
                <c:pt idx="0">
                  <c:v>291600</c:v>
                </c:pt>
                <c:pt idx="1">
                  <c:v>269600</c:v>
                </c:pt>
                <c:pt idx="2">
                  <c:v>220000</c:v>
                </c:pt>
                <c:pt idx="3">
                  <c:v>206200</c:v>
                </c:pt>
                <c:pt idx="4">
                  <c:v>104600</c:v>
                </c:pt>
                <c:pt idx="5">
                  <c:v>151500</c:v>
                </c:pt>
                <c:pt idx="6">
                  <c:v>37100</c:v>
                </c:pt>
                <c:pt idx="7">
                  <c:v>127700</c:v>
                </c:pt>
                <c:pt idx="8">
                  <c:v>42900</c:v>
                </c:pt>
                <c:pt idx="9">
                  <c:v>128800</c:v>
                </c:pt>
                <c:pt idx="10">
                  <c:v>94000</c:v>
                </c:pt>
                <c:pt idx="11">
                  <c:v>150000</c:v>
                </c:pt>
                <c:pt idx="12">
                  <c:v>150000</c:v>
                </c:pt>
                <c:pt idx="13">
                  <c:v>150000</c:v>
                </c:pt>
                <c:pt idx="14">
                  <c:v>150000</c:v>
                </c:pt>
                <c:pt idx="15">
                  <c:v>200000</c:v>
                </c:pt>
                <c:pt idx="16">
                  <c:v>200000</c:v>
                </c:pt>
                <c:pt idx="17">
                  <c:v>200000</c:v>
                </c:pt>
                <c:pt idx="18">
                  <c:v>200000</c:v>
                </c:pt>
                <c:pt idx="19">
                  <c:v>200000</c:v>
                </c:pt>
                <c:pt idx="20">
                  <c:v>200000</c:v>
                </c:pt>
                <c:pt idx="21">
                  <c:v>200000</c:v>
                </c:pt>
                <c:pt idx="22">
                  <c:v>200000</c:v>
                </c:pt>
                <c:pt idx="23">
                  <c:v>200000</c:v>
                </c:pt>
                <c:pt idx="24">
                  <c:v>200000</c:v>
                </c:pt>
                <c:pt idx="25">
                  <c:v>200000</c:v>
                </c:pt>
                <c:pt idx="26">
                  <c:v>200000</c:v>
                </c:pt>
                <c:pt idx="27">
                  <c:v>200000</c:v>
                </c:pt>
                <c:pt idx="28">
                  <c:v>200000</c:v>
                </c:pt>
                <c:pt idx="29">
                  <c:v>200000</c:v>
                </c:pt>
                <c:pt idx="30">
                  <c:v>200000</c:v>
                </c:pt>
                <c:pt idx="31">
                  <c:v>200000</c:v>
                </c:pt>
                <c:pt idx="32">
                  <c:v>200000</c:v>
                </c:pt>
                <c:pt idx="33">
                  <c:v>200000</c:v>
                </c:pt>
                <c:pt idx="34">
                  <c:v>200000</c:v>
                </c:pt>
                <c:pt idx="35">
                  <c:v>200000</c:v>
                </c:pt>
                <c:pt idx="36">
                  <c:v>200000</c:v>
                </c:pt>
                <c:pt idx="37">
                  <c:v>200000</c:v>
                </c:pt>
                <c:pt idx="38">
                  <c:v>200000</c:v>
                </c:pt>
                <c:pt idx="39">
                  <c:v>200000</c:v>
                </c:pt>
                <c:pt idx="40">
                  <c:v>200000</c:v>
                </c:pt>
                <c:pt idx="41">
                  <c:v>200000</c:v>
                </c:pt>
                <c:pt idx="42">
                  <c:v>200000</c:v>
                </c:pt>
                <c:pt idx="43">
                  <c:v>200000</c:v>
                </c:pt>
                <c:pt idx="44">
                  <c:v>200000</c:v>
                </c:pt>
                <c:pt idx="45">
                  <c:v>200000</c:v>
                </c:pt>
                <c:pt idx="46">
                  <c:v>200000</c:v>
                </c:pt>
                <c:pt idx="47">
                  <c:v>200000</c:v>
                </c:pt>
                <c:pt idx="48">
                  <c:v>200000</c:v>
                </c:pt>
                <c:pt idx="49">
                  <c:v>200000</c:v>
                </c:pt>
                <c:pt idx="50">
                  <c:v>200000</c:v>
                </c:pt>
                <c:pt idx="51">
                  <c:v>200000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049231"/>
        <c:axId val="34827855"/>
      </c:lineChart>
      <c:catAx>
        <c:axId val="30049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27855"/>
        <c:crosses val="autoZero"/>
        <c:auto val="1"/>
        <c:lblAlgn val="ctr"/>
        <c:lblOffset val="100"/>
        <c:noMultiLvlLbl val="0"/>
      </c:catAx>
      <c:valAx>
        <c:axId val="348278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Pesos (sin IVA)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49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176040</xdr:rowOff>
    </xdr:from>
    <xdr:to>
      <xdr:col>16</xdr:col>
      <xdr:colOff>581760</xdr:colOff>
      <xdr:row>20</xdr:row>
      <xdr:rowOff>7560</xdr:rowOff>
    </xdr:to>
    <xdr:graphicFrame>
      <xdr:nvGraphicFramePr>
        <xdr:cNvPr id="0" name="Chart 1"/>
        <xdr:cNvGraphicFramePr/>
      </xdr:nvGraphicFramePr>
      <xdr:xfrm>
        <a:off x="9351720" y="952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22.35" hidden="false" customHeight="false" outlineLevel="0" collapsed="false">
      <c r="A10" s="6" t="s">
        <v>7</v>
      </c>
    </row>
    <row r="11" customFormat="false" ht="22.3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6" t="s">
        <v>11</v>
      </c>
    </row>
    <row r="15" customFormat="false" ht="22.35" hidden="false" customHeight="false" outlineLevel="0" collapsed="false">
      <c r="A15" s="6" t="s">
        <v>12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7" t="s">
        <v>0</v>
      </c>
      <c r="B1" s="7"/>
      <c r="C1" s="7"/>
    </row>
    <row r="2" customFormat="false" ht="15" hidden="false" customHeight="false" outlineLevel="0" collapsed="false">
      <c r="A2" s="8" t="s">
        <v>13</v>
      </c>
      <c r="B2" s="8"/>
      <c r="C2" s="8"/>
    </row>
    <row r="3" customFormat="false" ht="15" hidden="false" customHeight="false" outlineLevel="0" collapsed="false">
      <c r="A3" s="9" t="s">
        <v>14</v>
      </c>
      <c r="B3" s="10"/>
    </row>
    <row r="4" customFormat="false" ht="15" hidden="false" customHeight="false" outlineLevel="0" collapsed="false">
      <c r="A4" s="9" t="s">
        <v>15</v>
      </c>
      <c r="B4" s="10"/>
    </row>
    <row r="6" customFormat="false" ht="15" hidden="false" customHeight="false" outlineLevel="0" collapsed="false">
      <c r="A6" s="11" t="s">
        <v>16</v>
      </c>
      <c r="B6" s="12" t="n">
        <v>46314</v>
      </c>
    </row>
    <row r="7" customFormat="false" ht="15" hidden="false" customHeight="false" outlineLevel="0" collapsed="false">
      <c r="A7" s="11" t="s">
        <v>17</v>
      </c>
      <c r="B7" s="13" t="n">
        <v>1000000</v>
      </c>
    </row>
    <row r="8" customFormat="false" ht="15" hidden="false" customHeight="false" outlineLevel="0" collapsed="false">
      <c r="A8" s="11" t="s">
        <v>18</v>
      </c>
      <c r="B8" s="13" t="n">
        <v>800000</v>
      </c>
      <c r="C8" s="14" t="s">
        <v>19</v>
      </c>
    </row>
    <row r="9" customFormat="false" ht="15" hidden="false" customHeight="false" outlineLevel="0" collapsed="false">
      <c r="A9" s="11" t="s">
        <v>20</v>
      </c>
      <c r="B9" s="15" t="n">
        <v>0.3</v>
      </c>
    </row>
    <row r="10" customFormat="false" ht="15" hidden="false" customHeight="false" outlineLevel="0" collapsed="false">
      <c r="A10" s="11" t="s">
        <v>21</v>
      </c>
      <c r="B10" s="15" t="n">
        <v>0.05</v>
      </c>
    </row>
    <row r="11" customFormat="false" ht="15" hidden="false" customHeight="false" outlineLevel="0" collapsed="false">
      <c r="A11" s="11" t="s">
        <v>22</v>
      </c>
      <c r="B11" s="16" t="n">
        <v>2</v>
      </c>
    </row>
    <row r="12" customFormat="false" ht="15" hidden="false" customHeight="false" outlineLevel="0" collapsed="false">
      <c r="A12" s="11" t="s">
        <v>23</v>
      </c>
      <c r="B12" s="16" t="n">
        <v>2</v>
      </c>
    </row>
    <row r="13" customFormat="false" ht="15" hidden="false" customHeight="false" outlineLevel="0" collapsed="false">
      <c r="A13" s="11" t="s">
        <v>24</v>
      </c>
      <c r="B13" s="16" t="n">
        <v>4</v>
      </c>
    </row>
    <row r="14" customFormat="false" ht="15" hidden="false" customHeight="false" outlineLevel="0" collapsed="false">
      <c r="A14" s="11" t="s">
        <v>25</v>
      </c>
      <c r="B14" s="15" t="n">
        <v>0.55</v>
      </c>
    </row>
    <row r="15" customFormat="false" ht="15" hidden="false" customHeight="false" outlineLevel="0" collapsed="false">
      <c r="A15" s="11" t="s">
        <v>26</v>
      </c>
      <c r="B15" s="16" t="n">
        <v>2</v>
      </c>
    </row>
    <row r="16" customFormat="false" ht="15" hidden="false" customHeight="false" outlineLevel="0" collapsed="false">
      <c r="A16" s="11" t="s">
        <v>27</v>
      </c>
      <c r="B16" s="15" t="n">
        <v>0.35</v>
      </c>
      <c r="C16" s="14" t="s">
        <v>28</v>
      </c>
    </row>
    <row r="17" customFormat="false" ht="15" hidden="false" customHeight="false" outlineLevel="0" collapsed="false">
      <c r="A17" s="11" t="s">
        <v>29</v>
      </c>
      <c r="B17" s="17" t="n">
        <f aca="false">1-B14-B16</f>
        <v>0.1</v>
      </c>
    </row>
    <row r="18" customFormat="false" ht="15" hidden="false" customHeight="false" outlineLevel="0" collapsed="false">
      <c r="A18" s="11" t="s">
        <v>30</v>
      </c>
      <c r="B18" s="15" t="n">
        <v>0.14</v>
      </c>
    </row>
    <row r="19" customFormat="false" ht="15" hidden="false" customHeight="false" outlineLevel="0" collapsed="false">
      <c r="A19" s="11" t="s">
        <v>31</v>
      </c>
      <c r="B19" s="15" t="n">
        <v>0.08</v>
      </c>
    </row>
    <row r="21" customFormat="false" ht="15" hidden="false" customHeight="false" outlineLevel="0" collapsed="false">
      <c r="A21" s="2" t="s">
        <v>32</v>
      </c>
    </row>
    <row r="22" customFormat="false" ht="15" hidden="false" customHeight="false" outlineLevel="0" collapsed="false">
      <c r="A22" s="11" t="s">
        <v>33</v>
      </c>
      <c r="B22" s="18" t="n">
        <f aca="false">SUMPRODUCT(MAX(('Flujo semanal'!C8:C59&gt;0)*'Flujo semanal'!A8:A59))</f>
        <v>10</v>
      </c>
    </row>
    <row r="23" customFormat="false" ht="15" hidden="false" customHeight="false" outlineLevel="0" collapsed="false">
      <c r="A23" s="11" t="s">
        <v>34</v>
      </c>
      <c r="B23" s="19" t="n">
        <f aca="false">MAX(0,-MIN('Flujo semanal'!O8:O59))</f>
        <v>0</v>
      </c>
    </row>
    <row r="24" customFormat="false" ht="15" hidden="false" customHeight="false" outlineLevel="0" collapsed="false">
      <c r="A24" s="11" t="s">
        <v>35</v>
      </c>
      <c r="B24" s="18" t="str">
        <f aca="false">IF(B23=0,"-",INDEX('Flujo semanal'!A8:A59,MATCH(MIN('Flujo semanal'!O8:O59),'Flujo semanal'!O8:O59,0)))</f>
        <v>-</v>
      </c>
    </row>
    <row r="25" customFormat="false" ht="15" hidden="false" customHeight="false" outlineLevel="0" collapsed="false">
      <c r="A25" s="11" t="s">
        <v>36</v>
      </c>
      <c r="B25" s="19" t="n">
        <f aca="false">SUM('Flujo semanal'!P8:P59)</f>
        <v>0</v>
      </c>
    </row>
    <row r="26" customFormat="false" ht="15" hidden="false" customHeight="false" outlineLevel="0" collapsed="false">
      <c r="A26" s="11" t="s">
        <v>37</v>
      </c>
      <c r="B26" s="19" t="n">
        <f aca="false">'Flujo semanal'!O59</f>
        <v>200000</v>
      </c>
    </row>
    <row r="27" customFormat="false" ht="15" hidden="false" customHeight="false" outlineLevel="0" collapsed="false">
      <c r="A27" s="11" t="s">
        <v>38</v>
      </c>
      <c r="B27" s="19" t="n">
        <f aca="false">B26-B25</f>
        <v>200000</v>
      </c>
    </row>
    <row r="28" customFormat="false" ht="15" hidden="false" customHeight="false" outlineLevel="0" collapsed="false">
      <c r="A28" s="11" t="s">
        <v>39</v>
      </c>
      <c r="B28" s="17" t="n">
        <f aca="false">IF(B7=0,0,B27/B7)</f>
        <v>0.2</v>
      </c>
    </row>
    <row r="29" customFormat="false" ht="15" hidden="false" customHeight="false" outlineLevel="0" collapsed="false">
      <c r="A29" s="11" t="s">
        <v>40</v>
      </c>
      <c r="B29" s="18" t="str">
        <f aca="false">IFERROR(LOOKUP(2,1/('Flujo semanal'!S8:S59&lt;&gt;""),'Flujo semanal'!A8:A59),"-")</f>
        <v>-</v>
      </c>
    </row>
    <row r="30" customFormat="false" ht="15" hidden="false" customHeight="false" outlineLevel="0" collapsed="false">
      <c r="A30" s="11" t="s">
        <v>41</v>
      </c>
      <c r="B30" s="19" t="n">
        <f aca="false">IFERROR(LOOKUP(2,1/('Flujo semanal'!T8:T59&lt;&gt;""),'Flujo semanal'!T8:T59),0)</f>
        <v>0</v>
      </c>
      <c r="C30" s="14" t="s">
        <v>42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0" min="20" style="0" width="1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15" hidden="false" customHeight="false" outlineLevel="0" collapsed="false">
      <c r="A2" s="8" t="s">
        <v>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5" hidden="false" customHeight="false" outlineLevel="0" collapsed="false">
      <c r="A3" s="9" t="s">
        <v>14</v>
      </c>
      <c r="B3" s="10"/>
    </row>
    <row r="4" customFormat="false" ht="15" hidden="false" customHeight="false" outlineLevel="0" collapsed="false">
      <c r="A4" s="9" t="s">
        <v>15</v>
      </c>
      <c r="B4" s="10"/>
    </row>
    <row r="7" customFormat="false" ht="30" hidden="false" customHeight="true" outlineLevel="0" collapsed="false">
      <c r="A7" s="20" t="s">
        <v>44</v>
      </c>
      <c r="B7" s="20" t="s">
        <v>45</v>
      </c>
      <c r="C7" s="20" t="s">
        <v>46</v>
      </c>
      <c r="D7" s="20" t="s">
        <v>47</v>
      </c>
      <c r="E7" s="20" t="s">
        <v>48</v>
      </c>
      <c r="F7" s="20" t="s">
        <v>49</v>
      </c>
      <c r="G7" s="20" t="s">
        <v>50</v>
      </c>
      <c r="H7" s="20" t="s">
        <v>51</v>
      </c>
      <c r="I7" s="20" t="s">
        <v>52</v>
      </c>
      <c r="J7" s="20" t="s">
        <v>53</v>
      </c>
      <c r="K7" s="20" t="s">
        <v>54</v>
      </c>
      <c r="L7" s="20" t="s">
        <v>55</v>
      </c>
      <c r="M7" s="20" t="s">
        <v>56</v>
      </c>
      <c r="N7" s="20" t="s">
        <v>57</v>
      </c>
      <c r="O7" s="20" t="s">
        <v>58</v>
      </c>
      <c r="P7" s="20" t="s">
        <v>59</v>
      </c>
      <c r="Q7" s="20" t="s">
        <v>60</v>
      </c>
      <c r="R7" s="20" t="s">
        <v>61</v>
      </c>
      <c r="S7" s="20" t="s">
        <v>62</v>
      </c>
      <c r="T7" s="20" t="s">
        <v>63</v>
      </c>
    </row>
    <row r="8" customFormat="false" ht="15" hidden="false" customHeight="false" outlineLevel="0" collapsed="false">
      <c r="A8" s="18" t="n">
        <v>1</v>
      </c>
      <c r="B8" s="21" t="n">
        <f aca="false">Datos!$B$6+7*(A8-1)</f>
        <v>46314</v>
      </c>
      <c r="C8" s="22" t="n">
        <v>24000</v>
      </c>
      <c r="D8" s="17" t="n">
        <f aca="false">IF(Datos!$B$8=0,0,C8/Datos!$B$8)</f>
        <v>0.03</v>
      </c>
      <c r="E8" s="23" t="n">
        <f aca="false">IF(AND(A8&lt;=Datos!$B$22,OR(MOD(A8,Datos!$B$11)=0,A8=Datos!$B$22)),SUMIFS($D$8:$D$59,$A$8:$A$59,"&gt;"&amp;(A8-IF(MOD(A8,Datos!$B$11)=0,Datos!$B$11,MOD(A8,Datos!$B$11))),$A$8:$A$59,"&lt;="&amp;A8)*Datos!$B$7,0)</f>
        <v>0</v>
      </c>
      <c r="F8" s="23" t="n">
        <f aca="false">E8*Datos!$B$9</f>
        <v>0</v>
      </c>
      <c r="G8" s="23" t="n">
        <f aca="false">E8*Datos!$B$10</f>
        <v>0</v>
      </c>
      <c r="H8" s="23" t="n">
        <f aca="false">E8-F8-G8</f>
        <v>0</v>
      </c>
      <c r="I8" s="23" t="n">
        <f aca="false">IF(A8=1,Datos!$B$7*Datos!$B$9,0)+IF(A8-Datos!$B$12&gt;=1,INDEX($H$8:$H$59,A8-Datos!$B$12),0)+IF(A8=Datos!$B$22+Datos!$B$12+Datos!$B$13,SUM($G$8:$G$59),0)</f>
        <v>300000</v>
      </c>
      <c r="J8" s="23" t="n">
        <f aca="false">IF(A8-Datos!$B$15&gt;=1,INDEX($C$8:$C$59,A8-Datos!$B$15),0)*Datos!$B$14</f>
        <v>0</v>
      </c>
      <c r="K8" s="23" t="n">
        <f aca="false">C8*Datos!$B$16</f>
        <v>8400</v>
      </c>
      <c r="L8" s="23" t="n">
        <f aca="false">IF(A8&gt;1,INDEX($C$8:$C$59,A8-1),0)*Datos!$B$17</f>
        <v>0</v>
      </c>
      <c r="M8" s="23" t="n">
        <f aca="false">J8+K8+L8</f>
        <v>8400</v>
      </c>
      <c r="N8" s="23" t="n">
        <f aca="false">I8-M8</f>
        <v>291600</v>
      </c>
      <c r="O8" s="23" t="n">
        <f aca="false">N8</f>
        <v>291600</v>
      </c>
      <c r="P8" s="23" t="n">
        <f aca="false">MAX(0,-O8)*((1+Datos!$B$18)^(1/52)-1)</f>
        <v>0</v>
      </c>
      <c r="Q8" s="22"/>
      <c r="R8" s="22"/>
      <c r="S8" s="23" t="str">
        <f aca="false">IF(AND(Q8="",R8=""),"",SUM($Q$8:Q8)-SUM($R$8:R8))</f>
        <v/>
      </c>
      <c r="T8" s="23" t="str">
        <f aca="false">IF(S8="","",S8-O8)</f>
        <v/>
      </c>
    </row>
    <row r="9" customFormat="false" ht="15" hidden="false" customHeight="false" outlineLevel="0" collapsed="false">
      <c r="A9" s="18" t="n">
        <v>2</v>
      </c>
      <c r="B9" s="21" t="n">
        <f aca="false">Datos!$B$6+7*(A9-1)</f>
        <v>46321</v>
      </c>
      <c r="C9" s="22" t="n">
        <v>56000</v>
      </c>
      <c r="D9" s="17" t="n">
        <f aca="false">IF(Datos!$B$8=0,0,C9/Datos!$B$8)</f>
        <v>0.07</v>
      </c>
      <c r="E9" s="23" t="n">
        <f aca="false">IF(AND(A9&lt;=Datos!$B$22,OR(MOD(A9,Datos!$B$11)=0,A9=Datos!$B$22)),SUMIFS($D$8:$D$59,$A$8:$A$59,"&gt;"&amp;(A9-IF(MOD(A9,Datos!$B$11)=0,Datos!$B$11,MOD(A9,Datos!$B$11))),$A$8:$A$59,"&lt;="&amp;A9)*Datos!$B$7,0)</f>
        <v>100000</v>
      </c>
      <c r="F9" s="23" t="n">
        <f aca="false">E9*Datos!$B$9</f>
        <v>30000</v>
      </c>
      <c r="G9" s="23" t="n">
        <f aca="false">E9*Datos!$B$10</f>
        <v>5000</v>
      </c>
      <c r="H9" s="23" t="n">
        <f aca="false">E9-F9-G9</f>
        <v>65000</v>
      </c>
      <c r="I9" s="23" t="n">
        <f aca="false">IF(A9=1,Datos!$B$7*Datos!$B$9,0)+IF(A9-Datos!$B$12&gt;=1,INDEX($H$8:$H$59,A9-Datos!$B$12),0)+IF(A9=Datos!$B$22+Datos!$B$12+Datos!$B$13,SUM($G$8:$G$59),0)</f>
        <v>0</v>
      </c>
      <c r="J9" s="23" t="n">
        <f aca="false">IF(A9-Datos!$B$15&gt;=1,INDEX($C$8:$C$59,A9-Datos!$B$15),0)*Datos!$B$14</f>
        <v>0</v>
      </c>
      <c r="K9" s="23" t="n">
        <f aca="false">C9*Datos!$B$16</f>
        <v>19600</v>
      </c>
      <c r="L9" s="23" t="n">
        <f aca="false">IF(A9&gt;1,INDEX($C$8:$C$59,A9-1),0)*Datos!$B$17</f>
        <v>2400</v>
      </c>
      <c r="M9" s="23" t="n">
        <f aca="false">J9+K9+L9</f>
        <v>22000</v>
      </c>
      <c r="N9" s="23" t="n">
        <f aca="false">I9-M9</f>
        <v>-22000</v>
      </c>
      <c r="O9" s="23" t="n">
        <f aca="false">O8+N9</f>
        <v>269600</v>
      </c>
      <c r="P9" s="23" t="n">
        <f aca="false">MAX(0,-O9)*((1+Datos!$B$18)^(1/52)-1)</f>
        <v>0</v>
      </c>
      <c r="Q9" s="22"/>
      <c r="R9" s="22"/>
      <c r="S9" s="23" t="str">
        <f aca="false">IF(AND(Q9="",R9=""),"",SUM($Q$8:Q9)-SUM($R$8:R9))</f>
        <v/>
      </c>
      <c r="T9" s="23" t="str">
        <f aca="false">IF(S9="","",S9-O9)</f>
        <v/>
      </c>
    </row>
    <row r="10" customFormat="false" ht="15" hidden="false" customHeight="false" outlineLevel="0" collapsed="false">
      <c r="A10" s="18" t="n">
        <v>3</v>
      </c>
      <c r="B10" s="21" t="n">
        <f aca="false">Datos!$B$6+7*(A10-1)</f>
        <v>46328</v>
      </c>
      <c r="C10" s="22" t="n">
        <v>88000</v>
      </c>
      <c r="D10" s="17" t="n">
        <f aca="false">IF(Datos!$B$8=0,0,C10/Datos!$B$8)</f>
        <v>0.11</v>
      </c>
      <c r="E10" s="23" t="n">
        <f aca="false">IF(AND(A10&lt;=Datos!$B$22,OR(MOD(A10,Datos!$B$11)=0,A10=Datos!$B$22)),SUMIFS($D$8:$D$59,$A$8:$A$59,"&gt;"&amp;(A10-IF(MOD(A10,Datos!$B$11)=0,Datos!$B$11,MOD(A10,Datos!$B$11))),$A$8:$A$59,"&lt;="&amp;A10)*Datos!$B$7,0)</f>
        <v>0</v>
      </c>
      <c r="F10" s="23" t="n">
        <f aca="false">E10*Datos!$B$9</f>
        <v>0</v>
      </c>
      <c r="G10" s="23" t="n">
        <f aca="false">E10*Datos!$B$10</f>
        <v>0</v>
      </c>
      <c r="H10" s="23" t="n">
        <f aca="false">E10-F10-G10</f>
        <v>0</v>
      </c>
      <c r="I10" s="23" t="n">
        <f aca="false">IF(A10=1,Datos!$B$7*Datos!$B$9,0)+IF(A10-Datos!$B$12&gt;=1,INDEX($H$8:$H$59,A10-Datos!$B$12),0)+IF(A10=Datos!$B$22+Datos!$B$12+Datos!$B$13,SUM($G$8:$G$59),0)</f>
        <v>0</v>
      </c>
      <c r="J10" s="23" t="n">
        <f aca="false">IF(A10-Datos!$B$15&gt;=1,INDEX($C$8:$C$59,A10-Datos!$B$15),0)*Datos!$B$14</f>
        <v>13200</v>
      </c>
      <c r="K10" s="23" t="n">
        <f aca="false">C10*Datos!$B$16</f>
        <v>30800</v>
      </c>
      <c r="L10" s="23" t="n">
        <f aca="false">IF(A10&gt;1,INDEX($C$8:$C$59,A10-1),0)*Datos!$B$17</f>
        <v>5600</v>
      </c>
      <c r="M10" s="23" t="n">
        <f aca="false">J10+K10+L10</f>
        <v>49600</v>
      </c>
      <c r="N10" s="23" t="n">
        <f aca="false">I10-M10</f>
        <v>-49600</v>
      </c>
      <c r="O10" s="23" t="n">
        <f aca="false">O9+N10</f>
        <v>220000</v>
      </c>
      <c r="P10" s="23" t="n">
        <f aca="false">MAX(0,-O10)*((1+Datos!$B$18)^(1/52)-1)</f>
        <v>0</v>
      </c>
      <c r="Q10" s="22"/>
      <c r="R10" s="22"/>
      <c r="S10" s="23" t="str">
        <f aca="false">IF(AND(Q10="",R10=""),"",SUM($Q$8:Q10)-SUM($R$8:R10))</f>
        <v/>
      </c>
      <c r="T10" s="23" t="str">
        <f aca="false">IF(S10="","",S10-O10)</f>
        <v/>
      </c>
    </row>
    <row r="11" customFormat="false" ht="15" hidden="false" customHeight="false" outlineLevel="0" collapsed="false">
      <c r="A11" s="18" t="n">
        <v>4</v>
      </c>
      <c r="B11" s="21" t="n">
        <f aca="false">Datos!$B$6+7*(A11-1)</f>
        <v>46335</v>
      </c>
      <c r="C11" s="22" t="n">
        <v>112000</v>
      </c>
      <c r="D11" s="17" t="n">
        <f aca="false">IF(Datos!$B$8=0,0,C11/Datos!$B$8)</f>
        <v>0.14</v>
      </c>
      <c r="E11" s="23" t="n">
        <f aca="false">IF(AND(A11&lt;=Datos!$B$22,OR(MOD(A11,Datos!$B$11)=0,A11=Datos!$B$22)),SUMIFS($D$8:$D$59,$A$8:$A$59,"&gt;"&amp;(A11-IF(MOD(A11,Datos!$B$11)=0,Datos!$B$11,MOD(A11,Datos!$B$11))),$A$8:$A$59,"&lt;="&amp;A11)*Datos!$B$7,0)</f>
        <v>250000</v>
      </c>
      <c r="F11" s="23" t="n">
        <f aca="false">E11*Datos!$B$9</f>
        <v>75000</v>
      </c>
      <c r="G11" s="23" t="n">
        <f aca="false">E11*Datos!$B$10</f>
        <v>12500</v>
      </c>
      <c r="H11" s="23" t="n">
        <f aca="false">E11-F11-G11</f>
        <v>162500</v>
      </c>
      <c r="I11" s="23" t="n">
        <f aca="false">IF(A11=1,Datos!$B$7*Datos!$B$9,0)+IF(A11-Datos!$B$12&gt;=1,INDEX($H$8:$H$59,A11-Datos!$B$12),0)+IF(A11=Datos!$B$22+Datos!$B$12+Datos!$B$13,SUM($G$8:$G$59),0)</f>
        <v>65000</v>
      </c>
      <c r="J11" s="23" t="n">
        <f aca="false">IF(A11-Datos!$B$15&gt;=1,INDEX($C$8:$C$59,A11-Datos!$B$15),0)*Datos!$B$14</f>
        <v>30800</v>
      </c>
      <c r="K11" s="23" t="n">
        <f aca="false">C11*Datos!$B$16</f>
        <v>39200</v>
      </c>
      <c r="L11" s="23" t="n">
        <f aca="false">IF(A11&gt;1,INDEX($C$8:$C$59,A11-1),0)*Datos!$B$17</f>
        <v>8800</v>
      </c>
      <c r="M11" s="23" t="n">
        <f aca="false">J11+K11+L11</f>
        <v>78800</v>
      </c>
      <c r="N11" s="23" t="n">
        <f aca="false">I11-M11</f>
        <v>-13800</v>
      </c>
      <c r="O11" s="23" t="n">
        <f aca="false">O10+N11</f>
        <v>206200</v>
      </c>
      <c r="P11" s="23" t="n">
        <f aca="false">MAX(0,-O11)*((1+Datos!$B$18)^(1/52)-1)</f>
        <v>0</v>
      </c>
      <c r="Q11" s="22"/>
      <c r="R11" s="22"/>
      <c r="S11" s="23" t="str">
        <f aca="false">IF(AND(Q11="",R11=""),"",SUM($Q$8:Q11)-SUM($R$8:R11))</f>
        <v/>
      </c>
      <c r="T11" s="23" t="str">
        <f aca="false">IF(S11="","",S11-O11)</f>
        <v/>
      </c>
    </row>
    <row r="12" customFormat="false" ht="15" hidden="false" customHeight="false" outlineLevel="0" collapsed="false">
      <c r="A12" s="18" t="n">
        <v>5</v>
      </c>
      <c r="B12" s="21" t="n">
        <f aca="false">Datos!$B$6+7*(A12-1)</f>
        <v>46342</v>
      </c>
      <c r="C12" s="22" t="n">
        <v>120000</v>
      </c>
      <c r="D12" s="17" t="n">
        <f aca="false">IF(Datos!$B$8=0,0,C12/Datos!$B$8)</f>
        <v>0.15</v>
      </c>
      <c r="E12" s="23" t="n">
        <f aca="false">IF(AND(A12&lt;=Datos!$B$22,OR(MOD(A12,Datos!$B$11)=0,A12=Datos!$B$22)),SUMIFS($D$8:$D$59,$A$8:$A$59,"&gt;"&amp;(A12-IF(MOD(A12,Datos!$B$11)=0,Datos!$B$11,MOD(A12,Datos!$B$11))),$A$8:$A$59,"&lt;="&amp;A12)*Datos!$B$7,0)</f>
        <v>0</v>
      </c>
      <c r="F12" s="23" t="n">
        <f aca="false">E12*Datos!$B$9</f>
        <v>0</v>
      </c>
      <c r="G12" s="23" t="n">
        <f aca="false">E12*Datos!$B$10</f>
        <v>0</v>
      </c>
      <c r="H12" s="23" t="n">
        <f aca="false">E12-F12-G12</f>
        <v>0</v>
      </c>
      <c r="I12" s="23" t="n">
        <f aca="false">IF(A12=1,Datos!$B$7*Datos!$B$9,0)+IF(A12-Datos!$B$12&gt;=1,INDEX($H$8:$H$59,A12-Datos!$B$12),0)+IF(A12=Datos!$B$22+Datos!$B$12+Datos!$B$13,SUM($G$8:$G$59),0)</f>
        <v>0</v>
      </c>
      <c r="J12" s="23" t="n">
        <f aca="false">IF(A12-Datos!$B$15&gt;=1,INDEX($C$8:$C$59,A12-Datos!$B$15),0)*Datos!$B$14</f>
        <v>48400</v>
      </c>
      <c r="K12" s="23" t="n">
        <f aca="false">C12*Datos!$B$16</f>
        <v>42000</v>
      </c>
      <c r="L12" s="23" t="n">
        <f aca="false">IF(A12&gt;1,INDEX($C$8:$C$59,A12-1),0)*Datos!$B$17</f>
        <v>11200</v>
      </c>
      <c r="M12" s="23" t="n">
        <f aca="false">J12+K12+L12</f>
        <v>101600</v>
      </c>
      <c r="N12" s="23" t="n">
        <f aca="false">I12-M12</f>
        <v>-101600</v>
      </c>
      <c r="O12" s="23" t="n">
        <f aca="false">O11+N12</f>
        <v>104600</v>
      </c>
      <c r="P12" s="23" t="n">
        <f aca="false">MAX(0,-O12)*((1+Datos!$B$18)^(1/52)-1)</f>
        <v>0</v>
      </c>
      <c r="Q12" s="22"/>
      <c r="R12" s="22"/>
      <c r="S12" s="23" t="str">
        <f aca="false">IF(AND(Q12="",R12=""),"",SUM($Q$8:Q12)-SUM($R$8:R12))</f>
        <v/>
      </c>
      <c r="T12" s="23" t="str">
        <f aca="false">IF(S12="","",S12-O12)</f>
        <v/>
      </c>
    </row>
    <row r="13" customFormat="false" ht="15" hidden="false" customHeight="false" outlineLevel="0" collapsed="false">
      <c r="A13" s="18" t="n">
        <v>6</v>
      </c>
      <c r="B13" s="21" t="n">
        <f aca="false">Datos!$B$6+7*(A13-1)</f>
        <v>46349</v>
      </c>
      <c r="C13" s="22" t="n">
        <v>120000</v>
      </c>
      <c r="D13" s="17" t="n">
        <f aca="false">IF(Datos!$B$8=0,0,C13/Datos!$B$8)</f>
        <v>0.15</v>
      </c>
      <c r="E13" s="23" t="n">
        <f aca="false">IF(AND(A13&lt;=Datos!$B$22,OR(MOD(A13,Datos!$B$11)=0,A13=Datos!$B$22)),SUMIFS($D$8:$D$59,$A$8:$A$59,"&gt;"&amp;(A13-IF(MOD(A13,Datos!$B$11)=0,Datos!$B$11,MOD(A13,Datos!$B$11))),$A$8:$A$59,"&lt;="&amp;A13)*Datos!$B$7,0)</f>
        <v>300000</v>
      </c>
      <c r="F13" s="23" t="n">
        <f aca="false">E13*Datos!$B$9</f>
        <v>90000</v>
      </c>
      <c r="G13" s="23" t="n">
        <f aca="false">E13*Datos!$B$10</f>
        <v>15000</v>
      </c>
      <c r="H13" s="23" t="n">
        <f aca="false">E13-F13-G13</f>
        <v>195000</v>
      </c>
      <c r="I13" s="23" t="n">
        <f aca="false">IF(A13=1,Datos!$B$7*Datos!$B$9,0)+IF(A13-Datos!$B$12&gt;=1,INDEX($H$8:$H$59,A13-Datos!$B$12),0)+IF(A13=Datos!$B$22+Datos!$B$12+Datos!$B$13,SUM($G$8:$G$59),0)</f>
        <v>162500</v>
      </c>
      <c r="J13" s="23" t="n">
        <f aca="false">IF(A13-Datos!$B$15&gt;=1,INDEX($C$8:$C$59,A13-Datos!$B$15),0)*Datos!$B$14</f>
        <v>61600</v>
      </c>
      <c r="K13" s="23" t="n">
        <f aca="false">C13*Datos!$B$16</f>
        <v>42000</v>
      </c>
      <c r="L13" s="23" t="n">
        <f aca="false">IF(A13&gt;1,INDEX($C$8:$C$59,A13-1),0)*Datos!$B$17</f>
        <v>12000</v>
      </c>
      <c r="M13" s="23" t="n">
        <f aca="false">J13+K13+L13</f>
        <v>115600</v>
      </c>
      <c r="N13" s="23" t="n">
        <f aca="false">I13-M13</f>
        <v>46900</v>
      </c>
      <c r="O13" s="23" t="n">
        <f aca="false">O12+N13</f>
        <v>151500</v>
      </c>
      <c r="P13" s="23" t="n">
        <f aca="false">MAX(0,-O13)*((1+Datos!$B$18)^(1/52)-1)</f>
        <v>0</v>
      </c>
      <c r="Q13" s="22"/>
      <c r="R13" s="22"/>
      <c r="S13" s="23" t="str">
        <f aca="false">IF(AND(Q13="",R13=""),"",SUM($Q$8:Q13)-SUM($R$8:R13))</f>
        <v/>
      </c>
      <c r="T13" s="23" t="str">
        <f aca="false">IF(S13="","",S13-O13)</f>
        <v/>
      </c>
    </row>
    <row r="14" customFormat="false" ht="15" hidden="false" customHeight="false" outlineLevel="0" collapsed="false">
      <c r="A14" s="18" t="n">
        <v>7</v>
      </c>
      <c r="B14" s="21" t="n">
        <f aca="false">Datos!$B$6+7*(A14-1)</f>
        <v>46356</v>
      </c>
      <c r="C14" s="22" t="n">
        <v>104000</v>
      </c>
      <c r="D14" s="17" t="n">
        <f aca="false">IF(Datos!$B$8=0,0,C14/Datos!$B$8)</f>
        <v>0.13</v>
      </c>
      <c r="E14" s="23" t="n">
        <f aca="false">IF(AND(A14&lt;=Datos!$B$22,OR(MOD(A14,Datos!$B$11)=0,A14=Datos!$B$22)),SUMIFS($D$8:$D$59,$A$8:$A$59,"&gt;"&amp;(A14-IF(MOD(A14,Datos!$B$11)=0,Datos!$B$11,MOD(A14,Datos!$B$11))),$A$8:$A$59,"&lt;="&amp;A14)*Datos!$B$7,0)</f>
        <v>0</v>
      </c>
      <c r="F14" s="23" t="n">
        <f aca="false">E14*Datos!$B$9</f>
        <v>0</v>
      </c>
      <c r="G14" s="23" t="n">
        <f aca="false">E14*Datos!$B$10</f>
        <v>0</v>
      </c>
      <c r="H14" s="23" t="n">
        <f aca="false">E14-F14-G14</f>
        <v>0</v>
      </c>
      <c r="I14" s="23" t="n">
        <f aca="false">IF(A14=1,Datos!$B$7*Datos!$B$9,0)+IF(A14-Datos!$B$12&gt;=1,INDEX($H$8:$H$59,A14-Datos!$B$12),0)+IF(A14=Datos!$B$22+Datos!$B$12+Datos!$B$13,SUM($G$8:$G$59),0)</f>
        <v>0</v>
      </c>
      <c r="J14" s="23" t="n">
        <f aca="false">IF(A14-Datos!$B$15&gt;=1,INDEX($C$8:$C$59,A14-Datos!$B$15),0)*Datos!$B$14</f>
        <v>66000</v>
      </c>
      <c r="K14" s="23" t="n">
        <f aca="false">C14*Datos!$B$16</f>
        <v>36400</v>
      </c>
      <c r="L14" s="23" t="n">
        <f aca="false">IF(A14&gt;1,INDEX($C$8:$C$59,A14-1),0)*Datos!$B$17</f>
        <v>12000</v>
      </c>
      <c r="M14" s="23" t="n">
        <f aca="false">J14+K14+L14</f>
        <v>114400</v>
      </c>
      <c r="N14" s="23" t="n">
        <f aca="false">I14-M14</f>
        <v>-114400</v>
      </c>
      <c r="O14" s="23" t="n">
        <f aca="false">O13+N14</f>
        <v>37100</v>
      </c>
      <c r="P14" s="23" t="n">
        <f aca="false">MAX(0,-O14)*((1+Datos!$B$18)^(1/52)-1)</f>
        <v>0</v>
      </c>
      <c r="Q14" s="22"/>
      <c r="R14" s="22"/>
      <c r="S14" s="23" t="str">
        <f aca="false">IF(AND(Q14="",R14=""),"",SUM($Q$8:Q14)-SUM($R$8:R14))</f>
        <v/>
      </c>
      <c r="T14" s="23" t="str">
        <f aca="false">IF(S14="","",S14-O14)</f>
        <v/>
      </c>
    </row>
    <row r="15" customFormat="false" ht="15" hidden="false" customHeight="false" outlineLevel="0" collapsed="false">
      <c r="A15" s="18" t="n">
        <v>8</v>
      </c>
      <c r="B15" s="21" t="n">
        <f aca="false">Datos!$B$6+7*(A15-1)</f>
        <v>46363</v>
      </c>
      <c r="C15" s="22" t="n">
        <v>80000</v>
      </c>
      <c r="D15" s="17" t="n">
        <f aca="false">IF(Datos!$B$8=0,0,C15/Datos!$B$8)</f>
        <v>0.1</v>
      </c>
      <c r="E15" s="23" t="n">
        <f aca="false">IF(AND(A15&lt;=Datos!$B$22,OR(MOD(A15,Datos!$B$11)=0,A15=Datos!$B$22)),SUMIFS($D$8:$D$59,$A$8:$A$59,"&gt;"&amp;(A15-IF(MOD(A15,Datos!$B$11)=0,Datos!$B$11,MOD(A15,Datos!$B$11))),$A$8:$A$59,"&lt;="&amp;A15)*Datos!$B$7,0)</f>
        <v>230000</v>
      </c>
      <c r="F15" s="23" t="n">
        <f aca="false">E15*Datos!$B$9</f>
        <v>69000</v>
      </c>
      <c r="G15" s="23" t="n">
        <f aca="false">E15*Datos!$B$10</f>
        <v>11500</v>
      </c>
      <c r="H15" s="23" t="n">
        <f aca="false">E15-F15-G15</f>
        <v>149500</v>
      </c>
      <c r="I15" s="23" t="n">
        <f aca="false">IF(A15=1,Datos!$B$7*Datos!$B$9,0)+IF(A15-Datos!$B$12&gt;=1,INDEX($H$8:$H$59,A15-Datos!$B$12),0)+IF(A15=Datos!$B$22+Datos!$B$12+Datos!$B$13,SUM($G$8:$G$59),0)</f>
        <v>195000</v>
      </c>
      <c r="J15" s="23" t="n">
        <f aca="false">IF(A15-Datos!$B$15&gt;=1,INDEX($C$8:$C$59,A15-Datos!$B$15),0)*Datos!$B$14</f>
        <v>66000</v>
      </c>
      <c r="K15" s="23" t="n">
        <f aca="false">C15*Datos!$B$16</f>
        <v>28000</v>
      </c>
      <c r="L15" s="23" t="n">
        <f aca="false">IF(A15&gt;1,INDEX($C$8:$C$59,A15-1),0)*Datos!$B$17</f>
        <v>10400</v>
      </c>
      <c r="M15" s="23" t="n">
        <f aca="false">J15+K15+L15</f>
        <v>104400</v>
      </c>
      <c r="N15" s="23" t="n">
        <f aca="false">I15-M15</f>
        <v>90600</v>
      </c>
      <c r="O15" s="23" t="n">
        <f aca="false">O14+N15</f>
        <v>127700</v>
      </c>
      <c r="P15" s="23" t="n">
        <f aca="false">MAX(0,-O15)*((1+Datos!$B$18)^(1/52)-1)</f>
        <v>0</v>
      </c>
      <c r="Q15" s="22"/>
      <c r="R15" s="22"/>
      <c r="S15" s="23" t="str">
        <f aca="false">IF(AND(Q15="",R15=""),"",SUM($Q$8:Q15)-SUM($R$8:R15))</f>
        <v/>
      </c>
      <c r="T15" s="23" t="str">
        <f aca="false">IF(S15="","",S15-O15)</f>
        <v/>
      </c>
    </row>
    <row r="16" customFormat="false" ht="15" hidden="false" customHeight="false" outlineLevel="0" collapsed="false">
      <c r="A16" s="18" t="n">
        <v>9</v>
      </c>
      <c r="B16" s="21" t="n">
        <f aca="false">Datos!$B$6+7*(A16-1)</f>
        <v>46370</v>
      </c>
      <c r="C16" s="22" t="n">
        <v>56000</v>
      </c>
      <c r="D16" s="17" t="n">
        <f aca="false">IF(Datos!$B$8=0,0,C16/Datos!$B$8)</f>
        <v>0.07</v>
      </c>
      <c r="E16" s="23" t="n">
        <f aca="false">IF(AND(A16&lt;=Datos!$B$22,OR(MOD(A16,Datos!$B$11)=0,A16=Datos!$B$22)),SUMIFS($D$8:$D$59,$A$8:$A$59,"&gt;"&amp;(A16-IF(MOD(A16,Datos!$B$11)=0,Datos!$B$11,MOD(A16,Datos!$B$11))),$A$8:$A$59,"&lt;="&amp;A16)*Datos!$B$7,0)</f>
        <v>0</v>
      </c>
      <c r="F16" s="23" t="n">
        <f aca="false">E16*Datos!$B$9</f>
        <v>0</v>
      </c>
      <c r="G16" s="23" t="n">
        <f aca="false">E16*Datos!$B$10</f>
        <v>0</v>
      </c>
      <c r="H16" s="23" t="n">
        <f aca="false">E16-F16-G16</f>
        <v>0</v>
      </c>
      <c r="I16" s="23" t="n">
        <f aca="false">IF(A16=1,Datos!$B$7*Datos!$B$9,0)+IF(A16-Datos!$B$12&gt;=1,INDEX($H$8:$H$59,A16-Datos!$B$12),0)+IF(A16=Datos!$B$22+Datos!$B$12+Datos!$B$13,SUM($G$8:$G$59),0)</f>
        <v>0</v>
      </c>
      <c r="J16" s="23" t="n">
        <f aca="false">IF(A16-Datos!$B$15&gt;=1,INDEX($C$8:$C$59,A16-Datos!$B$15),0)*Datos!$B$14</f>
        <v>57200</v>
      </c>
      <c r="K16" s="23" t="n">
        <f aca="false">C16*Datos!$B$16</f>
        <v>19600</v>
      </c>
      <c r="L16" s="23" t="n">
        <f aca="false">IF(A16&gt;1,INDEX($C$8:$C$59,A16-1),0)*Datos!$B$17</f>
        <v>8000</v>
      </c>
      <c r="M16" s="23" t="n">
        <f aca="false">J16+K16+L16</f>
        <v>84800</v>
      </c>
      <c r="N16" s="23" t="n">
        <f aca="false">I16-M16</f>
        <v>-84800</v>
      </c>
      <c r="O16" s="23" t="n">
        <f aca="false">O15+N16</f>
        <v>42900</v>
      </c>
      <c r="P16" s="23" t="n">
        <f aca="false">MAX(0,-O16)*((1+Datos!$B$18)^(1/52)-1)</f>
        <v>0</v>
      </c>
      <c r="Q16" s="22"/>
      <c r="R16" s="22"/>
      <c r="S16" s="23" t="str">
        <f aca="false">IF(AND(Q16="",R16=""),"",SUM($Q$8:Q16)-SUM($R$8:R16))</f>
        <v/>
      </c>
      <c r="T16" s="23" t="str">
        <f aca="false">IF(S16="","",S16-O16)</f>
        <v/>
      </c>
    </row>
    <row r="17" customFormat="false" ht="15" hidden="false" customHeight="false" outlineLevel="0" collapsed="false">
      <c r="A17" s="18" t="n">
        <v>10</v>
      </c>
      <c r="B17" s="21" t="n">
        <f aca="false">Datos!$B$6+7*(A17-1)</f>
        <v>46377</v>
      </c>
      <c r="C17" s="22" t="n">
        <v>40000</v>
      </c>
      <c r="D17" s="17" t="n">
        <f aca="false">IF(Datos!$B$8=0,0,C17/Datos!$B$8)</f>
        <v>0.05</v>
      </c>
      <c r="E17" s="23" t="n">
        <f aca="false">IF(AND(A17&lt;=Datos!$B$22,OR(MOD(A17,Datos!$B$11)=0,A17=Datos!$B$22)),SUMIFS($D$8:$D$59,$A$8:$A$59,"&gt;"&amp;(A17-IF(MOD(A17,Datos!$B$11)=0,Datos!$B$11,MOD(A17,Datos!$B$11))),$A$8:$A$59,"&lt;="&amp;A17)*Datos!$B$7,0)</f>
        <v>120000</v>
      </c>
      <c r="F17" s="23" t="n">
        <f aca="false">E17*Datos!$B$9</f>
        <v>36000</v>
      </c>
      <c r="G17" s="23" t="n">
        <f aca="false">E17*Datos!$B$10</f>
        <v>6000</v>
      </c>
      <c r="H17" s="23" t="n">
        <f aca="false">E17-F17-G17</f>
        <v>78000</v>
      </c>
      <c r="I17" s="23" t="n">
        <f aca="false">IF(A17=1,Datos!$B$7*Datos!$B$9,0)+IF(A17-Datos!$B$12&gt;=1,INDEX($H$8:$H$59,A17-Datos!$B$12),0)+IF(A17=Datos!$B$22+Datos!$B$12+Datos!$B$13,SUM($G$8:$G$59),0)</f>
        <v>149500</v>
      </c>
      <c r="J17" s="23" t="n">
        <f aca="false">IF(A17-Datos!$B$15&gt;=1,INDEX($C$8:$C$59,A17-Datos!$B$15),0)*Datos!$B$14</f>
        <v>44000</v>
      </c>
      <c r="K17" s="23" t="n">
        <f aca="false">C17*Datos!$B$16</f>
        <v>14000</v>
      </c>
      <c r="L17" s="23" t="n">
        <f aca="false">IF(A17&gt;1,INDEX($C$8:$C$59,A17-1),0)*Datos!$B$17</f>
        <v>5600</v>
      </c>
      <c r="M17" s="23" t="n">
        <f aca="false">J17+K17+L17</f>
        <v>63600</v>
      </c>
      <c r="N17" s="23" t="n">
        <f aca="false">I17-M17</f>
        <v>85900</v>
      </c>
      <c r="O17" s="23" t="n">
        <f aca="false">O16+N17</f>
        <v>128800</v>
      </c>
      <c r="P17" s="23" t="n">
        <f aca="false">MAX(0,-O17)*((1+Datos!$B$18)^(1/52)-1)</f>
        <v>0</v>
      </c>
      <c r="Q17" s="22"/>
      <c r="R17" s="22"/>
      <c r="S17" s="23" t="str">
        <f aca="false">IF(AND(Q17="",R17=""),"",SUM($Q$8:Q17)-SUM($R$8:R17))</f>
        <v/>
      </c>
      <c r="T17" s="23" t="str">
        <f aca="false">IF(S17="","",S17-O17)</f>
        <v/>
      </c>
    </row>
    <row r="18" customFormat="false" ht="15" hidden="false" customHeight="false" outlineLevel="0" collapsed="false">
      <c r="A18" s="18" t="n">
        <v>11</v>
      </c>
      <c r="B18" s="21" t="n">
        <f aca="false">Datos!$B$6+7*(A18-1)</f>
        <v>46384</v>
      </c>
      <c r="C18" s="22"/>
      <c r="D18" s="17" t="n">
        <f aca="false">IF(Datos!$B$8=0,0,C18/Datos!$B$8)</f>
        <v>0</v>
      </c>
      <c r="E18" s="23" t="n">
        <f aca="false">IF(AND(A18&lt;=Datos!$B$22,OR(MOD(A18,Datos!$B$11)=0,A18=Datos!$B$22)),SUMIFS($D$8:$D$59,$A$8:$A$59,"&gt;"&amp;(A18-IF(MOD(A18,Datos!$B$11)=0,Datos!$B$11,MOD(A18,Datos!$B$11))),$A$8:$A$59,"&lt;="&amp;A18)*Datos!$B$7,0)</f>
        <v>0</v>
      </c>
      <c r="F18" s="23" t="n">
        <f aca="false">E18*Datos!$B$9</f>
        <v>0</v>
      </c>
      <c r="G18" s="23" t="n">
        <f aca="false">E18*Datos!$B$10</f>
        <v>0</v>
      </c>
      <c r="H18" s="23" t="n">
        <f aca="false">E18-F18-G18</f>
        <v>0</v>
      </c>
      <c r="I18" s="23" t="n">
        <f aca="false">IF(A18=1,Datos!$B$7*Datos!$B$9,0)+IF(A18-Datos!$B$12&gt;=1,INDEX($H$8:$H$59,A18-Datos!$B$12),0)+IF(A18=Datos!$B$22+Datos!$B$12+Datos!$B$13,SUM($G$8:$G$59),0)</f>
        <v>0</v>
      </c>
      <c r="J18" s="23" t="n">
        <f aca="false">IF(A18-Datos!$B$15&gt;=1,INDEX($C$8:$C$59,A18-Datos!$B$15),0)*Datos!$B$14</f>
        <v>30800</v>
      </c>
      <c r="K18" s="23" t="n">
        <f aca="false">C18*Datos!$B$16</f>
        <v>0</v>
      </c>
      <c r="L18" s="23" t="n">
        <f aca="false">IF(A18&gt;1,INDEX($C$8:$C$59,A18-1),0)*Datos!$B$17</f>
        <v>4000</v>
      </c>
      <c r="M18" s="23" t="n">
        <f aca="false">J18+K18+L18</f>
        <v>34800</v>
      </c>
      <c r="N18" s="23" t="n">
        <f aca="false">I18-M18</f>
        <v>-34800</v>
      </c>
      <c r="O18" s="23" t="n">
        <f aca="false">O17+N18</f>
        <v>94000</v>
      </c>
      <c r="P18" s="23" t="n">
        <f aca="false">MAX(0,-O18)*((1+Datos!$B$18)^(1/52)-1)</f>
        <v>0</v>
      </c>
      <c r="Q18" s="22"/>
      <c r="R18" s="22"/>
      <c r="S18" s="23" t="str">
        <f aca="false">IF(AND(Q18="",R18=""),"",SUM($Q$8:Q18)-SUM($R$8:R18))</f>
        <v/>
      </c>
      <c r="T18" s="23" t="str">
        <f aca="false">IF(S18="","",S18-O18)</f>
        <v/>
      </c>
    </row>
    <row r="19" customFormat="false" ht="15" hidden="false" customHeight="false" outlineLevel="0" collapsed="false">
      <c r="A19" s="18" t="n">
        <v>12</v>
      </c>
      <c r="B19" s="21" t="n">
        <f aca="false">Datos!$B$6+7*(A19-1)</f>
        <v>46391</v>
      </c>
      <c r="C19" s="22"/>
      <c r="D19" s="17" t="n">
        <f aca="false">IF(Datos!$B$8=0,0,C19/Datos!$B$8)</f>
        <v>0</v>
      </c>
      <c r="E19" s="23" t="n">
        <f aca="false">IF(AND(A19&lt;=Datos!$B$22,OR(MOD(A19,Datos!$B$11)=0,A19=Datos!$B$22)),SUMIFS($D$8:$D$59,$A$8:$A$59,"&gt;"&amp;(A19-IF(MOD(A19,Datos!$B$11)=0,Datos!$B$11,MOD(A19,Datos!$B$11))),$A$8:$A$59,"&lt;="&amp;A19)*Datos!$B$7,0)</f>
        <v>0</v>
      </c>
      <c r="F19" s="23" t="n">
        <f aca="false">E19*Datos!$B$9</f>
        <v>0</v>
      </c>
      <c r="G19" s="23" t="n">
        <f aca="false">E19*Datos!$B$10</f>
        <v>0</v>
      </c>
      <c r="H19" s="23" t="n">
        <f aca="false">E19-F19-G19</f>
        <v>0</v>
      </c>
      <c r="I19" s="23" t="n">
        <f aca="false">IF(A19=1,Datos!$B$7*Datos!$B$9,0)+IF(A19-Datos!$B$12&gt;=1,INDEX($H$8:$H$59,A19-Datos!$B$12),0)+IF(A19=Datos!$B$22+Datos!$B$12+Datos!$B$13,SUM($G$8:$G$59),0)</f>
        <v>78000</v>
      </c>
      <c r="J19" s="23" t="n">
        <f aca="false">IF(A19-Datos!$B$15&gt;=1,INDEX($C$8:$C$59,A19-Datos!$B$15),0)*Datos!$B$14</f>
        <v>22000</v>
      </c>
      <c r="K19" s="23" t="n">
        <f aca="false">C19*Datos!$B$16</f>
        <v>0</v>
      </c>
      <c r="L19" s="23" t="n">
        <f aca="false">IF(A19&gt;1,INDEX($C$8:$C$59,A19-1),0)*Datos!$B$17</f>
        <v>0</v>
      </c>
      <c r="M19" s="23" t="n">
        <f aca="false">J19+K19+L19</f>
        <v>22000</v>
      </c>
      <c r="N19" s="23" t="n">
        <f aca="false">I19-M19</f>
        <v>56000</v>
      </c>
      <c r="O19" s="23" t="n">
        <f aca="false">O18+N19</f>
        <v>150000</v>
      </c>
      <c r="P19" s="23" t="n">
        <f aca="false">MAX(0,-O19)*((1+Datos!$B$18)^(1/52)-1)</f>
        <v>0</v>
      </c>
      <c r="Q19" s="22"/>
      <c r="R19" s="22"/>
      <c r="S19" s="23" t="str">
        <f aca="false">IF(AND(Q19="",R19=""),"",SUM($Q$8:Q19)-SUM($R$8:R19))</f>
        <v/>
      </c>
      <c r="T19" s="23" t="str">
        <f aca="false">IF(S19="","",S19-O19)</f>
        <v/>
      </c>
    </row>
    <row r="20" customFormat="false" ht="15" hidden="false" customHeight="false" outlineLevel="0" collapsed="false">
      <c r="A20" s="18" t="n">
        <v>13</v>
      </c>
      <c r="B20" s="21" t="n">
        <f aca="false">Datos!$B$6+7*(A20-1)</f>
        <v>46398</v>
      </c>
      <c r="C20" s="22"/>
      <c r="D20" s="17" t="n">
        <f aca="false">IF(Datos!$B$8=0,0,C20/Datos!$B$8)</f>
        <v>0</v>
      </c>
      <c r="E20" s="23" t="n">
        <f aca="false">IF(AND(A20&lt;=Datos!$B$22,OR(MOD(A20,Datos!$B$11)=0,A20=Datos!$B$22)),SUMIFS($D$8:$D$59,$A$8:$A$59,"&gt;"&amp;(A20-IF(MOD(A20,Datos!$B$11)=0,Datos!$B$11,MOD(A20,Datos!$B$11))),$A$8:$A$59,"&lt;="&amp;A20)*Datos!$B$7,0)</f>
        <v>0</v>
      </c>
      <c r="F20" s="23" t="n">
        <f aca="false">E20*Datos!$B$9</f>
        <v>0</v>
      </c>
      <c r="G20" s="23" t="n">
        <f aca="false">E20*Datos!$B$10</f>
        <v>0</v>
      </c>
      <c r="H20" s="23" t="n">
        <f aca="false">E20-F20-G20</f>
        <v>0</v>
      </c>
      <c r="I20" s="23" t="n">
        <f aca="false">IF(A20=1,Datos!$B$7*Datos!$B$9,0)+IF(A20-Datos!$B$12&gt;=1,INDEX($H$8:$H$59,A20-Datos!$B$12),0)+IF(A20=Datos!$B$22+Datos!$B$12+Datos!$B$13,SUM($G$8:$G$59),0)</f>
        <v>0</v>
      </c>
      <c r="J20" s="23" t="n">
        <f aca="false">IF(A20-Datos!$B$15&gt;=1,INDEX($C$8:$C$59,A20-Datos!$B$15),0)*Datos!$B$14</f>
        <v>0</v>
      </c>
      <c r="K20" s="23" t="n">
        <f aca="false">C20*Datos!$B$16</f>
        <v>0</v>
      </c>
      <c r="L20" s="23" t="n">
        <f aca="false">IF(A20&gt;1,INDEX($C$8:$C$59,A20-1),0)*Datos!$B$17</f>
        <v>0</v>
      </c>
      <c r="M20" s="23" t="n">
        <f aca="false">J20+K20+L20</f>
        <v>0</v>
      </c>
      <c r="N20" s="23" t="n">
        <f aca="false">I20-M20</f>
        <v>0</v>
      </c>
      <c r="O20" s="23" t="n">
        <f aca="false">O19+N20</f>
        <v>150000</v>
      </c>
      <c r="P20" s="23" t="n">
        <f aca="false">MAX(0,-O20)*((1+Datos!$B$18)^(1/52)-1)</f>
        <v>0</v>
      </c>
      <c r="Q20" s="22"/>
      <c r="R20" s="22"/>
      <c r="S20" s="23" t="str">
        <f aca="false">IF(AND(Q20="",R20=""),"",SUM($Q$8:Q20)-SUM($R$8:R20))</f>
        <v/>
      </c>
      <c r="T20" s="23" t="str">
        <f aca="false">IF(S20="","",S20-O20)</f>
        <v/>
      </c>
    </row>
    <row r="21" customFormat="false" ht="15" hidden="false" customHeight="false" outlineLevel="0" collapsed="false">
      <c r="A21" s="18" t="n">
        <v>14</v>
      </c>
      <c r="B21" s="21" t="n">
        <f aca="false">Datos!$B$6+7*(A21-1)</f>
        <v>46405</v>
      </c>
      <c r="C21" s="22"/>
      <c r="D21" s="17" t="n">
        <f aca="false">IF(Datos!$B$8=0,0,C21/Datos!$B$8)</f>
        <v>0</v>
      </c>
      <c r="E21" s="23" t="n">
        <f aca="false">IF(AND(A21&lt;=Datos!$B$22,OR(MOD(A21,Datos!$B$11)=0,A21=Datos!$B$22)),SUMIFS($D$8:$D$59,$A$8:$A$59,"&gt;"&amp;(A21-IF(MOD(A21,Datos!$B$11)=0,Datos!$B$11,MOD(A21,Datos!$B$11))),$A$8:$A$59,"&lt;="&amp;A21)*Datos!$B$7,0)</f>
        <v>0</v>
      </c>
      <c r="F21" s="23" t="n">
        <f aca="false">E21*Datos!$B$9</f>
        <v>0</v>
      </c>
      <c r="G21" s="23" t="n">
        <f aca="false">E21*Datos!$B$10</f>
        <v>0</v>
      </c>
      <c r="H21" s="23" t="n">
        <f aca="false">E21-F21-G21</f>
        <v>0</v>
      </c>
      <c r="I21" s="23" t="n">
        <f aca="false">IF(A21=1,Datos!$B$7*Datos!$B$9,0)+IF(A21-Datos!$B$12&gt;=1,INDEX($H$8:$H$59,A21-Datos!$B$12),0)+IF(A21=Datos!$B$22+Datos!$B$12+Datos!$B$13,SUM($G$8:$G$59),0)</f>
        <v>0</v>
      </c>
      <c r="J21" s="23" t="n">
        <f aca="false">IF(A21-Datos!$B$15&gt;=1,INDEX($C$8:$C$59,A21-Datos!$B$15),0)*Datos!$B$14</f>
        <v>0</v>
      </c>
      <c r="K21" s="23" t="n">
        <f aca="false">C21*Datos!$B$16</f>
        <v>0</v>
      </c>
      <c r="L21" s="23" t="n">
        <f aca="false">IF(A21&gt;1,INDEX($C$8:$C$59,A21-1),0)*Datos!$B$17</f>
        <v>0</v>
      </c>
      <c r="M21" s="23" t="n">
        <f aca="false">J21+K21+L21</f>
        <v>0</v>
      </c>
      <c r="N21" s="23" t="n">
        <f aca="false">I21-M21</f>
        <v>0</v>
      </c>
      <c r="O21" s="23" t="n">
        <f aca="false">O20+N21</f>
        <v>150000</v>
      </c>
      <c r="P21" s="23" t="n">
        <f aca="false">MAX(0,-O21)*((1+Datos!$B$18)^(1/52)-1)</f>
        <v>0</v>
      </c>
      <c r="Q21" s="22"/>
      <c r="R21" s="22"/>
      <c r="S21" s="23" t="str">
        <f aca="false">IF(AND(Q21="",R21=""),"",SUM($Q$8:Q21)-SUM($R$8:R21))</f>
        <v/>
      </c>
      <c r="T21" s="23" t="str">
        <f aca="false">IF(S21="","",S21-O21)</f>
        <v/>
      </c>
    </row>
    <row r="22" customFormat="false" ht="15" hidden="false" customHeight="false" outlineLevel="0" collapsed="false">
      <c r="A22" s="18" t="n">
        <v>15</v>
      </c>
      <c r="B22" s="21" t="n">
        <f aca="false">Datos!$B$6+7*(A22-1)</f>
        <v>46412</v>
      </c>
      <c r="C22" s="22"/>
      <c r="D22" s="17" t="n">
        <f aca="false">IF(Datos!$B$8=0,0,C22/Datos!$B$8)</f>
        <v>0</v>
      </c>
      <c r="E22" s="23" t="n">
        <f aca="false">IF(AND(A22&lt;=Datos!$B$22,OR(MOD(A22,Datos!$B$11)=0,A22=Datos!$B$22)),SUMIFS($D$8:$D$59,$A$8:$A$59,"&gt;"&amp;(A22-IF(MOD(A22,Datos!$B$11)=0,Datos!$B$11,MOD(A22,Datos!$B$11))),$A$8:$A$59,"&lt;="&amp;A22)*Datos!$B$7,0)</f>
        <v>0</v>
      </c>
      <c r="F22" s="23" t="n">
        <f aca="false">E22*Datos!$B$9</f>
        <v>0</v>
      </c>
      <c r="G22" s="23" t="n">
        <f aca="false">E22*Datos!$B$10</f>
        <v>0</v>
      </c>
      <c r="H22" s="23" t="n">
        <f aca="false">E22-F22-G22</f>
        <v>0</v>
      </c>
      <c r="I22" s="23" t="n">
        <f aca="false">IF(A22=1,Datos!$B$7*Datos!$B$9,0)+IF(A22-Datos!$B$12&gt;=1,INDEX($H$8:$H$59,A22-Datos!$B$12),0)+IF(A22=Datos!$B$22+Datos!$B$12+Datos!$B$13,SUM($G$8:$G$59),0)</f>
        <v>0</v>
      </c>
      <c r="J22" s="23" t="n">
        <f aca="false">IF(A22-Datos!$B$15&gt;=1,INDEX($C$8:$C$59,A22-Datos!$B$15),0)*Datos!$B$14</f>
        <v>0</v>
      </c>
      <c r="K22" s="23" t="n">
        <f aca="false">C22*Datos!$B$16</f>
        <v>0</v>
      </c>
      <c r="L22" s="23" t="n">
        <f aca="false">IF(A22&gt;1,INDEX($C$8:$C$59,A22-1),0)*Datos!$B$17</f>
        <v>0</v>
      </c>
      <c r="M22" s="23" t="n">
        <f aca="false">J22+K22+L22</f>
        <v>0</v>
      </c>
      <c r="N22" s="23" t="n">
        <f aca="false">I22-M22</f>
        <v>0</v>
      </c>
      <c r="O22" s="23" t="n">
        <f aca="false">O21+N22</f>
        <v>150000</v>
      </c>
      <c r="P22" s="23" t="n">
        <f aca="false">MAX(0,-O22)*((1+Datos!$B$18)^(1/52)-1)</f>
        <v>0</v>
      </c>
      <c r="Q22" s="22"/>
      <c r="R22" s="22"/>
      <c r="S22" s="23" t="str">
        <f aca="false">IF(AND(Q22="",R22=""),"",SUM($Q$8:Q22)-SUM($R$8:R22))</f>
        <v/>
      </c>
      <c r="T22" s="23" t="str">
        <f aca="false">IF(S22="","",S22-O22)</f>
        <v/>
      </c>
    </row>
    <row r="23" customFormat="false" ht="15" hidden="false" customHeight="false" outlineLevel="0" collapsed="false">
      <c r="A23" s="18" t="n">
        <v>16</v>
      </c>
      <c r="B23" s="21" t="n">
        <f aca="false">Datos!$B$6+7*(A23-1)</f>
        <v>46419</v>
      </c>
      <c r="C23" s="22"/>
      <c r="D23" s="17" t="n">
        <f aca="false">IF(Datos!$B$8=0,0,C23/Datos!$B$8)</f>
        <v>0</v>
      </c>
      <c r="E23" s="23" t="n">
        <f aca="false">IF(AND(A23&lt;=Datos!$B$22,OR(MOD(A23,Datos!$B$11)=0,A23=Datos!$B$22)),SUMIFS($D$8:$D$59,$A$8:$A$59,"&gt;"&amp;(A23-IF(MOD(A23,Datos!$B$11)=0,Datos!$B$11,MOD(A23,Datos!$B$11))),$A$8:$A$59,"&lt;="&amp;A23)*Datos!$B$7,0)</f>
        <v>0</v>
      </c>
      <c r="F23" s="23" t="n">
        <f aca="false">E23*Datos!$B$9</f>
        <v>0</v>
      </c>
      <c r="G23" s="23" t="n">
        <f aca="false">E23*Datos!$B$10</f>
        <v>0</v>
      </c>
      <c r="H23" s="23" t="n">
        <f aca="false">E23-F23-G23</f>
        <v>0</v>
      </c>
      <c r="I23" s="23" t="n">
        <f aca="false">IF(A23=1,Datos!$B$7*Datos!$B$9,0)+IF(A23-Datos!$B$12&gt;=1,INDEX($H$8:$H$59,A23-Datos!$B$12),0)+IF(A23=Datos!$B$22+Datos!$B$12+Datos!$B$13,SUM($G$8:$G$59),0)</f>
        <v>50000</v>
      </c>
      <c r="J23" s="23" t="n">
        <f aca="false">IF(A23-Datos!$B$15&gt;=1,INDEX($C$8:$C$59,A23-Datos!$B$15),0)*Datos!$B$14</f>
        <v>0</v>
      </c>
      <c r="K23" s="23" t="n">
        <f aca="false">C23*Datos!$B$16</f>
        <v>0</v>
      </c>
      <c r="L23" s="23" t="n">
        <f aca="false">IF(A23&gt;1,INDEX($C$8:$C$59,A23-1),0)*Datos!$B$17</f>
        <v>0</v>
      </c>
      <c r="M23" s="23" t="n">
        <f aca="false">J23+K23+L23</f>
        <v>0</v>
      </c>
      <c r="N23" s="23" t="n">
        <f aca="false">I23-M23</f>
        <v>50000</v>
      </c>
      <c r="O23" s="23" t="n">
        <f aca="false">O22+N23</f>
        <v>200000</v>
      </c>
      <c r="P23" s="23" t="n">
        <f aca="false">MAX(0,-O23)*((1+Datos!$B$18)^(1/52)-1)</f>
        <v>0</v>
      </c>
      <c r="Q23" s="22"/>
      <c r="R23" s="22"/>
      <c r="S23" s="23" t="str">
        <f aca="false">IF(AND(Q23="",R23=""),"",SUM($Q$8:Q23)-SUM($R$8:R23))</f>
        <v/>
      </c>
      <c r="T23" s="23" t="str">
        <f aca="false">IF(S23="","",S23-O23)</f>
        <v/>
      </c>
    </row>
    <row r="24" customFormat="false" ht="15" hidden="false" customHeight="false" outlineLevel="0" collapsed="false">
      <c r="A24" s="18" t="n">
        <v>17</v>
      </c>
      <c r="B24" s="21" t="n">
        <f aca="false">Datos!$B$6+7*(A24-1)</f>
        <v>46426</v>
      </c>
      <c r="C24" s="22"/>
      <c r="D24" s="17" t="n">
        <f aca="false">IF(Datos!$B$8=0,0,C24/Datos!$B$8)</f>
        <v>0</v>
      </c>
      <c r="E24" s="23" t="n">
        <f aca="false">IF(AND(A24&lt;=Datos!$B$22,OR(MOD(A24,Datos!$B$11)=0,A24=Datos!$B$22)),SUMIFS($D$8:$D$59,$A$8:$A$59,"&gt;"&amp;(A24-IF(MOD(A24,Datos!$B$11)=0,Datos!$B$11,MOD(A24,Datos!$B$11))),$A$8:$A$59,"&lt;="&amp;A24)*Datos!$B$7,0)</f>
        <v>0</v>
      </c>
      <c r="F24" s="23" t="n">
        <f aca="false">E24*Datos!$B$9</f>
        <v>0</v>
      </c>
      <c r="G24" s="23" t="n">
        <f aca="false">E24*Datos!$B$10</f>
        <v>0</v>
      </c>
      <c r="H24" s="23" t="n">
        <f aca="false">E24-F24-G24</f>
        <v>0</v>
      </c>
      <c r="I24" s="23" t="n">
        <f aca="false">IF(A24=1,Datos!$B$7*Datos!$B$9,0)+IF(A24-Datos!$B$12&gt;=1,INDEX($H$8:$H$59,A24-Datos!$B$12),0)+IF(A24=Datos!$B$22+Datos!$B$12+Datos!$B$13,SUM($G$8:$G$59),0)</f>
        <v>0</v>
      </c>
      <c r="J24" s="23" t="n">
        <f aca="false">IF(A24-Datos!$B$15&gt;=1,INDEX($C$8:$C$59,A24-Datos!$B$15),0)*Datos!$B$14</f>
        <v>0</v>
      </c>
      <c r="K24" s="23" t="n">
        <f aca="false">C24*Datos!$B$16</f>
        <v>0</v>
      </c>
      <c r="L24" s="23" t="n">
        <f aca="false">IF(A24&gt;1,INDEX($C$8:$C$59,A24-1),0)*Datos!$B$17</f>
        <v>0</v>
      </c>
      <c r="M24" s="23" t="n">
        <f aca="false">J24+K24+L24</f>
        <v>0</v>
      </c>
      <c r="N24" s="23" t="n">
        <f aca="false">I24-M24</f>
        <v>0</v>
      </c>
      <c r="O24" s="23" t="n">
        <f aca="false">O23+N24</f>
        <v>200000</v>
      </c>
      <c r="P24" s="23" t="n">
        <f aca="false">MAX(0,-O24)*((1+Datos!$B$18)^(1/52)-1)</f>
        <v>0</v>
      </c>
      <c r="Q24" s="22"/>
      <c r="R24" s="22"/>
      <c r="S24" s="23" t="str">
        <f aca="false">IF(AND(Q24="",R24=""),"",SUM($Q$8:Q24)-SUM($R$8:R24))</f>
        <v/>
      </c>
      <c r="T24" s="23" t="str">
        <f aca="false">IF(S24="","",S24-O24)</f>
        <v/>
      </c>
    </row>
    <row r="25" customFormat="false" ht="15" hidden="false" customHeight="false" outlineLevel="0" collapsed="false">
      <c r="A25" s="18" t="n">
        <v>18</v>
      </c>
      <c r="B25" s="21" t="n">
        <f aca="false">Datos!$B$6+7*(A25-1)</f>
        <v>46433</v>
      </c>
      <c r="C25" s="22"/>
      <c r="D25" s="17" t="n">
        <f aca="false">IF(Datos!$B$8=0,0,C25/Datos!$B$8)</f>
        <v>0</v>
      </c>
      <c r="E25" s="23" t="n">
        <f aca="false">IF(AND(A25&lt;=Datos!$B$22,OR(MOD(A25,Datos!$B$11)=0,A25=Datos!$B$22)),SUMIFS($D$8:$D$59,$A$8:$A$59,"&gt;"&amp;(A25-IF(MOD(A25,Datos!$B$11)=0,Datos!$B$11,MOD(A25,Datos!$B$11))),$A$8:$A$59,"&lt;="&amp;A25)*Datos!$B$7,0)</f>
        <v>0</v>
      </c>
      <c r="F25" s="23" t="n">
        <f aca="false">E25*Datos!$B$9</f>
        <v>0</v>
      </c>
      <c r="G25" s="23" t="n">
        <f aca="false">E25*Datos!$B$10</f>
        <v>0</v>
      </c>
      <c r="H25" s="23" t="n">
        <f aca="false">E25-F25-G25</f>
        <v>0</v>
      </c>
      <c r="I25" s="23" t="n">
        <f aca="false">IF(A25=1,Datos!$B$7*Datos!$B$9,0)+IF(A25-Datos!$B$12&gt;=1,INDEX($H$8:$H$59,A25-Datos!$B$12),0)+IF(A25=Datos!$B$22+Datos!$B$12+Datos!$B$13,SUM($G$8:$G$59),0)</f>
        <v>0</v>
      </c>
      <c r="J25" s="23" t="n">
        <f aca="false">IF(A25-Datos!$B$15&gt;=1,INDEX($C$8:$C$59,A25-Datos!$B$15),0)*Datos!$B$14</f>
        <v>0</v>
      </c>
      <c r="K25" s="23" t="n">
        <f aca="false">C25*Datos!$B$16</f>
        <v>0</v>
      </c>
      <c r="L25" s="23" t="n">
        <f aca="false">IF(A25&gt;1,INDEX($C$8:$C$59,A25-1),0)*Datos!$B$17</f>
        <v>0</v>
      </c>
      <c r="M25" s="23" t="n">
        <f aca="false">J25+K25+L25</f>
        <v>0</v>
      </c>
      <c r="N25" s="23" t="n">
        <f aca="false">I25-M25</f>
        <v>0</v>
      </c>
      <c r="O25" s="23" t="n">
        <f aca="false">O24+N25</f>
        <v>200000</v>
      </c>
      <c r="P25" s="23" t="n">
        <f aca="false">MAX(0,-O25)*((1+Datos!$B$18)^(1/52)-1)</f>
        <v>0</v>
      </c>
      <c r="Q25" s="22"/>
      <c r="R25" s="22"/>
      <c r="S25" s="23" t="str">
        <f aca="false">IF(AND(Q25="",R25=""),"",SUM($Q$8:Q25)-SUM($R$8:R25))</f>
        <v/>
      </c>
      <c r="T25" s="23" t="str">
        <f aca="false">IF(S25="","",S25-O25)</f>
        <v/>
      </c>
    </row>
    <row r="26" customFormat="false" ht="15" hidden="false" customHeight="false" outlineLevel="0" collapsed="false">
      <c r="A26" s="18" t="n">
        <v>19</v>
      </c>
      <c r="B26" s="21" t="n">
        <f aca="false">Datos!$B$6+7*(A26-1)</f>
        <v>46440</v>
      </c>
      <c r="C26" s="22"/>
      <c r="D26" s="17" t="n">
        <f aca="false">IF(Datos!$B$8=0,0,C26/Datos!$B$8)</f>
        <v>0</v>
      </c>
      <c r="E26" s="23" t="n">
        <f aca="false">IF(AND(A26&lt;=Datos!$B$22,OR(MOD(A26,Datos!$B$11)=0,A26=Datos!$B$22)),SUMIFS($D$8:$D$59,$A$8:$A$59,"&gt;"&amp;(A26-IF(MOD(A26,Datos!$B$11)=0,Datos!$B$11,MOD(A26,Datos!$B$11))),$A$8:$A$59,"&lt;="&amp;A26)*Datos!$B$7,0)</f>
        <v>0</v>
      </c>
      <c r="F26" s="23" t="n">
        <f aca="false">E26*Datos!$B$9</f>
        <v>0</v>
      </c>
      <c r="G26" s="23" t="n">
        <f aca="false">E26*Datos!$B$10</f>
        <v>0</v>
      </c>
      <c r="H26" s="23" t="n">
        <f aca="false">E26-F26-G26</f>
        <v>0</v>
      </c>
      <c r="I26" s="23" t="n">
        <f aca="false">IF(A26=1,Datos!$B$7*Datos!$B$9,0)+IF(A26-Datos!$B$12&gt;=1,INDEX($H$8:$H$59,A26-Datos!$B$12),0)+IF(A26=Datos!$B$22+Datos!$B$12+Datos!$B$13,SUM($G$8:$G$59),0)</f>
        <v>0</v>
      </c>
      <c r="J26" s="23" t="n">
        <f aca="false">IF(A26-Datos!$B$15&gt;=1,INDEX($C$8:$C$59,A26-Datos!$B$15),0)*Datos!$B$14</f>
        <v>0</v>
      </c>
      <c r="K26" s="23" t="n">
        <f aca="false">C26*Datos!$B$16</f>
        <v>0</v>
      </c>
      <c r="L26" s="23" t="n">
        <f aca="false">IF(A26&gt;1,INDEX($C$8:$C$59,A26-1),0)*Datos!$B$17</f>
        <v>0</v>
      </c>
      <c r="M26" s="23" t="n">
        <f aca="false">J26+K26+L26</f>
        <v>0</v>
      </c>
      <c r="N26" s="23" t="n">
        <f aca="false">I26-M26</f>
        <v>0</v>
      </c>
      <c r="O26" s="23" t="n">
        <f aca="false">O25+N26</f>
        <v>200000</v>
      </c>
      <c r="P26" s="23" t="n">
        <f aca="false">MAX(0,-O26)*((1+Datos!$B$18)^(1/52)-1)</f>
        <v>0</v>
      </c>
      <c r="Q26" s="22"/>
      <c r="R26" s="22"/>
      <c r="S26" s="23" t="str">
        <f aca="false">IF(AND(Q26="",R26=""),"",SUM($Q$8:Q26)-SUM($R$8:R26))</f>
        <v/>
      </c>
      <c r="T26" s="23" t="str">
        <f aca="false">IF(S26="","",S26-O26)</f>
        <v/>
      </c>
    </row>
    <row r="27" customFormat="false" ht="15" hidden="false" customHeight="false" outlineLevel="0" collapsed="false">
      <c r="A27" s="18" t="n">
        <v>20</v>
      </c>
      <c r="B27" s="21" t="n">
        <f aca="false">Datos!$B$6+7*(A27-1)</f>
        <v>46447</v>
      </c>
      <c r="C27" s="22"/>
      <c r="D27" s="17" t="n">
        <f aca="false">IF(Datos!$B$8=0,0,C27/Datos!$B$8)</f>
        <v>0</v>
      </c>
      <c r="E27" s="23" t="n">
        <f aca="false">IF(AND(A27&lt;=Datos!$B$22,OR(MOD(A27,Datos!$B$11)=0,A27=Datos!$B$22)),SUMIFS($D$8:$D$59,$A$8:$A$59,"&gt;"&amp;(A27-IF(MOD(A27,Datos!$B$11)=0,Datos!$B$11,MOD(A27,Datos!$B$11))),$A$8:$A$59,"&lt;="&amp;A27)*Datos!$B$7,0)</f>
        <v>0</v>
      </c>
      <c r="F27" s="23" t="n">
        <f aca="false">E27*Datos!$B$9</f>
        <v>0</v>
      </c>
      <c r="G27" s="23" t="n">
        <f aca="false">E27*Datos!$B$10</f>
        <v>0</v>
      </c>
      <c r="H27" s="23" t="n">
        <f aca="false">E27-F27-G27</f>
        <v>0</v>
      </c>
      <c r="I27" s="23" t="n">
        <f aca="false">IF(A27=1,Datos!$B$7*Datos!$B$9,0)+IF(A27-Datos!$B$12&gt;=1,INDEX($H$8:$H$59,A27-Datos!$B$12),0)+IF(A27=Datos!$B$22+Datos!$B$12+Datos!$B$13,SUM($G$8:$G$59),0)</f>
        <v>0</v>
      </c>
      <c r="J27" s="23" t="n">
        <f aca="false">IF(A27-Datos!$B$15&gt;=1,INDEX($C$8:$C$59,A27-Datos!$B$15),0)*Datos!$B$14</f>
        <v>0</v>
      </c>
      <c r="K27" s="23" t="n">
        <f aca="false">C27*Datos!$B$16</f>
        <v>0</v>
      </c>
      <c r="L27" s="23" t="n">
        <f aca="false">IF(A27&gt;1,INDEX($C$8:$C$59,A27-1),0)*Datos!$B$17</f>
        <v>0</v>
      </c>
      <c r="M27" s="23" t="n">
        <f aca="false">J27+K27+L27</f>
        <v>0</v>
      </c>
      <c r="N27" s="23" t="n">
        <f aca="false">I27-M27</f>
        <v>0</v>
      </c>
      <c r="O27" s="23" t="n">
        <f aca="false">O26+N27</f>
        <v>200000</v>
      </c>
      <c r="P27" s="23" t="n">
        <f aca="false">MAX(0,-O27)*((1+Datos!$B$18)^(1/52)-1)</f>
        <v>0</v>
      </c>
      <c r="Q27" s="22"/>
      <c r="R27" s="22"/>
      <c r="S27" s="23" t="str">
        <f aca="false">IF(AND(Q27="",R27=""),"",SUM($Q$8:Q27)-SUM($R$8:R27))</f>
        <v/>
      </c>
      <c r="T27" s="23" t="str">
        <f aca="false">IF(S27="","",S27-O27)</f>
        <v/>
      </c>
    </row>
    <row r="28" customFormat="false" ht="15" hidden="false" customHeight="false" outlineLevel="0" collapsed="false">
      <c r="A28" s="18" t="n">
        <v>21</v>
      </c>
      <c r="B28" s="21" t="n">
        <f aca="false">Datos!$B$6+7*(A28-1)</f>
        <v>46454</v>
      </c>
      <c r="C28" s="22"/>
      <c r="D28" s="17" t="n">
        <f aca="false">IF(Datos!$B$8=0,0,C28/Datos!$B$8)</f>
        <v>0</v>
      </c>
      <c r="E28" s="23" t="n">
        <f aca="false">IF(AND(A28&lt;=Datos!$B$22,OR(MOD(A28,Datos!$B$11)=0,A28=Datos!$B$22)),SUMIFS($D$8:$D$59,$A$8:$A$59,"&gt;"&amp;(A28-IF(MOD(A28,Datos!$B$11)=0,Datos!$B$11,MOD(A28,Datos!$B$11))),$A$8:$A$59,"&lt;="&amp;A28)*Datos!$B$7,0)</f>
        <v>0</v>
      </c>
      <c r="F28" s="23" t="n">
        <f aca="false">E28*Datos!$B$9</f>
        <v>0</v>
      </c>
      <c r="G28" s="23" t="n">
        <f aca="false">E28*Datos!$B$10</f>
        <v>0</v>
      </c>
      <c r="H28" s="23" t="n">
        <f aca="false">E28-F28-G28</f>
        <v>0</v>
      </c>
      <c r="I28" s="23" t="n">
        <f aca="false">IF(A28=1,Datos!$B$7*Datos!$B$9,0)+IF(A28-Datos!$B$12&gt;=1,INDEX($H$8:$H$59,A28-Datos!$B$12),0)+IF(A28=Datos!$B$22+Datos!$B$12+Datos!$B$13,SUM($G$8:$G$59),0)</f>
        <v>0</v>
      </c>
      <c r="J28" s="23" t="n">
        <f aca="false">IF(A28-Datos!$B$15&gt;=1,INDEX($C$8:$C$59,A28-Datos!$B$15),0)*Datos!$B$14</f>
        <v>0</v>
      </c>
      <c r="K28" s="23" t="n">
        <f aca="false">C28*Datos!$B$16</f>
        <v>0</v>
      </c>
      <c r="L28" s="23" t="n">
        <f aca="false">IF(A28&gt;1,INDEX($C$8:$C$59,A28-1),0)*Datos!$B$17</f>
        <v>0</v>
      </c>
      <c r="M28" s="23" t="n">
        <f aca="false">J28+K28+L28</f>
        <v>0</v>
      </c>
      <c r="N28" s="23" t="n">
        <f aca="false">I28-M28</f>
        <v>0</v>
      </c>
      <c r="O28" s="23" t="n">
        <f aca="false">O27+N28</f>
        <v>200000</v>
      </c>
      <c r="P28" s="23" t="n">
        <f aca="false">MAX(0,-O28)*((1+Datos!$B$18)^(1/52)-1)</f>
        <v>0</v>
      </c>
      <c r="Q28" s="22"/>
      <c r="R28" s="22"/>
      <c r="S28" s="23" t="str">
        <f aca="false">IF(AND(Q28="",R28=""),"",SUM($Q$8:Q28)-SUM($R$8:R28))</f>
        <v/>
      </c>
      <c r="T28" s="23" t="str">
        <f aca="false">IF(S28="","",S28-O28)</f>
        <v/>
      </c>
    </row>
    <row r="29" customFormat="false" ht="15" hidden="false" customHeight="false" outlineLevel="0" collapsed="false">
      <c r="A29" s="18" t="n">
        <v>22</v>
      </c>
      <c r="B29" s="21" t="n">
        <f aca="false">Datos!$B$6+7*(A29-1)</f>
        <v>46461</v>
      </c>
      <c r="C29" s="22"/>
      <c r="D29" s="17" t="n">
        <f aca="false">IF(Datos!$B$8=0,0,C29/Datos!$B$8)</f>
        <v>0</v>
      </c>
      <c r="E29" s="23" t="n">
        <f aca="false">IF(AND(A29&lt;=Datos!$B$22,OR(MOD(A29,Datos!$B$11)=0,A29=Datos!$B$22)),SUMIFS($D$8:$D$59,$A$8:$A$59,"&gt;"&amp;(A29-IF(MOD(A29,Datos!$B$11)=0,Datos!$B$11,MOD(A29,Datos!$B$11))),$A$8:$A$59,"&lt;="&amp;A29)*Datos!$B$7,0)</f>
        <v>0</v>
      </c>
      <c r="F29" s="23" t="n">
        <f aca="false">E29*Datos!$B$9</f>
        <v>0</v>
      </c>
      <c r="G29" s="23" t="n">
        <f aca="false">E29*Datos!$B$10</f>
        <v>0</v>
      </c>
      <c r="H29" s="23" t="n">
        <f aca="false">E29-F29-G29</f>
        <v>0</v>
      </c>
      <c r="I29" s="23" t="n">
        <f aca="false">IF(A29=1,Datos!$B$7*Datos!$B$9,0)+IF(A29-Datos!$B$12&gt;=1,INDEX($H$8:$H$59,A29-Datos!$B$12),0)+IF(A29=Datos!$B$22+Datos!$B$12+Datos!$B$13,SUM($G$8:$G$59),0)</f>
        <v>0</v>
      </c>
      <c r="J29" s="23" t="n">
        <f aca="false">IF(A29-Datos!$B$15&gt;=1,INDEX($C$8:$C$59,A29-Datos!$B$15),0)*Datos!$B$14</f>
        <v>0</v>
      </c>
      <c r="K29" s="23" t="n">
        <f aca="false">C29*Datos!$B$16</f>
        <v>0</v>
      </c>
      <c r="L29" s="23" t="n">
        <f aca="false">IF(A29&gt;1,INDEX($C$8:$C$59,A29-1),0)*Datos!$B$17</f>
        <v>0</v>
      </c>
      <c r="M29" s="23" t="n">
        <f aca="false">J29+K29+L29</f>
        <v>0</v>
      </c>
      <c r="N29" s="23" t="n">
        <f aca="false">I29-M29</f>
        <v>0</v>
      </c>
      <c r="O29" s="23" t="n">
        <f aca="false">O28+N29</f>
        <v>200000</v>
      </c>
      <c r="P29" s="23" t="n">
        <f aca="false">MAX(0,-O29)*((1+Datos!$B$18)^(1/52)-1)</f>
        <v>0</v>
      </c>
      <c r="Q29" s="22"/>
      <c r="R29" s="22"/>
      <c r="S29" s="23" t="str">
        <f aca="false">IF(AND(Q29="",R29=""),"",SUM($Q$8:Q29)-SUM($R$8:R29))</f>
        <v/>
      </c>
      <c r="T29" s="23" t="str">
        <f aca="false">IF(S29="","",S29-O29)</f>
        <v/>
      </c>
    </row>
    <row r="30" customFormat="false" ht="15" hidden="false" customHeight="false" outlineLevel="0" collapsed="false">
      <c r="A30" s="18" t="n">
        <v>23</v>
      </c>
      <c r="B30" s="21" t="n">
        <f aca="false">Datos!$B$6+7*(A30-1)</f>
        <v>46468</v>
      </c>
      <c r="C30" s="22"/>
      <c r="D30" s="17" t="n">
        <f aca="false">IF(Datos!$B$8=0,0,C30/Datos!$B$8)</f>
        <v>0</v>
      </c>
      <c r="E30" s="23" t="n">
        <f aca="false">IF(AND(A30&lt;=Datos!$B$22,OR(MOD(A30,Datos!$B$11)=0,A30=Datos!$B$22)),SUMIFS($D$8:$D$59,$A$8:$A$59,"&gt;"&amp;(A30-IF(MOD(A30,Datos!$B$11)=0,Datos!$B$11,MOD(A30,Datos!$B$11))),$A$8:$A$59,"&lt;="&amp;A30)*Datos!$B$7,0)</f>
        <v>0</v>
      </c>
      <c r="F30" s="23" t="n">
        <f aca="false">E30*Datos!$B$9</f>
        <v>0</v>
      </c>
      <c r="G30" s="23" t="n">
        <f aca="false">E30*Datos!$B$10</f>
        <v>0</v>
      </c>
      <c r="H30" s="23" t="n">
        <f aca="false">E30-F30-G30</f>
        <v>0</v>
      </c>
      <c r="I30" s="23" t="n">
        <f aca="false">IF(A30=1,Datos!$B$7*Datos!$B$9,0)+IF(A30-Datos!$B$12&gt;=1,INDEX($H$8:$H$59,A30-Datos!$B$12),0)+IF(A30=Datos!$B$22+Datos!$B$12+Datos!$B$13,SUM($G$8:$G$59),0)</f>
        <v>0</v>
      </c>
      <c r="J30" s="23" t="n">
        <f aca="false">IF(A30-Datos!$B$15&gt;=1,INDEX($C$8:$C$59,A30-Datos!$B$15),0)*Datos!$B$14</f>
        <v>0</v>
      </c>
      <c r="K30" s="23" t="n">
        <f aca="false">C30*Datos!$B$16</f>
        <v>0</v>
      </c>
      <c r="L30" s="23" t="n">
        <f aca="false">IF(A30&gt;1,INDEX($C$8:$C$59,A30-1),0)*Datos!$B$17</f>
        <v>0</v>
      </c>
      <c r="M30" s="23" t="n">
        <f aca="false">J30+K30+L30</f>
        <v>0</v>
      </c>
      <c r="N30" s="23" t="n">
        <f aca="false">I30-M30</f>
        <v>0</v>
      </c>
      <c r="O30" s="23" t="n">
        <f aca="false">O29+N30</f>
        <v>200000</v>
      </c>
      <c r="P30" s="23" t="n">
        <f aca="false">MAX(0,-O30)*((1+Datos!$B$18)^(1/52)-1)</f>
        <v>0</v>
      </c>
      <c r="Q30" s="22"/>
      <c r="R30" s="22"/>
      <c r="S30" s="23" t="str">
        <f aca="false">IF(AND(Q30="",R30=""),"",SUM($Q$8:Q30)-SUM($R$8:R30))</f>
        <v/>
      </c>
      <c r="T30" s="23" t="str">
        <f aca="false">IF(S30="","",S30-O30)</f>
        <v/>
      </c>
    </row>
    <row r="31" customFormat="false" ht="15" hidden="false" customHeight="false" outlineLevel="0" collapsed="false">
      <c r="A31" s="18" t="n">
        <v>24</v>
      </c>
      <c r="B31" s="21" t="n">
        <f aca="false">Datos!$B$6+7*(A31-1)</f>
        <v>46475</v>
      </c>
      <c r="C31" s="22"/>
      <c r="D31" s="17" t="n">
        <f aca="false">IF(Datos!$B$8=0,0,C31/Datos!$B$8)</f>
        <v>0</v>
      </c>
      <c r="E31" s="23" t="n">
        <f aca="false">IF(AND(A31&lt;=Datos!$B$22,OR(MOD(A31,Datos!$B$11)=0,A31=Datos!$B$22)),SUMIFS($D$8:$D$59,$A$8:$A$59,"&gt;"&amp;(A31-IF(MOD(A31,Datos!$B$11)=0,Datos!$B$11,MOD(A31,Datos!$B$11))),$A$8:$A$59,"&lt;="&amp;A31)*Datos!$B$7,0)</f>
        <v>0</v>
      </c>
      <c r="F31" s="23" t="n">
        <f aca="false">E31*Datos!$B$9</f>
        <v>0</v>
      </c>
      <c r="G31" s="23" t="n">
        <f aca="false">E31*Datos!$B$10</f>
        <v>0</v>
      </c>
      <c r="H31" s="23" t="n">
        <f aca="false">E31-F31-G31</f>
        <v>0</v>
      </c>
      <c r="I31" s="23" t="n">
        <f aca="false">IF(A31=1,Datos!$B$7*Datos!$B$9,0)+IF(A31-Datos!$B$12&gt;=1,INDEX($H$8:$H$59,A31-Datos!$B$12),0)+IF(A31=Datos!$B$22+Datos!$B$12+Datos!$B$13,SUM($G$8:$G$59),0)</f>
        <v>0</v>
      </c>
      <c r="J31" s="23" t="n">
        <f aca="false">IF(A31-Datos!$B$15&gt;=1,INDEX($C$8:$C$59,A31-Datos!$B$15),0)*Datos!$B$14</f>
        <v>0</v>
      </c>
      <c r="K31" s="23" t="n">
        <f aca="false">C31*Datos!$B$16</f>
        <v>0</v>
      </c>
      <c r="L31" s="23" t="n">
        <f aca="false">IF(A31&gt;1,INDEX($C$8:$C$59,A31-1),0)*Datos!$B$17</f>
        <v>0</v>
      </c>
      <c r="M31" s="23" t="n">
        <f aca="false">J31+K31+L31</f>
        <v>0</v>
      </c>
      <c r="N31" s="23" t="n">
        <f aca="false">I31-M31</f>
        <v>0</v>
      </c>
      <c r="O31" s="23" t="n">
        <f aca="false">O30+N31</f>
        <v>200000</v>
      </c>
      <c r="P31" s="23" t="n">
        <f aca="false">MAX(0,-O31)*((1+Datos!$B$18)^(1/52)-1)</f>
        <v>0</v>
      </c>
      <c r="Q31" s="22"/>
      <c r="R31" s="22"/>
      <c r="S31" s="23" t="str">
        <f aca="false">IF(AND(Q31="",R31=""),"",SUM($Q$8:Q31)-SUM($R$8:R31))</f>
        <v/>
      </c>
      <c r="T31" s="23" t="str">
        <f aca="false">IF(S31="","",S31-O31)</f>
        <v/>
      </c>
    </row>
    <row r="32" customFormat="false" ht="15" hidden="false" customHeight="false" outlineLevel="0" collapsed="false">
      <c r="A32" s="18" t="n">
        <v>25</v>
      </c>
      <c r="B32" s="21" t="n">
        <f aca="false">Datos!$B$6+7*(A32-1)</f>
        <v>46482</v>
      </c>
      <c r="C32" s="22"/>
      <c r="D32" s="17" t="n">
        <f aca="false">IF(Datos!$B$8=0,0,C32/Datos!$B$8)</f>
        <v>0</v>
      </c>
      <c r="E32" s="23" t="n">
        <f aca="false">IF(AND(A32&lt;=Datos!$B$22,OR(MOD(A32,Datos!$B$11)=0,A32=Datos!$B$22)),SUMIFS($D$8:$D$59,$A$8:$A$59,"&gt;"&amp;(A32-IF(MOD(A32,Datos!$B$11)=0,Datos!$B$11,MOD(A32,Datos!$B$11))),$A$8:$A$59,"&lt;="&amp;A32)*Datos!$B$7,0)</f>
        <v>0</v>
      </c>
      <c r="F32" s="23" t="n">
        <f aca="false">E32*Datos!$B$9</f>
        <v>0</v>
      </c>
      <c r="G32" s="23" t="n">
        <f aca="false">E32*Datos!$B$10</f>
        <v>0</v>
      </c>
      <c r="H32" s="23" t="n">
        <f aca="false">E32-F32-G32</f>
        <v>0</v>
      </c>
      <c r="I32" s="23" t="n">
        <f aca="false">IF(A32=1,Datos!$B$7*Datos!$B$9,0)+IF(A32-Datos!$B$12&gt;=1,INDEX($H$8:$H$59,A32-Datos!$B$12),0)+IF(A32=Datos!$B$22+Datos!$B$12+Datos!$B$13,SUM($G$8:$G$59),0)</f>
        <v>0</v>
      </c>
      <c r="J32" s="23" t="n">
        <f aca="false">IF(A32-Datos!$B$15&gt;=1,INDEX($C$8:$C$59,A32-Datos!$B$15),0)*Datos!$B$14</f>
        <v>0</v>
      </c>
      <c r="K32" s="23" t="n">
        <f aca="false">C32*Datos!$B$16</f>
        <v>0</v>
      </c>
      <c r="L32" s="23" t="n">
        <f aca="false">IF(A32&gt;1,INDEX($C$8:$C$59,A32-1),0)*Datos!$B$17</f>
        <v>0</v>
      </c>
      <c r="M32" s="23" t="n">
        <f aca="false">J32+K32+L32</f>
        <v>0</v>
      </c>
      <c r="N32" s="23" t="n">
        <f aca="false">I32-M32</f>
        <v>0</v>
      </c>
      <c r="O32" s="23" t="n">
        <f aca="false">O31+N32</f>
        <v>200000</v>
      </c>
      <c r="P32" s="23" t="n">
        <f aca="false">MAX(0,-O32)*((1+Datos!$B$18)^(1/52)-1)</f>
        <v>0</v>
      </c>
      <c r="Q32" s="22"/>
      <c r="R32" s="22"/>
      <c r="S32" s="23" t="str">
        <f aca="false">IF(AND(Q32="",R32=""),"",SUM($Q$8:Q32)-SUM($R$8:R32))</f>
        <v/>
      </c>
      <c r="T32" s="23" t="str">
        <f aca="false">IF(S32="","",S32-O32)</f>
        <v/>
      </c>
    </row>
    <row r="33" customFormat="false" ht="15" hidden="false" customHeight="false" outlineLevel="0" collapsed="false">
      <c r="A33" s="18" t="n">
        <v>26</v>
      </c>
      <c r="B33" s="21" t="n">
        <f aca="false">Datos!$B$6+7*(A33-1)</f>
        <v>46489</v>
      </c>
      <c r="C33" s="22"/>
      <c r="D33" s="17" t="n">
        <f aca="false">IF(Datos!$B$8=0,0,C33/Datos!$B$8)</f>
        <v>0</v>
      </c>
      <c r="E33" s="23" t="n">
        <f aca="false">IF(AND(A33&lt;=Datos!$B$22,OR(MOD(A33,Datos!$B$11)=0,A33=Datos!$B$22)),SUMIFS($D$8:$D$59,$A$8:$A$59,"&gt;"&amp;(A33-IF(MOD(A33,Datos!$B$11)=0,Datos!$B$11,MOD(A33,Datos!$B$11))),$A$8:$A$59,"&lt;="&amp;A33)*Datos!$B$7,0)</f>
        <v>0</v>
      </c>
      <c r="F33" s="23" t="n">
        <f aca="false">E33*Datos!$B$9</f>
        <v>0</v>
      </c>
      <c r="G33" s="23" t="n">
        <f aca="false">E33*Datos!$B$10</f>
        <v>0</v>
      </c>
      <c r="H33" s="23" t="n">
        <f aca="false">E33-F33-G33</f>
        <v>0</v>
      </c>
      <c r="I33" s="23" t="n">
        <f aca="false">IF(A33=1,Datos!$B$7*Datos!$B$9,0)+IF(A33-Datos!$B$12&gt;=1,INDEX($H$8:$H$59,A33-Datos!$B$12),0)+IF(A33=Datos!$B$22+Datos!$B$12+Datos!$B$13,SUM($G$8:$G$59),0)</f>
        <v>0</v>
      </c>
      <c r="J33" s="23" t="n">
        <f aca="false">IF(A33-Datos!$B$15&gt;=1,INDEX($C$8:$C$59,A33-Datos!$B$15),0)*Datos!$B$14</f>
        <v>0</v>
      </c>
      <c r="K33" s="23" t="n">
        <f aca="false">C33*Datos!$B$16</f>
        <v>0</v>
      </c>
      <c r="L33" s="23" t="n">
        <f aca="false">IF(A33&gt;1,INDEX($C$8:$C$59,A33-1),0)*Datos!$B$17</f>
        <v>0</v>
      </c>
      <c r="M33" s="23" t="n">
        <f aca="false">J33+K33+L33</f>
        <v>0</v>
      </c>
      <c r="N33" s="23" t="n">
        <f aca="false">I33-M33</f>
        <v>0</v>
      </c>
      <c r="O33" s="23" t="n">
        <f aca="false">O32+N33</f>
        <v>200000</v>
      </c>
      <c r="P33" s="23" t="n">
        <f aca="false">MAX(0,-O33)*((1+Datos!$B$18)^(1/52)-1)</f>
        <v>0</v>
      </c>
      <c r="Q33" s="22"/>
      <c r="R33" s="22"/>
      <c r="S33" s="23" t="str">
        <f aca="false">IF(AND(Q33="",R33=""),"",SUM($Q$8:Q33)-SUM($R$8:R33))</f>
        <v/>
      </c>
      <c r="T33" s="23" t="str">
        <f aca="false">IF(S33="","",S33-O33)</f>
        <v/>
      </c>
    </row>
    <row r="34" customFormat="false" ht="15" hidden="false" customHeight="false" outlineLevel="0" collapsed="false">
      <c r="A34" s="18" t="n">
        <v>27</v>
      </c>
      <c r="B34" s="21" t="n">
        <f aca="false">Datos!$B$6+7*(A34-1)</f>
        <v>46496</v>
      </c>
      <c r="C34" s="22"/>
      <c r="D34" s="17" t="n">
        <f aca="false">IF(Datos!$B$8=0,0,C34/Datos!$B$8)</f>
        <v>0</v>
      </c>
      <c r="E34" s="23" t="n">
        <f aca="false">IF(AND(A34&lt;=Datos!$B$22,OR(MOD(A34,Datos!$B$11)=0,A34=Datos!$B$22)),SUMIFS($D$8:$D$59,$A$8:$A$59,"&gt;"&amp;(A34-IF(MOD(A34,Datos!$B$11)=0,Datos!$B$11,MOD(A34,Datos!$B$11))),$A$8:$A$59,"&lt;="&amp;A34)*Datos!$B$7,0)</f>
        <v>0</v>
      </c>
      <c r="F34" s="23" t="n">
        <f aca="false">E34*Datos!$B$9</f>
        <v>0</v>
      </c>
      <c r="G34" s="23" t="n">
        <f aca="false">E34*Datos!$B$10</f>
        <v>0</v>
      </c>
      <c r="H34" s="23" t="n">
        <f aca="false">E34-F34-G34</f>
        <v>0</v>
      </c>
      <c r="I34" s="23" t="n">
        <f aca="false">IF(A34=1,Datos!$B$7*Datos!$B$9,0)+IF(A34-Datos!$B$12&gt;=1,INDEX($H$8:$H$59,A34-Datos!$B$12),0)+IF(A34=Datos!$B$22+Datos!$B$12+Datos!$B$13,SUM($G$8:$G$59),0)</f>
        <v>0</v>
      </c>
      <c r="J34" s="23" t="n">
        <f aca="false">IF(A34-Datos!$B$15&gt;=1,INDEX($C$8:$C$59,A34-Datos!$B$15),0)*Datos!$B$14</f>
        <v>0</v>
      </c>
      <c r="K34" s="23" t="n">
        <f aca="false">C34*Datos!$B$16</f>
        <v>0</v>
      </c>
      <c r="L34" s="23" t="n">
        <f aca="false">IF(A34&gt;1,INDEX($C$8:$C$59,A34-1),0)*Datos!$B$17</f>
        <v>0</v>
      </c>
      <c r="M34" s="23" t="n">
        <f aca="false">J34+K34+L34</f>
        <v>0</v>
      </c>
      <c r="N34" s="23" t="n">
        <f aca="false">I34-M34</f>
        <v>0</v>
      </c>
      <c r="O34" s="23" t="n">
        <f aca="false">O33+N34</f>
        <v>200000</v>
      </c>
      <c r="P34" s="23" t="n">
        <f aca="false">MAX(0,-O34)*((1+Datos!$B$18)^(1/52)-1)</f>
        <v>0</v>
      </c>
      <c r="Q34" s="22"/>
      <c r="R34" s="22"/>
      <c r="S34" s="23" t="str">
        <f aca="false">IF(AND(Q34="",R34=""),"",SUM($Q$8:Q34)-SUM($R$8:R34))</f>
        <v/>
      </c>
      <c r="T34" s="23" t="str">
        <f aca="false">IF(S34="","",S34-O34)</f>
        <v/>
      </c>
    </row>
    <row r="35" customFormat="false" ht="15" hidden="false" customHeight="false" outlineLevel="0" collapsed="false">
      <c r="A35" s="18" t="n">
        <v>28</v>
      </c>
      <c r="B35" s="21" t="n">
        <f aca="false">Datos!$B$6+7*(A35-1)</f>
        <v>46503</v>
      </c>
      <c r="C35" s="22"/>
      <c r="D35" s="17" t="n">
        <f aca="false">IF(Datos!$B$8=0,0,C35/Datos!$B$8)</f>
        <v>0</v>
      </c>
      <c r="E35" s="23" t="n">
        <f aca="false">IF(AND(A35&lt;=Datos!$B$22,OR(MOD(A35,Datos!$B$11)=0,A35=Datos!$B$22)),SUMIFS($D$8:$D$59,$A$8:$A$59,"&gt;"&amp;(A35-IF(MOD(A35,Datos!$B$11)=0,Datos!$B$11,MOD(A35,Datos!$B$11))),$A$8:$A$59,"&lt;="&amp;A35)*Datos!$B$7,0)</f>
        <v>0</v>
      </c>
      <c r="F35" s="23" t="n">
        <f aca="false">E35*Datos!$B$9</f>
        <v>0</v>
      </c>
      <c r="G35" s="23" t="n">
        <f aca="false">E35*Datos!$B$10</f>
        <v>0</v>
      </c>
      <c r="H35" s="23" t="n">
        <f aca="false">E35-F35-G35</f>
        <v>0</v>
      </c>
      <c r="I35" s="23" t="n">
        <f aca="false">IF(A35=1,Datos!$B$7*Datos!$B$9,0)+IF(A35-Datos!$B$12&gt;=1,INDEX($H$8:$H$59,A35-Datos!$B$12),0)+IF(A35=Datos!$B$22+Datos!$B$12+Datos!$B$13,SUM($G$8:$G$59),0)</f>
        <v>0</v>
      </c>
      <c r="J35" s="23" t="n">
        <f aca="false">IF(A35-Datos!$B$15&gt;=1,INDEX($C$8:$C$59,A35-Datos!$B$15),0)*Datos!$B$14</f>
        <v>0</v>
      </c>
      <c r="K35" s="23" t="n">
        <f aca="false">C35*Datos!$B$16</f>
        <v>0</v>
      </c>
      <c r="L35" s="23" t="n">
        <f aca="false">IF(A35&gt;1,INDEX($C$8:$C$59,A35-1),0)*Datos!$B$17</f>
        <v>0</v>
      </c>
      <c r="M35" s="23" t="n">
        <f aca="false">J35+K35+L35</f>
        <v>0</v>
      </c>
      <c r="N35" s="23" t="n">
        <f aca="false">I35-M35</f>
        <v>0</v>
      </c>
      <c r="O35" s="23" t="n">
        <f aca="false">O34+N35</f>
        <v>200000</v>
      </c>
      <c r="P35" s="23" t="n">
        <f aca="false">MAX(0,-O35)*((1+Datos!$B$18)^(1/52)-1)</f>
        <v>0</v>
      </c>
      <c r="Q35" s="22"/>
      <c r="R35" s="22"/>
      <c r="S35" s="23" t="str">
        <f aca="false">IF(AND(Q35="",R35=""),"",SUM($Q$8:Q35)-SUM($R$8:R35))</f>
        <v/>
      </c>
      <c r="T35" s="23" t="str">
        <f aca="false">IF(S35="","",S35-O35)</f>
        <v/>
      </c>
    </row>
    <row r="36" customFormat="false" ht="15" hidden="false" customHeight="false" outlineLevel="0" collapsed="false">
      <c r="A36" s="18" t="n">
        <v>29</v>
      </c>
      <c r="B36" s="21" t="n">
        <f aca="false">Datos!$B$6+7*(A36-1)</f>
        <v>46510</v>
      </c>
      <c r="C36" s="22"/>
      <c r="D36" s="17" t="n">
        <f aca="false">IF(Datos!$B$8=0,0,C36/Datos!$B$8)</f>
        <v>0</v>
      </c>
      <c r="E36" s="23" t="n">
        <f aca="false">IF(AND(A36&lt;=Datos!$B$22,OR(MOD(A36,Datos!$B$11)=0,A36=Datos!$B$22)),SUMIFS($D$8:$D$59,$A$8:$A$59,"&gt;"&amp;(A36-IF(MOD(A36,Datos!$B$11)=0,Datos!$B$11,MOD(A36,Datos!$B$11))),$A$8:$A$59,"&lt;="&amp;A36)*Datos!$B$7,0)</f>
        <v>0</v>
      </c>
      <c r="F36" s="23" t="n">
        <f aca="false">E36*Datos!$B$9</f>
        <v>0</v>
      </c>
      <c r="G36" s="23" t="n">
        <f aca="false">E36*Datos!$B$10</f>
        <v>0</v>
      </c>
      <c r="H36" s="23" t="n">
        <f aca="false">E36-F36-G36</f>
        <v>0</v>
      </c>
      <c r="I36" s="23" t="n">
        <f aca="false">IF(A36=1,Datos!$B$7*Datos!$B$9,0)+IF(A36-Datos!$B$12&gt;=1,INDEX($H$8:$H$59,A36-Datos!$B$12),0)+IF(A36=Datos!$B$22+Datos!$B$12+Datos!$B$13,SUM($G$8:$G$59),0)</f>
        <v>0</v>
      </c>
      <c r="J36" s="23" t="n">
        <f aca="false">IF(A36-Datos!$B$15&gt;=1,INDEX($C$8:$C$59,A36-Datos!$B$15),0)*Datos!$B$14</f>
        <v>0</v>
      </c>
      <c r="K36" s="23" t="n">
        <f aca="false">C36*Datos!$B$16</f>
        <v>0</v>
      </c>
      <c r="L36" s="23" t="n">
        <f aca="false">IF(A36&gt;1,INDEX($C$8:$C$59,A36-1),0)*Datos!$B$17</f>
        <v>0</v>
      </c>
      <c r="M36" s="23" t="n">
        <f aca="false">J36+K36+L36</f>
        <v>0</v>
      </c>
      <c r="N36" s="23" t="n">
        <f aca="false">I36-M36</f>
        <v>0</v>
      </c>
      <c r="O36" s="23" t="n">
        <f aca="false">O35+N36</f>
        <v>200000</v>
      </c>
      <c r="P36" s="23" t="n">
        <f aca="false">MAX(0,-O36)*((1+Datos!$B$18)^(1/52)-1)</f>
        <v>0</v>
      </c>
      <c r="Q36" s="22"/>
      <c r="R36" s="22"/>
      <c r="S36" s="23" t="str">
        <f aca="false">IF(AND(Q36="",R36=""),"",SUM($Q$8:Q36)-SUM($R$8:R36))</f>
        <v/>
      </c>
      <c r="T36" s="23" t="str">
        <f aca="false">IF(S36="","",S36-O36)</f>
        <v/>
      </c>
    </row>
    <row r="37" customFormat="false" ht="15" hidden="false" customHeight="false" outlineLevel="0" collapsed="false">
      <c r="A37" s="18" t="n">
        <v>30</v>
      </c>
      <c r="B37" s="21" t="n">
        <f aca="false">Datos!$B$6+7*(A37-1)</f>
        <v>46517</v>
      </c>
      <c r="C37" s="22"/>
      <c r="D37" s="17" t="n">
        <f aca="false">IF(Datos!$B$8=0,0,C37/Datos!$B$8)</f>
        <v>0</v>
      </c>
      <c r="E37" s="23" t="n">
        <f aca="false">IF(AND(A37&lt;=Datos!$B$22,OR(MOD(A37,Datos!$B$11)=0,A37=Datos!$B$22)),SUMIFS($D$8:$D$59,$A$8:$A$59,"&gt;"&amp;(A37-IF(MOD(A37,Datos!$B$11)=0,Datos!$B$11,MOD(A37,Datos!$B$11))),$A$8:$A$59,"&lt;="&amp;A37)*Datos!$B$7,0)</f>
        <v>0</v>
      </c>
      <c r="F37" s="23" t="n">
        <f aca="false">E37*Datos!$B$9</f>
        <v>0</v>
      </c>
      <c r="G37" s="23" t="n">
        <f aca="false">E37*Datos!$B$10</f>
        <v>0</v>
      </c>
      <c r="H37" s="23" t="n">
        <f aca="false">E37-F37-G37</f>
        <v>0</v>
      </c>
      <c r="I37" s="23" t="n">
        <f aca="false">IF(A37=1,Datos!$B$7*Datos!$B$9,0)+IF(A37-Datos!$B$12&gt;=1,INDEX($H$8:$H$59,A37-Datos!$B$12),0)+IF(A37=Datos!$B$22+Datos!$B$12+Datos!$B$13,SUM($G$8:$G$59),0)</f>
        <v>0</v>
      </c>
      <c r="J37" s="23" t="n">
        <f aca="false">IF(A37-Datos!$B$15&gt;=1,INDEX($C$8:$C$59,A37-Datos!$B$15),0)*Datos!$B$14</f>
        <v>0</v>
      </c>
      <c r="K37" s="23" t="n">
        <f aca="false">C37*Datos!$B$16</f>
        <v>0</v>
      </c>
      <c r="L37" s="23" t="n">
        <f aca="false">IF(A37&gt;1,INDEX($C$8:$C$59,A37-1),0)*Datos!$B$17</f>
        <v>0</v>
      </c>
      <c r="M37" s="23" t="n">
        <f aca="false">J37+K37+L37</f>
        <v>0</v>
      </c>
      <c r="N37" s="23" t="n">
        <f aca="false">I37-M37</f>
        <v>0</v>
      </c>
      <c r="O37" s="23" t="n">
        <f aca="false">O36+N37</f>
        <v>200000</v>
      </c>
      <c r="P37" s="23" t="n">
        <f aca="false">MAX(0,-O37)*((1+Datos!$B$18)^(1/52)-1)</f>
        <v>0</v>
      </c>
      <c r="Q37" s="22"/>
      <c r="R37" s="22"/>
      <c r="S37" s="23" t="str">
        <f aca="false">IF(AND(Q37="",R37=""),"",SUM($Q$8:Q37)-SUM($R$8:R37))</f>
        <v/>
      </c>
      <c r="T37" s="23" t="str">
        <f aca="false">IF(S37="","",S37-O37)</f>
        <v/>
      </c>
    </row>
    <row r="38" customFormat="false" ht="15" hidden="false" customHeight="false" outlineLevel="0" collapsed="false">
      <c r="A38" s="18" t="n">
        <v>31</v>
      </c>
      <c r="B38" s="21" t="n">
        <f aca="false">Datos!$B$6+7*(A38-1)</f>
        <v>46524</v>
      </c>
      <c r="C38" s="22"/>
      <c r="D38" s="17" t="n">
        <f aca="false">IF(Datos!$B$8=0,0,C38/Datos!$B$8)</f>
        <v>0</v>
      </c>
      <c r="E38" s="23" t="n">
        <f aca="false">IF(AND(A38&lt;=Datos!$B$22,OR(MOD(A38,Datos!$B$11)=0,A38=Datos!$B$22)),SUMIFS($D$8:$D$59,$A$8:$A$59,"&gt;"&amp;(A38-IF(MOD(A38,Datos!$B$11)=0,Datos!$B$11,MOD(A38,Datos!$B$11))),$A$8:$A$59,"&lt;="&amp;A38)*Datos!$B$7,0)</f>
        <v>0</v>
      </c>
      <c r="F38" s="23" t="n">
        <f aca="false">E38*Datos!$B$9</f>
        <v>0</v>
      </c>
      <c r="G38" s="23" t="n">
        <f aca="false">E38*Datos!$B$10</f>
        <v>0</v>
      </c>
      <c r="H38" s="23" t="n">
        <f aca="false">E38-F38-G38</f>
        <v>0</v>
      </c>
      <c r="I38" s="23" t="n">
        <f aca="false">IF(A38=1,Datos!$B$7*Datos!$B$9,0)+IF(A38-Datos!$B$12&gt;=1,INDEX($H$8:$H$59,A38-Datos!$B$12),0)+IF(A38=Datos!$B$22+Datos!$B$12+Datos!$B$13,SUM($G$8:$G$59),0)</f>
        <v>0</v>
      </c>
      <c r="J38" s="23" t="n">
        <f aca="false">IF(A38-Datos!$B$15&gt;=1,INDEX($C$8:$C$59,A38-Datos!$B$15),0)*Datos!$B$14</f>
        <v>0</v>
      </c>
      <c r="K38" s="23" t="n">
        <f aca="false">C38*Datos!$B$16</f>
        <v>0</v>
      </c>
      <c r="L38" s="23" t="n">
        <f aca="false">IF(A38&gt;1,INDEX($C$8:$C$59,A38-1),0)*Datos!$B$17</f>
        <v>0</v>
      </c>
      <c r="M38" s="23" t="n">
        <f aca="false">J38+K38+L38</f>
        <v>0</v>
      </c>
      <c r="N38" s="23" t="n">
        <f aca="false">I38-M38</f>
        <v>0</v>
      </c>
      <c r="O38" s="23" t="n">
        <f aca="false">O37+N38</f>
        <v>200000</v>
      </c>
      <c r="P38" s="23" t="n">
        <f aca="false">MAX(0,-O38)*((1+Datos!$B$18)^(1/52)-1)</f>
        <v>0</v>
      </c>
      <c r="Q38" s="22"/>
      <c r="R38" s="22"/>
      <c r="S38" s="23" t="str">
        <f aca="false">IF(AND(Q38="",R38=""),"",SUM($Q$8:Q38)-SUM($R$8:R38))</f>
        <v/>
      </c>
      <c r="T38" s="23" t="str">
        <f aca="false">IF(S38="","",S38-O38)</f>
        <v/>
      </c>
    </row>
    <row r="39" customFormat="false" ht="15" hidden="false" customHeight="false" outlineLevel="0" collapsed="false">
      <c r="A39" s="18" t="n">
        <v>32</v>
      </c>
      <c r="B39" s="21" t="n">
        <f aca="false">Datos!$B$6+7*(A39-1)</f>
        <v>46531</v>
      </c>
      <c r="C39" s="22"/>
      <c r="D39" s="17" t="n">
        <f aca="false">IF(Datos!$B$8=0,0,C39/Datos!$B$8)</f>
        <v>0</v>
      </c>
      <c r="E39" s="23" t="n">
        <f aca="false">IF(AND(A39&lt;=Datos!$B$22,OR(MOD(A39,Datos!$B$11)=0,A39=Datos!$B$22)),SUMIFS($D$8:$D$59,$A$8:$A$59,"&gt;"&amp;(A39-IF(MOD(A39,Datos!$B$11)=0,Datos!$B$11,MOD(A39,Datos!$B$11))),$A$8:$A$59,"&lt;="&amp;A39)*Datos!$B$7,0)</f>
        <v>0</v>
      </c>
      <c r="F39" s="23" t="n">
        <f aca="false">E39*Datos!$B$9</f>
        <v>0</v>
      </c>
      <c r="G39" s="23" t="n">
        <f aca="false">E39*Datos!$B$10</f>
        <v>0</v>
      </c>
      <c r="H39" s="23" t="n">
        <f aca="false">E39-F39-G39</f>
        <v>0</v>
      </c>
      <c r="I39" s="23" t="n">
        <f aca="false">IF(A39=1,Datos!$B$7*Datos!$B$9,0)+IF(A39-Datos!$B$12&gt;=1,INDEX($H$8:$H$59,A39-Datos!$B$12),0)+IF(A39=Datos!$B$22+Datos!$B$12+Datos!$B$13,SUM($G$8:$G$59),0)</f>
        <v>0</v>
      </c>
      <c r="J39" s="23" t="n">
        <f aca="false">IF(A39-Datos!$B$15&gt;=1,INDEX($C$8:$C$59,A39-Datos!$B$15),0)*Datos!$B$14</f>
        <v>0</v>
      </c>
      <c r="K39" s="23" t="n">
        <f aca="false">C39*Datos!$B$16</f>
        <v>0</v>
      </c>
      <c r="L39" s="23" t="n">
        <f aca="false">IF(A39&gt;1,INDEX($C$8:$C$59,A39-1),0)*Datos!$B$17</f>
        <v>0</v>
      </c>
      <c r="M39" s="23" t="n">
        <f aca="false">J39+K39+L39</f>
        <v>0</v>
      </c>
      <c r="N39" s="23" t="n">
        <f aca="false">I39-M39</f>
        <v>0</v>
      </c>
      <c r="O39" s="23" t="n">
        <f aca="false">O38+N39</f>
        <v>200000</v>
      </c>
      <c r="P39" s="23" t="n">
        <f aca="false">MAX(0,-O39)*((1+Datos!$B$18)^(1/52)-1)</f>
        <v>0</v>
      </c>
      <c r="Q39" s="22"/>
      <c r="R39" s="22"/>
      <c r="S39" s="23" t="str">
        <f aca="false">IF(AND(Q39="",R39=""),"",SUM($Q$8:Q39)-SUM($R$8:R39))</f>
        <v/>
      </c>
      <c r="T39" s="23" t="str">
        <f aca="false">IF(S39="","",S39-O39)</f>
        <v/>
      </c>
    </row>
    <row r="40" customFormat="false" ht="15" hidden="false" customHeight="false" outlineLevel="0" collapsed="false">
      <c r="A40" s="18" t="n">
        <v>33</v>
      </c>
      <c r="B40" s="21" t="n">
        <f aca="false">Datos!$B$6+7*(A40-1)</f>
        <v>46538</v>
      </c>
      <c r="C40" s="22"/>
      <c r="D40" s="17" t="n">
        <f aca="false">IF(Datos!$B$8=0,0,C40/Datos!$B$8)</f>
        <v>0</v>
      </c>
      <c r="E40" s="23" t="n">
        <f aca="false">IF(AND(A40&lt;=Datos!$B$22,OR(MOD(A40,Datos!$B$11)=0,A40=Datos!$B$22)),SUMIFS($D$8:$D$59,$A$8:$A$59,"&gt;"&amp;(A40-IF(MOD(A40,Datos!$B$11)=0,Datos!$B$11,MOD(A40,Datos!$B$11))),$A$8:$A$59,"&lt;="&amp;A40)*Datos!$B$7,0)</f>
        <v>0</v>
      </c>
      <c r="F40" s="23" t="n">
        <f aca="false">E40*Datos!$B$9</f>
        <v>0</v>
      </c>
      <c r="G40" s="23" t="n">
        <f aca="false">E40*Datos!$B$10</f>
        <v>0</v>
      </c>
      <c r="H40" s="23" t="n">
        <f aca="false">E40-F40-G40</f>
        <v>0</v>
      </c>
      <c r="I40" s="23" t="n">
        <f aca="false">IF(A40=1,Datos!$B$7*Datos!$B$9,0)+IF(A40-Datos!$B$12&gt;=1,INDEX($H$8:$H$59,A40-Datos!$B$12),0)+IF(A40=Datos!$B$22+Datos!$B$12+Datos!$B$13,SUM($G$8:$G$59),0)</f>
        <v>0</v>
      </c>
      <c r="J40" s="23" t="n">
        <f aca="false">IF(A40-Datos!$B$15&gt;=1,INDEX($C$8:$C$59,A40-Datos!$B$15),0)*Datos!$B$14</f>
        <v>0</v>
      </c>
      <c r="K40" s="23" t="n">
        <f aca="false">C40*Datos!$B$16</f>
        <v>0</v>
      </c>
      <c r="L40" s="23" t="n">
        <f aca="false">IF(A40&gt;1,INDEX($C$8:$C$59,A40-1),0)*Datos!$B$17</f>
        <v>0</v>
      </c>
      <c r="M40" s="23" t="n">
        <f aca="false">J40+K40+L40</f>
        <v>0</v>
      </c>
      <c r="N40" s="23" t="n">
        <f aca="false">I40-M40</f>
        <v>0</v>
      </c>
      <c r="O40" s="23" t="n">
        <f aca="false">O39+N40</f>
        <v>200000</v>
      </c>
      <c r="P40" s="23" t="n">
        <f aca="false">MAX(0,-O40)*((1+Datos!$B$18)^(1/52)-1)</f>
        <v>0</v>
      </c>
      <c r="Q40" s="22"/>
      <c r="R40" s="22"/>
      <c r="S40" s="23" t="str">
        <f aca="false">IF(AND(Q40="",R40=""),"",SUM($Q$8:Q40)-SUM($R$8:R40))</f>
        <v/>
      </c>
      <c r="T40" s="23" t="str">
        <f aca="false">IF(S40="","",S40-O40)</f>
        <v/>
      </c>
    </row>
    <row r="41" customFormat="false" ht="15" hidden="false" customHeight="false" outlineLevel="0" collapsed="false">
      <c r="A41" s="18" t="n">
        <v>34</v>
      </c>
      <c r="B41" s="21" t="n">
        <f aca="false">Datos!$B$6+7*(A41-1)</f>
        <v>46545</v>
      </c>
      <c r="C41" s="22"/>
      <c r="D41" s="17" t="n">
        <f aca="false">IF(Datos!$B$8=0,0,C41/Datos!$B$8)</f>
        <v>0</v>
      </c>
      <c r="E41" s="23" t="n">
        <f aca="false">IF(AND(A41&lt;=Datos!$B$22,OR(MOD(A41,Datos!$B$11)=0,A41=Datos!$B$22)),SUMIFS($D$8:$D$59,$A$8:$A$59,"&gt;"&amp;(A41-IF(MOD(A41,Datos!$B$11)=0,Datos!$B$11,MOD(A41,Datos!$B$11))),$A$8:$A$59,"&lt;="&amp;A41)*Datos!$B$7,0)</f>
        <v>0</v>
      </c>
      <c r="F41" s="23" t="n">
        <f aca="false">E41*Datos!$B$9</f>
        <v>0</v>
      </c>
      <c r="G41" s="23" t="n">
        <f aca="false">E41*Datos!$B$10</f>
        <v>0</v>
      </c>
      <c r="H41" s="23" t="n">
        <f aca="false">E41-F41-G41</f>
        <v>0</v>
      </c>
      <c r="I41" s="23" t="n">
        <f aca="false">IF(A41=1,Datos!$B$7*Datos!$B$9,0)+IF(A41-Datos!$B$12&gt;=1,INDEX($H$8:$H$59,A41-Datos!$B$12),0)+IF(A41=Datos!$B$22+Datos!$B$12+Datos!$B$13,SUM($G$8:$G$59),0)</f>
        <v>0</v>
      </c>
      <c r="J41" s="23" t="n">
        <f aca="false">IF(A41-Datos!$B$15&gt;=1,INDEX($C$8:$C$59,A41-Datos!$B$15),0)*Datos!$B$14</f>
        <v>0</v>
      </c>
      <c r="K41" s="23" t="n">
        <f aca="false">C41*Datos!$B$16</f>
        <v>0</v>
      </c>
      <c r="L41" s="23" t="n">
        <f aca="false">IF(A41&gt;1,INDEX($C$8:$C$59,A41-1),0)*Datos!$B$17</f>
        <v>0</v>
      </c>
      <c r="M41" s="23" t="n">
        <f aca="false">J41+K41+L41</f>
        <v>0</v>
      </c>
      <c r="N41" s="23" t="n">
        <f aca="false">I41-M41</f>
        <v>0</v>
      </c>
      <c r="O41" s="23" t="n">
        <f aca="false">O40+N41</f>
        <v>200000</v>
      </c>
      <c r="P41" s="23" t="n">
        <f aca="false">MAX(0,-O41)*((1+Datos!$B$18)^(1/52)-1)</f>
        <v>0</v>
      </c>
      <c r="Q41" s="22"/>
      <c r="R41" s="22"/>
      <c r="S41" s="23" t="str">
        <f aca="false">IF(AND(Q41="",R41=""),"",SUM($Q$8:Q41)-SUM($R$8:R41))</f>
        <v/>
      </c>
      <c r="T41" s="23" t="str">
        <f aca="false">IF(S41="","",S41-O41)</f>
        <v/>
      </c>
    </row>
    <row r="42" customFormat="false" ht="15" hidden="false" customHeight="false" outlineLevel="0" collapsed="false">
      <c r="A42" s="18" t="n">
        <v>35</v>
      </c>
      <c r="B42" s="21" t="n">
        <f aca="false">Datos!$B$6+7*(A42-1)</f>
        <v>46552</v>
      </c>
      <c r="C42" s="22"/>
      <c r="D42" s="17" t="n">
        <f aca="false">IF(Datos!$B$8=0,0,C42/Datos!$B$8)</f>
        <v>0</v>
      </c>
      <c r="E42" s="23" t="n">
        <f aca="false">IF(AND(A42&lt;=Datos!$B$22,OR(MOD(A42,Datos!$B$11)=0,A42=Datos!$B$22)),SUMIFS($D$8:$D$59,$A$8:$A$59,"&gt;"&amp;(A42-IF(MOD(A42,Datos!$B$11)=0,Datos!$B$11,MOD(A42,Datos!$B$11))),$A$8:$A$59,"&lt;="&amp;A42)*Datos!$B$7,0)</f>
        <v>0</v>
      </c>
      <c r="F42" s="23" t="n">
        <f aca="false">E42*Datos!$B$9</f>
        <v>0</v>
      </c>
      <c r="G42" s="23" t="n">
        <f aca="false">E42*Datos!$B$10</f>
        <v>0</v>
      </c>
      <c r="H42" s="23" t="n">
        <f aca="false">E42-F42-G42</f>
        <v>0</v>
      </c>
      <c r="I42" s="23" t="n">
        <f aca="false">IF(A42=1,Datos!$B$7*Datos!$B$9,0)+IF(A42-Datos!$B$12&gt;=1,INDEX($H$8:$H$59,A42-Datos!$B$12),0)+IF(A42=Datos!$B$22+Datos!$B$12+Datos!$B$13,SUM($G$8:$G$59),0)</f>
        <v>0</v>
      </c>
      <c r="J42" s="23" t="n">
        <f aca="false">IF(A42-Datos!$B$15&gt;=1,INDEX($C$8:$C$59,A42-Datos!$B$15),0)*Datos!$B$14</f>
        <v>0</v>
      </c>
      <c r="K42" s="23" t="n">
        <f aca="false">C42*Datos!$B$16</f>
        <v>0</v>
      </c>
      <c r="L42" s="23" t="n">
        <f aca="false">IF(A42&gt;1,INDEX($C$8:$C$59,A42-1),0)*Datos!$B$17</f>
        <v>0</v>
      </c>
      <c r="M42" s="23" t="n">
        <f aca="false">J42+K42+L42</f>
        <v>0</v>
      </c>
      <c r="N42" s="23" t="n">
        <f aca="false">I42-M42</f>
        <v>0</v>
      </c>
      <c r="O42" s="23" t="n">
        <f aca="false">O41+N42</f>
        <v>200000</v>
      </c>
      <c r="P42" s="23" t="n">
        <f aca="false">MAX(0,-O42)*((1+Datos!$B$18)^(1/52)-1)</f>
        <v>0</v>
      </c>
      <c r="Q42" s="22"/>
      <c r="R42" s="22"/>
      <c r="S42" s="23" t="str">
        <f aca="false">IF(AND(Q42="",R42=""),"",SUM($Q$8:Q42)-SUM($R$8:R42))</f>
        <v/>
      </c>
      <c r="T42" s="23" t="str">
        <f aca="false">IF(S42="","",S42-O42)</f>
        <v/>
      </c>
    </row>
    <row r="43" customFormat="false" ht="15" hidden="false" customHeight="false" outlineLevel="0" collapsed="false">
      <c r="A43" s="18" t="n">
        <v>36</v>
      </c>
      <c r="B43" s="21" t="n">
        <f aca="false">Datos!$B$6+7*(A43-1)</f>
        <v>46559</v>
      </c>
      <c r="C43" s="22"/>
      <c r="D43" s="17" t="n">
        <f aca="false">IF(Datos!$B$8=0,0,C43/Datos!$B$8)</f>
        <v>0</v>
      </c>
      <c r="E43" s="23" t="n">
        <f aca="false">IF(AND(A43&lt;=Datos!$B$22,OR(MOD(A43,Datos!$B$11)=0,A43=Datos!$B$22)),SUMIFS($D$8:$D$59,$A$8:$A$59,"&gt;"&amp;(A43-IF(MOD(A43,Datos!$B$11)=0,Datos!$B$11,MOD(A43,Datos!$B$11))),$A$8:$A$59,"&lt;="&amp;A43)*Datos!$B$7,0)</f>
        <v>0</v>
      </c>
      <c r="F43" s="23" t="n">
        <f aca="false">E43*Datos!$B$9</f>
        <v>0</v>
      </c>
      <c r="G43" s="23" t="n">
        <f aca="false">E43*Datos!$B$10</f>
        <v>0</v>
      </c>
      <c r="H43" s="23" t="n">
        <f aca="false">E43-F43-G43</f>
        <v>0</v>
      </c>
      <c r="I43" s="23" t="n">
        <f aca="false">IF(A43=1,Datos!$B$7*Datos!$B$9,0)+IF(A43-Datos!$B$12&gt;=1,INDEX($H$8:$H$59,A43-Datos!$B$12),0)+IF(A43=Datos!$B$22+Datos!$B$12+Datos!$B$13,SUM($G$8:$G$59),0)</f>
        <v>0</v>
      </c>
      <c r="J43" s="23" t="n">
        <f aca="false">IF(A43-Datos!$B$15&gt;=1,INDEX($C$8:$C$59,A43-Datos!$B$15),0)*Datos!$B$14</f>
        <v>0</v>
      </c>
      <c r="K43" s="23" t="n">
        <f aca="false">C43*Datos!$B$16</f>
        <v>0</v>
      </c>
      <c r="L43" s="23" t="n">
        <f aca="false">IF(A43&gt;1,INDEX($C$8:$C$59,A43-1),0)*Datos!$B$17</f>
        <v>0</v>
      </c>
      <c r="M43" s="23" t="n">
        <f aca="false">J43+K43+L43</f>
        <v>0</v>
      </c>
      <c r="N43" s="23" t="n">
        <f aca="false">I43-M43</f>
        <v>0</v>
      </c>
      <c r="O43" s="23" t="n">
        <f aca="false">O42+N43</f>
        <v>200000</v>
      </c>
      <c r="P43" s="23" t="n">
        <f aca="false">MAX(0,-O43)*((1+Datos!$B$18)^(1/52)-1)</f>
        <v>0</v>
      </c>
      <c r="Q43" s="22"/>
      <c r="R43" s="22"/>
      <c r="S43" s="23" t="str">
        <f aca="false">IF(AND(Q43="",R43=""),"",SUM($Q$8:Q43)-SUM($R$8:R43))</f>
        <v/>
      </c>
      <c r="T43" s="23" t="str">
        <f aca="false">IF(S43="","",S43-O43)</f>
        <v/>
      </c>
    </row>
    <row r="44" customFormat="false" ht="15" hidden="false" customHeight="false" outlineLevel="0" collapsed="false">
      <c r="A44" s="18" t="n">
        <v>37</v>
      </c>
      <c r="B44" s="21" t="n">
        <f aca="false">Datos!$B$6+7*(A44-1)</f>
        <v>46566</v>
      </c>
      <c r="C44" s="22"/>
      <c r="D44" s="17" t="n">
        <f aca="false">IF(Datos!$B$8=0,0,C44/Datos!$B$8)</f>
        <v>0</v>
      </c>
      <c r="E44" s="23" t="n">
        <f aca="false">IF(AND(A44&lt;=Datos!$B$22,OR(MOD(A44,Datos!$B$11)=0,A44=Datos!$B$22)),SUMIFS($D$8:$D$59,$A$8:$A$59,"&gt;"&amp;(A44-IF(MOD(A44,Datos!$B$11)=0,Datos!$B$11,MOD(A44,Datos!$B$11))),$A$8:$A$59,"&lt;="&amp;A44)*Datos!$B$7,0)</f>
        <v>0</v>
      </c>
      <c r="F44" s="23" t="n">
        <f aca="false">E44*Datos!$B$9</f>
        <v>0</v>
      </c>
      <c r="G44" s="23" t="n">
        <f aca="false">E44*Datos!$B$10</f>
        <v>0</v>
      </c>
      <c r="H44" s="23" t="n">
        <f aca="false">E44-F44-G44</f>
        <v>0</v>
      </c>
      <c r="I44" s="23" t="n">
        <f aca="false">IF(A44=1,Datos!$B$7*Datos!$B$9,0)+IF(A44-Datos!$B$12&gt;=1,INDEX($H$8:$H$59,A44-Datos!$B$12),0)+IF(A44=Datos!$B$22+Datos!$B$12+Datos!$B$13,SUM($G$8:$G$59),0)</f>
        <v>0</v>
      </c>
      <c r="J44" s="23" t="n">
        <f aca="false">IF(A44-Datos!$B$15&gt;=1,INDEX($C$8:$C$59,A44-Datos!$B$15),0)*Datos!$B$14</f>
        <v>0</v>
      </c>
      <c r="K44" s="23" t="n">
        <f aca="false">C44*Datos!$B$16</f>
        <v>0</v>
      </c>
      <c r="L44" s="23" t="n">
        <f aca="false">IF(A44&gt;1,INDEX($C$8:$C$59,A44-1),0)*Datos!$B$17</f>
        <v>0</v>
      </c>
      <c r="M44" s="23" t="n">
        <f aca="false">J44+K44+L44</f>
        <v>0</v>
      </c>
      <c r="N44" s="23" t="n">
        <f aca="false">I44-M44</f>
        <v>0</v>
      </c>
      <c r="O44" s="23" t="n">
        <f aca="false">O43+N44</f>
        <v>200000</v>
      </c>
      <c r="P44" s="23" t="n">
        <f aca="false">MAX(0,-O44)*((1+Datos!$B$18)^(1/52)-1)</f>
        <v>0</v>
      </c>
      <c r="Q44" s="22"/>
      <c r="R44" s="22"/>
      <c r="S44" s="23" t="str">
        <f aca="false">IF(AND(Q44="",R44=""),"",SUM($Q$8:Q44)-SUM($R$8:R44))</f>
        <v/>
      </c>
      <c r="T44" s="23" t="str">
        <f aca="false">IF(S44="","",S44-O44)</f>
        <v/>
      </c>
    </row>
    <row r="45" customFormat="false" ht="15" hidden="false" customHeight="false" outlineLevel="0" collapsed="false">
      <c r="A45" s="18" t="n">
        <v>38</v>
      </c>
      <c r="B45" s="21" t="n">
        <f aca="false">Datos!$B$6+7*(A45-1)</f>
        <v>46573</v>
      </c>
      <c r="C45" s="22"/>
      <c r="D45" s="17" t="n">
        <f aca="false">IF(Datos!$B$8=0,0,C45/Datos!$B$8)</f>
        <v>0</v>
      </c>
      <c r="E45" s="23" t="n">
        <f aca="false">IF(AND(A45&lt;=Datos!$B$22,OR(MOD(A45,Datos!$B$11)=0,A45=Datos!$B$22)),SUMIFS($D$8:$D$59,$A$8:$A$59,"&gt;"&amp;(A45-IF(MOD(A45,Datos!$B$11)=0,Datos!$B$11,MOD(A45,Datos!$B$11))),$A$8:$A$59,"&lt;="&amp;A45)*Datos!$B$7,0)</f>
        <v>0</v>
      </c>
      <c r="F45" s="23" t="n">
        <f aca="false">E45*Datos!$B$9</f>
        <v>0</v>
      </c>
      <c r="G45" s="23" t="n">
        <f aca="false">E45*Datos!$B$10</f>
        <v>0</v>
      </c>
      <c r="H45" s="23" t="n">
        <f aca="false">E45-F45-G45</f>
        <v>0</v>
      </c>
      <c r="I45" s="23" t="n">
        <f aca="false">IF(A45=1,Datos!$B$7*Datos!$B$9,0)+IF(A45-Datos!$B$12&gt;=1,INDEX($H$8:$H$59,A45-Datos!$B$12),0)+IF(A45=Datos!$B$22+Datos!$B$12+Datos!$B$13,SUM($G$8:$G$59),0)</f>
        <v>0</v>
      </c>
      <c r="J45" s="23" t="n">
        <f aca="false">IF(A45-Datos!$B$15&gt;=1,INDEX($C$8:$C$59,A45-Datos!$B$15),0)*Datos!$B$14</f>
        <v>0</v>
      </c>
      <c r="K45" s="23" t="n">
        <f aca="false">C45*Datos!$B$16</f>
        <v>0</v>
      </c>
      <c r="L45" s="23" t="n">
        <f aca="false">IF(A45&gt;1,INDEX($C$8:$C$59,A45-1),0)*Datos!$B$17</f>
        <v>0</v>
      </c>
      <c r="M45" s="23" t="n">
        <f aca="false">J45+K45+L45</f>
        <v>0</v>
      </c>
      <c r="N45" s="23" t="n">
        <f aca="false">I45-M45</f>
        <v>0</v>
      </c>
      <c r="O45" s="23" t="n">
        <f aca="false">O44+N45</f>
        <v>200000</v>
      </c>
      <c r="P45" s="23" t="n">
        <f aca="false">MAX(0,-O45)*((1+Datos!$B$18)^(1/52)-1)</f>
        <v>0</v>
      </c>
      <c r="Q45" s="22"/>
      <c r="R45" s="22"/>
      <c r="S45" s="23" t="str">
        <f aca="false">IF(AND(Q45="",R45=""),"",SUM($Q$8:Q45)-SUM($R$8:R45))</f>
        <v/>
      </c>
      <c r="T45" s="23" t="str">
        <f aca="false">IF(S45="","",S45-O45)</f>
        <v/>
      </c>
    </row>
    <row r="46" customFormat="false" ht="15" hidden="false" customHeight="false" outlineLevel="0" collapsed="false">
      <c r="A46" s="18" t="n">
        <v>39</v>
      </c>
      <c r="B46" s="21" t="n">
        <f aca="false">Datos!$B$6+7*(A46-1)</f>
        <v>46580</v>
      </c>
      <c r="C46" s="22"/>
      <c r="D46" s="17" t="n">
        <f aca="false">IF(Datos!$B$8=0,0,C46/Datos!$B$8)</f>
        <v>0</v>
      </c>
      <c r="E46" s="23" t="n">
        <f aca="false">IF(AND(A46&lt;=Datos!$B$22,OR(MOD(A46,Datos!$B$11)=0,A46=Datos!$B$22)),SUMIFS($D$8:$D$59,$A$8:$A$59,"&gt;"&amp;(A46-IF(MOD(A46,Datos!$B$11)=0,Datos!$B$11,MOD(A46,Datos!$B$11))),$A$8:$A$59,"&lt;="&amp;A46)*Datos!$B$7,0)</f>
        <v>0</v>
      </c>
      <c r="F46" s="23" t="n">
        <f aca="false">E46*Datos!$B$9</f>
        <v>0</v>
      </c>
      <c r="G46" s="23" t="n">
        <f aca="false">E46*Datos!$B$10</f>
        <v>0</v>
      </c>
      <c r="H46" s="23" t="n">
        <f aca="false">E46-F46-G46</f>
        <v>0</v>
      </c>
      <c r="I46" s="23" t="n">
        <f aca="false">IF(A46=1,Datos!$B$7*Datos!$B$9,0)+IF(A46-Datos!$B$12&gt;=1,INDEX($H$8:$H$59,A46-Datos!$B$12),0)+IF(A46=Datos!$B$22+Datos!$B$12+Datos!$B$13,SUM($G$8:$G$59),0)</f>
        <v>0</v>
      </c>
      <c r="J46" s="23" t="n">
        <f aca="false">IF(A46-Datos!$B$15&gt;=1,INDEX($C$8:$C$59,A46-Datos!$B$15),0)*Datos!$B$14</f>
        <v>0</v>
      </c>
      <c r="K46" s="23" t="n">
        <f aca="false">C46*Datos!$B$16</f>
        <v>0</v>
      </c>
      <c r="L46" s="23" t="n">
        <f aca="false">IF(A46&gt;1,INDEX($C$8:$C$59,A46-1),0)*Datos!$B$17</f>
        <v>0</v>
      </c>
      <c r="M46" s="23" t="n">
        <f aca="false">J46+K46+L46</f>
        <v>0</v>
      </c>
      <c r="N46" s="23" t="n">
        <f aca="false">I46-M46</f>
        <v>0</v>
      </c>
      <c r="O46" s="23" t="n">
        <f aca="false">O45+N46</f>
        <v>200000</v>
      </c>
      <c r="P46" s="23" t="n">
        <f aca="false">MAX(0,-O46)*((1+Datos!$B$18)^(1/52)-1)</f>
        <v>0</v>
      </c>
      <c r="Q46" s="22"/>
      <c r="R46" s="22"/>
      <c r="S46" s="23" t="str">
        <f aca="false">IF(AND(Q46="",R46=""),"",SUM($Q$8:Q46)-SUM($R$8:R46))</f>
        <v/>
      </c>
      <c r="T46" s="23" t="str">
        <f aca="false">IF(S46="","",S46-O46)</f>
        <v/>
      </c>
    </row>
    <row r="47" customFormat="false" ht="15" hidden="false" customHeight="false" outlineLevel="0" collapsed="false">
      <c r="A47" s="18" t="n">
        <v>40</v>
      </c>
      <c r="B47" s="21" t="n">
        <f aca="false">Datos!$B$6+7*(A47-1)</f>
        <v>46587</v>
      </c>
      <c r="C47" s="22"/>
      <c r="D47" s="17" t="n">
        <f aca="false">IF(Datos!$B$8=0,0,C47/Datos!$B$8)</f>
        <v>0</v>
      </c>
      <c r="E47" s="23" t="n">
        <f aca="false">IF(AND(A47&lt;=Datos!$B$22,OR(MOD(A47,Datos!$B$11)=0,A47=Datos!$B$22)),SUMIFS($D$8:$D$59,$A$8:$A$59,"&gt;"&amp;(A47-IF(MOD(A47,Datos!$B$11)=0,Datos!$B$11,MOD(A47,Datos!$B$11))),$A$8:$A$59,"&lt;="&amp;A47)*Datos!$B$7,0)</f>
        <v>0</v>
      </c>
      <c r="F47" s="23" t="n">
        <f aca="false">E47*Datos!$B$9</f>
        <v>0</v>
      </c>
      <c r="G47" s="23" t="n">
        <f aca="false">E47*Datos!$B$10</f>
        <v>0</v>
      </c>
      <c r="H47" s="23" t="n">
        <f aca="false">E47-F47-G47</f>
        <v>0</v>
      </c>
      <c r="I47" s="23" t="n">
        <f aca="false">IF(A47=1,Datos!$B$7*Datos!$B$9,0)+IF(A47-Datos!$B$12&gt;=1,INDEX($H$8:$H$59,A47-Datos!$B$12),0)+IF(A47=Datos!$B$22+Datos!$B$12+Datos!$B$13,SUM($G$8:$G$59),0)</f>
        <v>0</v>
      </c>
      <c r="J47" s="23" t="n">
        <f aca="false">IF(A47-Datos!$B$15&gt;=1,INDEX($C$8:$C$59,A47-Datos!$B$15),0)*Datos!$B$14</f>
        <v>0</v>
      </c>
      <c r="K47" s="23" t="n">
        <f aca="false">C47*Datos!$B$16</f>
        <v>0</v>
      </c>
      <c r="L47" s="23" t="n">
        <f aca="false">IF(A47&gt;1,INDEX($C$8:$C$59,A47-1),0)*Datos!$B$17</f>
        <v>0</v>
      </c>
      <c r="M47" s="23" t="n">
        <f aca="false">J47+K47+L47</f>
        <v>0</v>
      </c>
      <c r="N47" s="23" t="n">
        <f aca="false">I47-M47</f>
        <v>0</v>
      </c>
      <c r="O47" s="23" t="n">
        <f aca="false">O46+N47</f>
        <v>200000</v>
      </c>
      <c r="P47" s="23" t="n">
        <f aca="false">MAX(0,-O47)*((1+Datos!$B$18)^(1/52)-1)</f>
        <v>0</v>
      </c>
      <c r="Q47" s="22"/>
      <c r="R47" s="22"/>
      <c r="S47" s="23" t="str">
        <f aca="false">IF(AND(Q47="",R47=""),"",SUM($Q$8:Q47)-SUM($R$8:R47))</f>
        <v/>
      </c>
      <c r="T47" s="23" t="str">
        <f aca="false">IF(S47="","",S47-O47)</f>
        <v/>
      </c>
    </row>
    <row r="48" customFormat="false" ht="15" hidden="false" customHeight="false" outlineLevel="0" collapsed="false">
      <c r="A48" s="18" t="n">
        <v>41</v>
      </c>
      <c r="B48" s="21" t="n">
        <f aca="false">Datos!$B$6+7*(A48-1)</f>
        <v>46594</v>
      </c>
      <c r="C48" s="22"/>
      <c r="D48" s="17" t="n">
        <f aca="false">IF(Datos!$B$8=0,0,C48/Datos!$B$8)</f>
        <v>0</v>
      </c>
      <c r="E48" s="23" t="n">
        <f aca="false">IF(AND(A48&lt;=Datos!$B$22,OR(MOD(A48,Datos!$B$11)=0,A48=Datos!$B$22)),SUMIFS($D$8:$D$59,$A$8:$A$59,"&gt;"&amp;(A48-IF(MOD(A48,Datos!$B$11)=0,Datos!$B$11,MOD(A48,Datos!$B$11))),$A$8:$A$59,"&lt;="&amp;A48)*Datos!$B$7,0)</f>
        <v>0</v>
      </c>
      <c r="F48" s="23" t="n">
        <f aca="false">E48*Datos!$B$9</f>
        <v>0</v>
      </c>
      <c r="G48" s="23" t="n">
        <f aca="false">E48*Datos!$B$10</f>
        <v>0</v>
      </c>
      <c r="H48" s="23" t="n">
        <f aca="false">E48-F48-G48</f>
        <v>0</v>
      </c>
      <c r="I48" s="23" t="n">
        <f aca="false">IF(A48=1,Datos!$B$7*Datos!$B$9,0)+IF(A48-Datos!$B$12&gt;=1,INDEX($H$8:$H$59,A48-Datos!$B$12),0)+IF(A48=Datos!$B$22+Datos!$B$12+Datos!$B$13,SUM($G$8:$G$59),0)</f>
        <v>0</v>
      </c>
      <c r="J48" s="23" t="n">
        <f aca="false">IF(A48-Datos!$B$15&gt;=1,INDEX($C$8:$C$59,A48-Datos!$B$15),0)*Datos!$B$14</f>
        <v>0</v>
      </c>
      <c r="K48" s="23" t="n">
        <f aca="false">C48*Datos!$B$16</f>
        <v>0</v>
      </c>
      <c r="L48" s="23" t="n">
        <f aca="false">IF(A48&gt;1,INDEX($C$8:$C$59,A48-1),0)*Datos!$B$17</f>
        <v>0</v>
      </c>
      <c r="M48" s="23" t="n">
        <f aca="false">J48+K48+L48</f>
        <v>0</v>
      </c>
      <c r="N48" s="23" t="n">
        <f aca="false">I48-M48</f>
        <v>0</v>
      </c>
      <c r="O48" s="23" t="n">
        <f aca="false">O47+N48</f>
        <v>200000</v>
      </c>
      <c r="P48" s="23" t="n">
        <f aca="false">MAX(0,-O48)*((1+Datos!$B$18)^(1/52)-1)</f>
        <v>0</v>
      </c>
      <c r="Q48" s="22"/>
      <c r="R48" s="22"/>
      <c r="S48" s="23" t="str">
        <f aca="false">IF(AND(Q48="",R48=""),"",SUM($Q$8:Q48)-SUM($R$8:R48))</f>
        <v/>
      </c>
      <c r="T48" s="23" t="str">
        <f aca="false">IF(S48="","",S48-O48)</f>
        <v/>
      </c>
    </row>
    <row r="49" customFormat="false" ht="15" hidden="false" customHeight="false" outlineLevel="0" collapsed="false">
      <c r="A49" s="18" t="n">
        <v>42</v>
      </c>
      <c r="B49" s="21" t="n">
        <f aca="false">Datos!$B$6+7*(A49-1)</f>
        <v>46601</v>
      </c>
      <c r="C49" s="22"/>
      <c r="D49" s="17" t="n">
        <f aca="false">IF(Datos!$B$8=0,0,C49/Datos!$B$8)</f>
        <v>0</v>
      </c>
      <c r="E49" s="23" t="n">
        <f aca="false">IF(AND(A49&lt;=Datos!$B$22,OR(MOD(A49,Datos!$B$11)=0,A49=Datos!$B$22)),SUMIFS($D$8:$D$59,$A$8:$A$59,"&gt;"&amp;(A49-IF(MOD(A49,Datos!$B$11)=0,Datos!$B$11,MOD(A49,Datos!$B$11))),$A$8:$A$59,"&lt;="&amp;A49)*Datos!$B$7,0)</f>
        <v>0</v>
      </c>
      <c r="F49" s="23" t="n">
        <f aca="false">E49*Datos!$B$9</f>
        <v>0</v>
      </c>
      <c r="G49" s="23" t="n">
        <f aca="false">E49*Datos!$B$10</f>
        <v>0</v>
      </c>
      <c r="H49" s="23" t="n">
        <f aca="false">E49-F49-G49</f>
        <v>0</v>
      </c>
      <c r="I49" s="23" t="n">
        <f aca="false">IF(A49=1,Datos!$B$7*Datos!$B$9,0)+IF(A49-Datos!$B$12&gt;=1,INDEX($H$8:$H$59,A49-Datos!$B$12),0)+IF(A49=Datos!$B$22+Datos!$B$12+Datos!$B$13,SUM($G$8:$G$59),0)</f>
        <v>0</v>
      </c>
      <c r="J49" s="23" t="n">
        <f aca="false">IF(A49-Datos!$B$15&gt;=1,INDEX($C$8:$C$59,A49-Datos!$B$15),0)*Datos!$B$14</f>
        <v>0</v>
      </c>
      <c r="K49" s="23" t="n">
        <f aca="false">C49*Datos!$B$16</f>
        <v>0</v>
      </c>
      <c r="L49" s="23" t="n">
        <f aca="false">IF(A49&gt;1,INDEX($C$8:$C$59,A49-1),0)*Datos!$B$17</f>
        <v>0</v>
      </c>
      <c r="M49" s="23" t="n">
        <f aca="false">J49+K49+L49</f>
        <v>0</v>
      </c>
      <c r="N49" s="23" t="n">
        <f aca="false">I49-M49</f>
        <v>0</v>
      </c>
      <c r="O49" s="23" t="n">
        <f aca="false">O48+N49</f>
        <v>200000</v>
      </c>
      <c r="P49" s="23" t="n">
        <f aca="false">MAX(0,-O49)*((1+Datos!$B$18)^(1/52)-1)</f>
        <v>0</v>
      </c>
      <c r="Q49" s="22"/>
      <c r="R49" s="22"/>
      <c r="S49" s="23" t="str">
        <f aca="false">IF(AND(Q49="",R49=""),"",SUM($Q$8:Q49)-SUM($R$8:R49))</f>
        <v/>
      </c>
      <c r="T49" s="23" t="str">
        <f aca="false">IF(S49="","",S49-O49)</f>
        <v/>
      </c>
    </row>
    <row r="50" customFormat="false" ht="15" hidden="false" customHeight="false" outlineLevel="0" collapsed="false">
      <c r="A50" s="18" t="n">
        <v>43</v>
      </c>
      <c r="B50" s="21" t="n">
        <f aca="false">Datos!$B$6+7*(A50-1)</f>
        <v>46608</v>
      </c>
      <c r="C50" s="22"/>
      <c r="D50" s="17" t="n">
        <f aca="false">IF(Datos!$B$8=0,0,C50/Datos!$B$8)</f>
        <v>0</v>
      </c>
      <c r="E50" s="23" t="n">
        <f aca="false">IF(AND(A50&lt;=Datos!$B$22,OR(MOD(A50,Datos!$B$11)=0,A50=Datos!$B$22)),SUMIFS($D$8:$D$59,$A$8:$A$59,"&gt;"&amp;(A50-IF(MOD(A50,Datos!$B$11)=0,Datos!$B$11,MOD(A50,Datos!$B$11))),$A$8:$A$59,"&lt;="&amp;A50)*Datos!$B$7,0)</f>
        <v>0</v>
      </c>
      <c r="F50" s="23" t="n">
        <f aca="false">E50*Datos!$B$9</f>
        <v>0</v>
      </c>
      <c r="G50" s="23" t="n">
        <f aca="false">E50*Datos!$B$10</f>
        <v>0</v>
      </c>
      <c r="H50" s="23" t="n">
        <f aca="false">E50-F50-G50</f>
        <v>0</v>
      </c>
      <c r="I50" s="23" t="n">
        <f aca="false">IF(A50=1,Datos!$B$7*Datos!$B$9,0)+IF(A50-Datos!$B$12&gt;=1,INDEX($H$8:$H$59,A50-Datos!$B$12),0)+IF(A50=Datos!$B$22+Datos!$B$12+Datos!$B$13,SUM($G$8:$G$59),0)</f>
        <v>0</v>
      </c>
      <c r="J50" s="23" t="n">
        <f aca="false">IF(A50-Datos!$B$15&gt;=1,INDEX($C$8:$C$59,A50-Datos!$B$15),0)*Datos!$B$14</f>
        <v>0</v>
      </c>
      <c r="K50" s="23" t="n">
        <f aca="false">C50*Datos!$B$16</f>
        <v>0</v>
      </c>
      <c r="L50" s="23" t="n">
        <f aca="false">IF(A50&gt;1,INDEX($C$8:$C$59,A50-1),0)*Datos!$B$17</f>
        <v>0</v>
      </c>
      <c r="M50" s="23" t="n">
        <f aca="false">J50+K50+L50</f>
        <v>0</v>
      </c>
      <c r="N50" s="23" t="n">
        <f aca="false">I50-M50</f>
        <v>0</v>
      </c>
      <c r="O50" s="23" t="n">
        <f aca="false">O49+N50</f>
        <v>200000</v>
      </c>
      <c r="P50" s="23" t="n">
        <f aca="false">MAX(0,-O50)*((1+Datos!$B$18)^(1/52)-1)</f>
        <v>0</v>
      </c>
      <c r="Q50" s="22"/>
      <c r="R50" s="22"/>
      <c r="S50" s="23" t="str">
        <f aca="false">IF(AND(Q50="",R50=""),"",SUM($Q$8:Q50)-SUM($R$8:R50))</f>
        <v/>
      </c>
      <c r="T50" s="23" t="str">
        <f aca="false">IF(S50="","",S50-O50)</f>
        <v/>
      </c>
    </row>
    <row r="51" customFormat="false" ht="15" hidden="false" customHeight="false" outlineLevel="0" collapsed="false">
      <c r="A51" s="18" t="n">
        <v>44</v>
      </c>
      <c r="B51" s="21" t="n">
        <f aca="false">Datos!$B$6+7*(A51-1)</f>
        <v>46615</v>
      </c>
      <c r="C51" s="22"/>
      <c r="D51" s="17" t="n">
        <f aca="false">IF(Datos!$B$8=0,0,C51/Datos!$B$8)</f>
        <v>0</v>
      </c>
      <c r="E51" s="23" t="n">
        <f aca="false">IF(AND(A51&lt;=Datos!$B$22,OR(MOD(A51,Datos!$B$11)=0,A51=Datos!$B$22)),SUMIFS($D$8:$D$59,$A$8:$A$59,"&gt;"&amp;(A51-IF(MOD(A51,Datos!$B$11)=0,Datos!$B$11,MOD(A51,Datos!$B$11))),$A$8:$A$59,"&lt;="&amp;A51)*Datos!$B$7,0)</f>
        <v>0</v>
      </c>
      <c r="F51" s="23" t="n">
        <f aca="false">E51*Datos!$B$9</f>
        <v>0</v>
      </c>
      <c r="G51" s="23" t="n">
        <f aca="false">E51*Datos!$B$10</f>
        <v>0</v>
      </c>
      <c r="H51" s="23" t="n">
        <f aca="false">E51-F51-G51</f>
        <v>0</v>
      </c>
      <c r="I51" s="23" t="n">
        <f aca="false">IF(A51=1,Datos!$B$7*Datos!$B$9,0)+IF(A51-Datos!$B$12&gt;=1,INDEX($H$8:$H$59,A51-Datos!$B$12),0)+IF(A51=Datos!$B$22+Datos!$B$12+Datos!$B$13,SUM($G$8:$G$59),0)</f>
        <v>0</v>
      </c>
      <c r="J51" s="23" t="n">
        <f aca="false">IF(A51-Datos!$B$15&gt;=1,INDEX($C$8:$C$59,A51-Datos!$B$15),0)*Datos!$B$14</f>
        <v>0</v>
      </c>
      <c r="K51" s="23" t="n">
        <f aca="false">C51*Datos!$B$16</f>
        <v>0</v>
      </c>
      <c r="L51" s="23" t="n">
        <f aca="false">IF(A51&gt;1,INDEX($C$8:$C$59,A51-1),0)*Datos!$B$17</f>
        <v>0</v>
      </c>
      <c r="M51" s="23" t="n">
        <f aca="false">J51+K51+L51</f>
        <v>0</v>
      </c>
      <c r="N51" s="23" t="n">
        <f aca="false">I51-M51</f>
        <v>0</v>
      </c>
      <c r="O51" s="23" t="n">
        <f aca="false">O50+N51</f>
        <v>200000</v>
      </c>
      <c r="P51" s="23" t="n">
        <f aca="false">MAX(0,-O51)*((1+Datos!$B$18)^(1/52)-1)</f>
        <v>0</v>
      </c>
      <c r="Q51" s="22"/>
      <c r="R51" s="22"/>
      <c r="S51" s="23" t="str">
        <f aca="false">IF(AND(Q51="",R51=""),"",SUM($Q$8:Q51)-SUM($R$8:R51))</f>
        <v/>
      </c>
      <c r="T51" s="23" t="str">
        <f aca="false">IF(S51="","",S51-O51)</f>
        <v/>
      </c>
    </row>
    <row r="52" customFormat="false" ht="15" hidden="false" customHeight="false" outlineLevel="0" collapsed="false">
      <c r="A52" s="18" t="n">
        <v>45</v>
      </c>
      <c r="B52" s="21" t="n">
        <f aca="false">Datos!$B$6+7*(A52-1)</f>
        <v>46622</v>
      </c>
      <c r="C52" s="22"/>
      <c r="D52" s="17" t="n">
        <f aca="false">IF(Datos!$B$8=0,0,C52/Datos!$B$8)</f>
        <v>0</v>
      </c>
      <c r="E52" s="23" t="n">
        <f aca="false">IF(AND(A52&lt;=Datos!$B$22,OR(MOD(A52,Datos!$B$11)=0,A52=Datos!$B$22)),SUMIFS($D$8:$D$59,$A$8:$A$59,"&gt;"&amp;(A52-IF(MOD(A52,Datos!$B$11)=0,Datos!$B$11,MOD(A52,Datos!$B$11))),$A$8:$A$59,"&lt;="&amp;A52)*Datos!$B$7,0)</f>
        <v>0</v>
      </c>
      <c r="F52" s="23" t="n">
        <f aca="false">E52*Datos!$B$9</f>
        <v>0</v>
      </c>
      <c r="G52" s="23" t="n">
        <f aca="false">E52*Datos!$B$10</f>
        <v>0</v>
      </c>
      <c r="H52" s="23" t="n">
        <f aca="false">E52-F52-G52</f>
        <v>0</v>
      </c>
      <c r="I52" s="23" t="n">
        <f aca="false">IF(A52=1,Datos!$B$7*Datos!$B$9,0)+IF(A52-Datos!$B$12&gt;=1,INDEX($H$8:$H$59,A52-Datos!$B$12),0)+IF(A52=Datos!$B$22+Datos!$B$12+Datos!$B$13,SUM($G$8:$G$59),0)</f>
        <v>0</v>
      </c>
      <c r="J52" s="23" t="n">
        <f aca="false">IF(A52-Datos!$B$15&gt;=1,INDEX($C$8:$C$59,A52-Datos!$B$15),0)*Datos!$B$14</f>
        <v>0</v>
      </c>
      <c r="K52" s="23" t="n">
        <f aca="false">C52*Datos!$B$16</f>
        <v>0</v>
      </c>
      <c r="L52" s="23" t="n">
        <f aca="false">IF(A52&gt;1,INDEX($C$8:$C$59,A52-1),0)*Datos!$B$17</f>
        <v>0</v>
      </c>
      <c r="M52" s="23" t="n">
        <f aca="false">J52+K52+L52</f>
        <v>0</v>
      </c>
      <c r="N52" s="23" t="n">
        <f aca="false">I52-M52</f>
        <v>0</v>
      </c>
      <c r="O52" s="23" t="n">
        <f aca="false">O51+N52</f>
        <v>200000</v>
      </c>
      <c r="P52" s="23" t="n">
        <f aca="false">MAX(0,-O52)*((1+Datos!$B$18)^(1/52)-1)</f>
        <v>0</v>
      </c>
      <c r="Q52" s="22"/>
      <c r="R52" s="22"/>
      <c r="S52" s="23" t="str">
        <f aca="false">IF(AND(Q52="",R52=""),"",SUM($Q$8:Q52)-SUM($R$8:R52))</f>
        <v/>
      </c>
      <c r="T52" s="23" t="str">
        <f aca="false">IF(S52="","",S52-O52)</f>
        <v/>
      </c>
    </row>
    <row r="53" customFormat="false" ht="15" hidden="false" customHeight="false" outlineLevel="0" collapsed="false">
      <c r="A53" s="18" t="n">
        <v>46</v>
      </c>
      <c r="B53" s="21" t="n">
        <f aca="false">Datos!$B$6+7*(A53-1)</f>
        <v>46629</v>
      </c>
      <c r="C53" s="22"/>
      <c r="D53" s="17" t="n">
        <f aca="false">IF(Datos!$B$8=0,0,C53/Datos!$B$8)</f>
        <v>0</v>
      </c>
      <c r="E53" s="23" t="n">
        <f aca="false">IF(AND(A53&lt;=Datos!$B$22,OR(MOD(A53,Datos!$B$11)=0,A53=Datos!$B$22)),SUMIFS($D$8:$D$59,$A$8:$A$59,"&gt;"&amp;(A53-IF(MOD(A53,Datos!$B$11)=0,Datos!$B$11,MOD(A53,Datos!$B$11))),$A$8:$A$59,"&lt;="&amp;A53)*Datos!$B$7,0)</f>
        <v>0</v>
      </c>
      <c r="F53" s="23" t="n">
        <f aca="false">E53*Datos!$B$9</f>
        <v>0</v>
      </c>
      <c r="G53" s="23" t="n">
        <f aca="false">E53*Datos!$B$10</f>
        <v>0</v>
      </c>
      <c r="H53" s="23" t="n">
        <f aca="false">E53-F53-G53</f>
        <v>0</v>
      </c>
      <c r="I53" s="23" t="n">
        <f aca="false">IF(A53=1,Datos!$B$7*Datos!$B$9,0)+IF(A53-Datos!$B$12&gt;=1,INDEX($H$8:$H$59,A53-Datos!$B$12),0)+IF(A53=Datos!$B$22+Datos!$B$12+Datos!$B$13,SUM($G$8:$G$59),0)</f>
        <v>0</v>
      </c>
      <c r="J53" s="23" t="n">
        <f aca="false">IF(A53-Datos!$B$15&gt;=1,INDEX($C$8:$C$59,A53-Datos!$B$15),0)*Datos!$B$14</f>
        <v>0</v>
      </c>
      <c r="K53" s="23" t="n">
        <f aca="false">C53*Datos!$B$16</f>
        <v>0</v>
      </c>
      <c r="L53" s="23" t="n">
        <f aca="false">IF(A53&gt;1,INDEX($C$8:$C$59,A53-1),0)*Datos!$B$17</f>
        <v>0</v>
      </c>
      <c r="M53" s="23" t="n">
        <f aca="false">J53+K53+L53</f>
        <v>0</v>
      </c>
      <c r="N53" s="23" t="n">
        <f aca="false">I53-M53</f>
        <v>0</v>
      </c>
      <c r="O53" s="23" t="n">
        <f aca="false">O52+N53</f>
        <v>200000</v>
      </c>
      <c r="P53" s="23" t="n">
        <f aca="false">MAX(0,-O53)*((1+Datos!$B$18)^(1/52)-1)</f>
        <v>0</v>
      </c>
      <c r="Q53" s="22"/>
      <c r="R53" s="22"/>
      <c r="S53" s="23" t="str">
        <f aca="false">IF(AND(Q53="",R53=""),"",SUM($Q$8:Q53)-SUM($R$8:R53))</f>
        <v/>
      </c>
      <c r="T53" s="23" t="str">
        <f aca="false">IF(S53="","",S53-O53)</f>
        <v/>
      </c>
    </row>
    <row r="54" customFormat="false" ht="15" hidden="false" customHeight="false" outlineLevel="0" collapsed="false">
      <c r="A54" s="18" t="n">
        <v>47</v>
      </c>
      <c r="B54" s="21" t="n">
        <f aca="false">Datos!$B$6+7*(A54-1)</f>
        <v>46636</v>
      </c>
      <c r="C54" s="22"/>
      <c r="D54" s="17" t="n">
        <f aca="false">IF(Datos!$B$8=0,0,C54/Datos!$B$8)</f>
        <v>0</v>
      </c>
      <c r="E54" s="23" t="n">
        <f aca="false">IF(AND(A54&lt;=Datos!$B$22,OR(MOD(A54,Datos!$B$11)=0,A54=Datos!$B$22)),SUMIFS($D$8:$D$59,$A$8:$A$59,"&gt;"&amp;(A54-IF(MOD(A54,Datos!$B$11)=0,Datos!$B$11,MOD(A54,Datos!$B$11))),$A$8:$A$59,"&lt;="&amp;A54)*Datos!$B$7,0)</f>
        <v>0</v>
      </c>
      <c r="F54" s="23" t="n">
        <f aca="false">E54*Datos!$B$9</f>
        <v>0</v>
      </c>
      <c r="G54" s="23" t="n">
        <f aca="false">E54*Datos!$B$10</f>
        <v>0</v>
      </c>
      <c r="H54" s="23" t="n">
        <f aca="false">E54-F54-G54</f>
        <v>0</v>
      </c>
      <c r="I54" s="23" t="n">
        <f aca="false">IF(A54=1,Datos!$B$7*Datos!$B$9,0)+IF(A54-Datos!$B$12&gt;=1,INDEX($H$8:$H$59,A54-Datos!$B$12),0)+IF(A54=Datos!$B$22+Datos!$B$12+Datos!$B$13,SUM($G$8:$G$59),0)</f>
        <v>0</v>
      </c>
      <c r="J54" s="23" t="n">
        <f aca="false">IF(A54-Datos!$B$15&gt;=1,INDEX($C$8:$C$59,A54-Datos!$B$15),0)*Datos!$B$14</f>
        <v>0</v>
      </c>
      <c r="K54" s="23" t="n">
        <f aca="false">C54*Datos!$B$16</f>
        <v>0</v>
      </c>
      <c r="L54" s="23" t="n">
        <f aca="false">IF(A54&gt;1,INDEX($C$8:$C$59,A54-1),0)*Datos!$B$17</f>
        <v>0</v>
      </c>
      <c r="M54" s="23" t="n">
        <f aca="false">J54+K54+L54</f>
        <v>0</v>
      </c>
      <c r="N54" s="23" t="n">
        <f aca="false">I54-M54</f>
        <v>0</v>
      </c>
      <c r="O54" s="23" t="n">
        <f aca="false">O53+N54</f>
        <v>200000</v>
      </c>
      <c r="P54" s="23" t="n">
        <f aca="false">MAX(0,-O54)*((1+Datos!$B$18)^(1/52)-1)</f>
        <v>0</v>
      </c>
      <c r="Q54" s="22"/>
      <c r="R54" s="22"/>
      <c r="S54" s="23" t="str">
        <f aca="false">IF(AND(Q54="",R54=""),"",SUM($Q$8:Q54)-SUM($R$8:R54))</f>
        <v/>
      </c>
      <c r="T54" s="23" t="str">
        <f aca="false">IF(S54="","",S54-O54)</f>
        <v/>
      </c>
    </row>
    <row r="55" customFormat="false" ht="15" hidden="false" customHeight="false" outlineLevel="0" collapsed="false">
      <c r="A55" s="18" t="n">
        <v>48</v>
      </c>
      <c r="B55" s="21" t="n">
        <f aca="false">Datos!$B$6+7*(A55-1)</f>
        <v>46643</v>
      </c>
      <c r="C55" s="22"/>
      <c r="D55" s="17" t="n">
        <f aca="false">IF(Datos!$B$8=0,0,C55/Datos!$B$8)</f>
        <v>0</v>
      </c>
      <c r="E55" s="23" t="n">
        <f aca="false">IF(AND(A55&lt;=Datos!$B$22,OR(MOD(A55,Datos!$B$11)=0,A55=Datos!$B$22)),SUMIFS($D$8:$D$59,$A$8:$A$59,"&gt;"&amp;(A55-IF(MOD(A55,Datos!$B$11)=0,Datos!$B$11,MOD(A55,Datos!$B$11))),$A$8:$A$59,"&lt;="&amp;A55)*Datos!$B$7,0)</f>
        <v>0</v>
      </c>
      <c r="F55" s="23" t="n">
        <f aca="false">E55*Datos!$B$9</f>
        <v>0</v>
      </c>
      <c r="G55" s="23" t="n">
        <f aca="false">E55*Datos!$B$10</f>
        <v>0</v>
      </c>
      <c r="H55" s="23" t="n">
        <f aca="false">E55-F55-G55</f>
        <v>0</v>
      </c>
      <c r="I55" s="23" t="n">
        <f aca="false">IF(A55=1,Datos!$B$7*Datos!$B$9,0)+IF(A55-Datos!$B$12&gt;=1,INDEX($H$8:$H$59,A55-Datos!$B$12),0)+IF(A55=Datos!$B$22+Datos!$B$12+Datos!$B$13,SUM($G$8:$G$59),0)</f>
        <v>0</v>
      </c>
      <c r="J55" s="23" t="n">
        <f aca="false">IF(A55-Datos!$B$15&gt;=1,INDEX($C$8:$C$59,A55-Datos!$B$15),0)*Datos!$B$14</f>
        <v>0</v>
      </c>
      <c r="K55" s="23" t="n">
        <f aca="false">C55*Datos!$B$16</f>
        <v>0</v>
      </c>
      <c r="L55" s="23" t="n">
        <f aca="false">IF(A55&gt;1,INDEX($C$8:$C$59,A55-1),0)*Datos!$B$17</f>
        <v>0</v>
      </c>
      <c r="M55" s="23" t="n">
        <f aca="false">J55+K55+L55</f>
        <v>0</v>
      </c>
      <c r="N55" s="23" t="n">
        <f aca="false">I55-M55</f>
        <v>0</v>
      </c>
      <c r="O55" s="23" t="n">
        <f aca="false">O54+N55</f>
        <v>200000</v>
      </c>
      <c r="P55" s="23" t="n">
        <f aca="false">MAX(0,-O55)*((1+Datos!$B$18)^(1/52)-1)</f>
        <v>0</v>
      </c>
      <c r="Q55" s="22"/>
      <c r="R55" s="22"/>
      <c r="S55" s="23" t="str">
        <f aca="false">IF(AND(Q55="",R55=""),"",SUM($Q$8:Q55)-SUM($R$8:R55))</f>
        <v/>
      </c>
      <c r="T55" s="23" t="str">
        <f aca="false">IF(S55="","",S55-O55)</f>
        <v/>
      </c>
    </row>
    <row r="56" customFormat="false" ht="15" hidden="false" customHeight="false" outlineLevel="0" collapsed="false">
      <c r="A56" s="18" t="n">
        <v>49</v>
      </c>
      <c r="B56" s="21" t="n">
        <f aca="false">Datos!$B$6+7*(A56-1)</f>
        <v>46650</v>
      </c>
      <c r="C56" s="22"/>
      <c r="D56" s="17" t="n">
        <f aca="false">IF(Datos!$B$8=0,0,C56/Datos!$B$8)</f>
        <v>0</v>
      </c>
      <c r="E56" s="23" t="n">
        <f aca="false">IF(AND(A56&lt;=Datos!$B$22,OR(MOD(A56,Datos!$B$11)=0,A56=Datos!$B$22)),SUMIFS($D$8:$D$59,$A$8:$A$59,"&gt;"&amp;(A56-IF(MOD(A56,Datos!$B$11)=0,Datos!$B$11,MOD(A56,Datos!$B$11))),$A$8:$A$59,"&lt;="&amp;A56)*Datos!$B$7,0)</f>
        <v>0</v>
      </c>
      <c r="F56" s="23" t="n">
        <f aca="false">E56*Datos!$B$9</f>
        <v>0</v>
      </c>
      <c r="G56" s="23" t="n">
        <f aca="false">E56*Datos!$B$10</f>
        <v>0</v>
      </c>
      <c r="H56" s="23" t="n">
        <f aca="false">E56-F56-G56</f>
        <v>0</v>
      </c>
      <c r="I56" s="23" t="n">
        <f aca="false">IF(A56=1,Datos!$B$7*Datos!$B$9,0)+IF(A56-Datos!$B$12&gt;=1,INDEX($H$8:$H$59,A56-Datos!$B$12),0)+IF(A56=Datos!$B$22+Datos!$B$12+Datos!$B$13,SUM($G$8:$G$59),0)</f>
        <v>0</v>
      </c>
      <c r="J56" s="23" t="n">
        <f aca="false">IF(A56-Datos!$B$15&gt;=1,INDEX($C$8:$C$59,A56-Datos!$B$15),0)*Datos!$B$14</f>
        <v>0</v>
      </c>
      <c r="K56" s="23" t="n">
        <f aca="false">C56*Datos!$B$16</f>
        <v>0</v>
      </c>
      <c r="L56" s="23" t="n">
        <f aca="false">IF(A56&gt;1,INDEX($C$8:$C$59,A56-1),0)*Datos!$B$17</f>
        <v>0</v>
      </c>
      <c r="M56" s="23" t="n">
        <f aca="false">J56+K56+L56</f>
        <v>0</v>
      </c>
      <c r="N56" s="23" t="n">
        <f aca="false">I56-M56</f>
        <v>0</v>
      </c>
      <c r="O56" s="23" t="n">
        <f aca="false">O55+N56</f>
        <v>200000</v>
      </c>
      <c r="P56" s="23" t="n">
        <f aca="false">MAX(0,-O56)*((1+Datos!$B$18)^(1/52)-1)</f>
        <v>0</v>
      </c>
      <c r="Q56" s="22"/>
      <c r="R56" s="22"/>
      <c r="S56" s="23" t="str">
        <f aca="false">IF(AND(Q56="",R56=""),"",SUM($Q$8:Q56)-SUM($R$8:R56))</f>
        <v/>
      </c>
      <c r="T56" s="23" t="str">
        <f aca="false">IF(S56="","",S56-O56)</f>
        <v/>
      </c>
    </row>
    <row r="57" customFormat="false" ht="15" hidden="false" customHeight="false" outlineLevel="0" collapsed="false">
      <c r="A57" s="18" t="n">
        <v>50</v>
      </c>
      <c r="B57" s="21" t="n">
        <f aca="false">Datos!$B$6+7*(A57-1)</f>
        <v>46657</v>
      </c>
      <c r="C57" s="22"/>
      <c r="D57" s="17" t="n">
        <f aca="false">IF(Datos!$B$8=0,0,C57/Datos!$B$8)</f>
        <v>0</v>
      </c>
      <c r="E57" s="23" t="n">
        <f aca="false">IF(AND(A57&lt;=Datos!$B$22,OR(MOD(A57,Datos!$B$11)=0,A57=Datos!$B$22)),SUMIFS($D$8:$D$59,$A$8:$A$59,"&gt;"&amp;(A57-IF(MOD(A57,Datos!$B$11)=0,Datos!$B$11,MOD(A57,Datos!$B$11))),$A$8:$A$59,"&lt;="&amp;A57)*Datos!$B$7,0)</f>
        <v>0</v>
      </c>
      <c r="F57" s="23" t="n">
        <f aca="false">E57*Datos!$B$9</f>
        <v>0</v>
      </c>
      <c r="G57" s="23" t="n">
        <f aca="false">E57*Datos!$B$10</f>
        <v>0</v>
      </c>
      <c r="H57" s="23" t="n">
        <f aca="false">E57-F57-G57</f>
        <v>0</v>
      </c>
      <c r="I57" s="23" t="n">
        <f aca="false">IF(A57=1,Datos!$B$7*Datos!$B$9,0)+IF(A57-Datos!$B$12&gt;=1,INDEX($H$8:$H$59,A57-Datos!$B$12),0)+IF(A57=Datos!$B$22+Datos!$B$12+Datos!$B$13,SUM($G$8:$G$59),0)</f>
        <v>0</v>
      </c>
      <c r="J57" s="23" t="n">
        <f aca="false">IF(A57-Datos!$B$15&gt;=1,INDEX($C$8:$C$59,A57-Datos!$B$15),0)*Datos!$B$14</f>
        <v>0</v>
      </c>
      <c r="K57" s="23" t="n">
        <f aca="false">C57*Datos!$B$16</f>
        <v>0</v>
      </c>
      <c r="L57" s="23" t="n">
        <f aca="false">IF(A57&gt;1,INDEX($C$8:$C$59,A57-1),0)*Datos!$B$17</f>
        <v>0</v>
      </c>
      <c r="M57" s="23" t="n">
        <f aca="false">J57+K57+L57</f>
        <v>0</v>
      </c>
      <c r="N57" s="23" t="n">
        <f aca="false">I57-M57</f>
        <v>0</v>
      </c>
      <c r="O57" s="23" t="n">
        <f aca="false">O56+N57</f>
        <v>200000</v>
      </c>
      <c r="P57" s="23" t="n">
        <f aca="false">MAX(0,-O57)*((1+Datos!$B$18)^(1/52)-1)</f>
        <v>0</v>
      </c>
      <c r="Q57" s="22"/>
      <c r="R57" s="22"/>
      <c r="S57" s="23" t="str">
        <f aca="false">IF(AND(Q57="",R57=""),"",SUM($Q$8:Q57)-SUM($R$8:R57))</f>
        <v/>
      </c>
      <c r="T57" s="23" t="str">
        <f aca="false">IF(S57="","",S57-O57)</f>
        <v/>
      </c>
    </row>
    <row r="58" customFormat="false" ht="15" hidden="false" customHeight="false" outlineLevel="0" collapsed="false">
      <c r="A58" s="18" t="n">
        <v>51</v>
      </c>
      <c r="B58" s="21" t="n">
        <f aca="false">Datos!$B$6+7*(A58-1)</f>
        <v>46664</v>
      </c>
      <c r="C58" s="22"/>
      <c r="D58" s="17" t="n">
        <f aca="false">IF(Datos!$B$8=0,0,C58/Datos!$B$8)</f>
        <v>0</v>
      </c>
      <c r="E58" s="23" t="n">
        <f aca="false">IF(AND(A58&lt;=Datos!$B$22,OR(MOD(A58,Datos!$B$11)=0,A58=Datos!$B$22)),SUMIFS($D$8:$D$59,$A$8:$A$59,"&gt;"&amp;(A58-IF(MOD(A58,Datos!$B$11)=0,Datos!$B$11,MOD(A58,Datos!$B$11))),$A$8:$A$59,"&lt;="&amp;A58)*Datos!$B$7,0)</f>
        <v>0</v>
      </c>
      <c r="F58" s="23" t="n">
        <f aca="false">E58*Datos!$B$9</f>
        <v>0</v>
      </c>
      <c r="G58" s="23" t="n">
        <f aca="false">E58*Datos!$B$10</f>
        <v>0</v>
      </c>
      <c r="H58" s="23" t="n">
        <f aca="false">E58-F58-G58</f>
        <v>0</v>
      </c>
      <c r="I58" s="23" t="n">
        <f aca="false">IF(A58=1,Datos!$B$7*Datos!$B$9,0)+IF(A58-Datos!$B$12&gt;=1,INDEX($H$8:$H$59,A58-Datos!$B$12),0)+IF(A58=Datos!$B$22+Datos!$B$12+Datos!$B$13,SUM($G$8:$G$59),0)</f>
        <v>0</v>
      </c>
      <c r="J58" s="23" t="n">
        <f aca="false">IF(A58-Datos!$B$15&gt;=1,INDEX($C$8:$C$59,A58-Datos!$B$15),0)*Datos!$B$14</f>
        <v>0</v>
      </c>
      <c r="K58" s="23" t="n">
        <f aca="false">C58*Datos!$B$16</f>
        <v>0</v>
      </c>
      <c r="L58" s="23" t="n">
        <f aca="false">IF(A58&gt;1,INDEX($C$8:$C$59,A58-1),0)*Datos!$B$17</f>
        <v>0</v>
      </c>
      <c r="M58" s="23" t="n">
        <f aca="false">J58+K58+L58</f>
        <v>0</v>
      </c>
      <c r="N58" s="23" t="n">
        <f aca="false">I58-M58</f>
        <v>0</v>
      </c>
      <c r="O58" s="23" t="n">
        <f aca="false">O57+N58</f>
        <v>200000</v>
      </c>
      <c r="P58" s="23" t="n">
        <f aca="false">MAX(0,-O58)*((1+Datos!$B$18)^(1/52)-1)</f>
        <v>0</v>
      </c>
      <c r="Q58" s="22"/>
      <c r="R58" s="22"/>
      <c r="S58" s="23" t="str">
        <f aca="false">IF(AND(Q58="",R58=""),"",SUM($Q$8:Q58)-SUM($R$8:R58))</f>
        <v/>
      </c>
      <c r="T58" s="23" t="str">
        <f aca="false">IF(S58="","",S58-O58)</f>
        <v/>
      </c>
    </row>
    <row r="59" customFormat="false" ht="15" hidden="false" customHeight="false" outlineLevel="0" collapsed="false">
      <c r="A59" s="18" t="n">
        <v>52</v>
      </c>
      <c r="B59" s="21" t="n">
        <f aca="false">Datos!$B$6+7*(A59-1)</f>
        <v>46671</v>
      </c>
      <c r="C59" s="22"/>
      <c r="D59" s="17" t="n">
        <f aca="false">IF(Datos!$B$8=0,0,C59/Datos!$B$8)</f>
        <v>0</v>
      </c>
      <c r="E59" s="23" t="n">
        <f aca="false">IF(AND(A59&lt;=Datos!$B$22,OR(MOD(A59,Datos!$B$11)=0,A59=Datos!$B$22)),SUMIFS($D$8:$D$59,$A$8:$A$59,"&gt;"&amp;(A59-IF(MOD(A59,Datos!$B$11)=0,Datos!$B$11,MOD(A59,Datos!$B$11))),$A$8:$A$59,"&lt;="&amp;A59)*Datos!$B$7,0)</f>
        <v>0</v>
      </c>
      <c r="F59" s="23" t="n">
        <f aca="false">E59*Datos!$B$9</f>
        <v>0</v>
      </c>
      <c r="G59" s="23" t="n">
        <f aca="false">E59*Datos!$B$10</f>
        <v>0</v>
      </c>
      <c r="H59" s="23" t="n">
        <f aca="false">E59-F59-G59</f>
        <v>0</v>
      </c>
      <c r="I59" s="23" t="n">
        <f aca="false">IF(A59=1,Datos!$B$7*Datos!$B$9,0)+IF(A59-Datos!$B$12&gt;=1,INDEX($H$8:$H$59,A59-Datos!$B$12),0)+IF(A59=Datos!$B$22+Datos!$B$12+Datos!$B$13,SUM($G$8:$G$59),0)</f>
        <v>0</v>
      </c>
      <c r="J59" s="23" t="n">
        <f aca="false">IF(A59-Datos!$B$15&gt;=1,INDEX($C$8:$C$59,A59-Datos!$B$15),0)*Datos!$B$14</f>
        <v>0</v>
      </c>
      <c r="K59" s="23" t="n">
        <f aca="false">C59*Datos!$B$16</f>
        <v>0</v>
      </c>
      <c r="L59" s="23" t="n">
        <f aca="false">IF(A59&gt;1,INDEX($C$8:$C$59,A59-1),0)*Datos!$B$17</f>
        <v>0</v>
      </c>
      <c r="M59" s="23" t="n">
        <f aca="false">J59+K59+L59</f>
        <v>0</v>
      </c>
      <c r="N59" s="23" t="n">
        <f aca="false">I59-M59</f>
        <v>0</v>
      </c>
      <c r="O59" s="23" t="n">
        <f aca="false">O58+N59</f>
        <v>200000</v>
      </c>
      <c r="P59" s="23" t="n">
        <f aca="false">MAX(0,-O59)*((1+Datos!$B$18)^(1/52)-1)</f>
        <v>0</v>
      </c>
      <c r="Q59" s="22"/>
      <c r="R59" s="22"/>
      <c r="S59" s="23" t="str">
        <f aca="false">IF(AND(Q59="",R59=""),"",SUM($Q$8:Q59)-SUM($R$8:R59))</f>
        <v/>
      </c>
      <c r="T59" s="23" t="str">
        <f aca="false">IF(S59="","",S59-O59)</f>
        <v/>
      </c>
    </row>
    <row r="60" customFormat="false" ht="15" hidden="false" customHeight="false" outlineLevel="0" collapsed="false">
      <c r="A60" s="24" t="s">
        <v>64</v>
      </c>
      <c r="B60" s="24"/>
      <c r="C60" s="25" t="n">
        <f aca="false">SUM(C8:C59)</f>
        <v>800000</v>
      </c>
      <c r="D60" s="24"/>
      <c r="E60" s="25" t="n">
        <f aca="false">SUM(E8:E59)</f>
        <v>1000000</v>
      </c>
      <c r="F60" s="25" t="n">
        <f aca="false">SUM(F8:F59)</f>
        <v>300000</v>
      </c>
      <c r="G60" s="25" t="n">
        <f aca="false">SUM(G8:G59)</f>
        <v>50000</v>
      </c>
      <c r="H60" s="25" t="n">
        <f aca="false">SUM(H8:H59)</f>
        <v>650000</v>
      </c>
      <c r="I60" s="25" t="n">
        <f aca="false">SUM(I8:I59)</f>
        <v>1000000</v>
      </c>
      <c r="J60" s="25" t="n">
        <f aca="false">SUM(J8:J59)</f>
        <v>440000</v>
      </c>
      <c r="K60" s="25" t="n">
        <f aca="false">SUM(K8:K59)</f>
        <v>280000</v>
      </c>
      <c r="L60" s="25" t="n">
        <f aca="false">SUM(L8:L59)</f>
        <v>80000</v>
      </c>
      <c r="M60" s="25" t="n">
        <f aca="false">SUM(M8:M59)</f>
        <v>800000</v>
      </c>
      <c r="N60" s="25" t="n">
        <f aca="false">SUM(N8:N59)</f>
        <v>200000</v>
      </c>
      <c r="O60" s="24"/>
      <c r="P60" s="25" t="n">
        <f aca="false">SUM(P8:P59)</f>
        <v>0</v>
      </c>
      <c r="Q60" s="25" t="n">
        <f aca="false">SUM(Q8:Q59)</f>
        <v>0</v>
      </c>
      <c r="R60" s="25" t="n">
        <f aca="false">SUM(R8:R59)</f>
        <v>0</v>
      </c>
      <c r="S60" s="24"/>
      <c r="T60" s="24"/>
    </row>
    <row r="61" customFormat="false" ht="15" hidden="false" customHeight="false" outlineLevel="0" collapsed="false">
      <c r="B61" s="9" t="s">
        <v>65</v>
      </c>
      <c r="C61" s="26" t="str">
        <f aca="false">IF(ABS(C60-Datos!B8)&lt;1,"Cuadra con el presupuesto","No cuadra: revisa C")</f>
        <v>Cuadra con el presupuesto</v>
      </c>
    </row>
    <row r="62" customFormat="false" ht="15" hidden="false" customHeight="false" outlineLevel="0" collapsed="false">
      <c r="B62" s="27" t="s">
        <v>66</v>
      </c>
    </row>
  </sheetData>
  <mergeCells count="2">
    <mergeCell ref="A1:T1"/>
    <mergeCell ref="A2:T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2026-10-19T09:06:04Z</dcterms:created>
  <dc:creator>openpyxl</dc:creator>
  <dc:description/>
  <dc:language>en-US</dc:language>
  <cp:lastModifiedBy/>
  <dcterms:modified xsi:type="dcterms:W3CDTF">2026-10-19T02:06:19Z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