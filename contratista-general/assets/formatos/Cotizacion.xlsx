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otización" sheetId="2" state="visible" r:id="rId4"/>
    <sheet name="Datos" sheetId="3" state="visible" r:id="rId5"/>
    <sheet name="Indirectos" sheetId="4" state="visible" r:id="rId6"/>
    <sheet name="Análisis" sheetId="5" state="visible" r:id="rId7"/>
    <sheet name="APU" sheetId="6" state="visible" r:id="rId8"/>
  </sheets>
  <definedNames>
    <definedName function="false" hidden="false" localSheetId="1" name="_xlnm.Print_Area" vbProcedure="false">Cotización!$A$1:$F$72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<sst xmlns="http://schemas.openxmlformats.org/spreadsheetml/2006/main" count="193" uniqueCount="150">
  <si>
    <t xml:space="preserve">VÉRTICE  ·  Ingeniería, Arquitectura y Proyectos</t>
  </si>
  <si>
    <t xml:space="preserve">COTIZACIÓN CON ANÁLISIS DE PRECIOS</t>
  </si>
  <si>
    <t xml:space="preserve">Captura</t>
  </si>
  <si>
    <t xml:space="preserve">Celdas amarillas con texto azul = datos que capturas. Texto negro = fórmulas: no escribas encima. La fila de ejemplo muestra el formato esperado; sustitúyela por tus datos.</t>
  </si>
  <si>
    <t xml:space="preserve">Para qué sirve:</t>
  </si>
  <si>
    <t xml:space="preserve">Arma la cotización al cliente a partir del costo directo de cada concepto y del factor de sobrecosto (indirectos, financiamiento, utilidad y cargos adicionales), con la misma fórmula de VERTICE-CALCULO (costos.Sobrecosto.factor).</t>
  </si>
  <si>
    <t xml:space="preserve">Cómo se llena:</t>
  </si>
  <si>
    <t xml:space="preserve">1. «Datos»: cliente, obra, vigencia, porcentajes de sobrecosto y condiciones comerciales.</t>
  </si>
  <si>
    <t xml:space="preserve">2. «Indirectos»: los gastos de campo de la obra (superintendente, residente, seguridad, renta de oficina, fianzas). Su porcentaje pasa solo a «Datos».</t>
  </si>
  <si>
    <t xml:space="preserve">3. «Análisis»: costo directo unitario de cada concepto por tipo de insumo. Toma los costos de los APU de VERTICE-CALCULO (precios de precios-obra-, FSR 2026 Tijuana) o de la hoja «APU».</t>
  </si>
  <si>
    <t xml:space="preserve">4. «Cotización»: es la hoja que se imprime o exporta a PDF para el cliente. No muestra costos ni márgenes.</t>
  </si>
  <si>
    <t xml:space="preserve">Cuidado:</t>
  </si>
  <si>
    <t xml:space="preserve">Una cotización aceptada se formaliza con el contrato de obra a precio alzado o a precios unitarios del skill; las condiciones de anticipo, pago y plazo de la cotización deben ser las mismas del contrato.</t>
  </si>
  <si>
    <t xml:space="preserve">COTIZACIÓN</t>
  </si>
  <si>
    <t xml:space="preserve">Cotización:</t>
  </si>
  <si>
    <t xml:space="preserve">Fecha:</t>
  </si>
  <si>
    <t xml:space="preserve">Cliente:</t>
  </si>
  <si>
    <t xml:space="preserve">Atención:</t>
  </si>
  <si>
    <t xml:space="preserve">Obra:</t>
  </si>
  <si>
    <t xml:space="preserve">Ubicación:</t>
  </si>
  <si>
    <t xml:space="preserve">Clave</t>
  </si>
  <si>
    <t xml:space="preserve">Descripción</t>
  </si>
  <si>
    <t xml:space="preserve">Unidad</t>
  </si>
  <si>
    <t xml:space="preserve">Cantidad</t>
  </si>
  <si>
    <t xml:space="preserve">P.U. (sin IVA)</t>
  </si>
  <si>
    <t xml:space="preserve">Importe</t>
  </si>
  <si>
    <t xml:space="preserve">Subtotal</t>
  </si>
  <si>
    <t xml:space="preserve">IVA</t>
  </si>
  <si>
    <t xml:space="preserve">TOTAL</t>
  </si>
  <si>
    <t xml:space="preserve">Condiciones</t>
  </si>
  <si>
    <t xml:space="preserve">Vigencia:</t>
  </si>
  <si>
    <t xml:space="preserve">La aceptación de esta cotización se formaliza mediante el contrato de obra correspondiente.</t>
  </si>
  <si>
    <t xml:space="preserve">__________________________________</t>
  </si>
  <si>
    <t xml:space="preserve">Ing. Miguel Estrada</t>
  </si>
  <si>
    <t xml:space="preserve">Vértice Ingeniería, Arquitectura y Proyectos</t>
  </si>
  <si>
    <t xml:space="preserve">Teléfono · correo</t>
  </si>
  <si>
    <t xml:space="preserve">COTIZACIÓN — DATOS Y SOBRECOSTO</t>
  </si>
  <si>
    <t xml:space="preserve">Contrato:</t>
  </si>
  <si>
    <t xml:space="preserve">Cotización número</t>
  </si>
  <si>
    <t xml:space="preserve">COT-2026-001</t>
  </si>
  <si>
    <t xml:space="preserve">Fecha</t>
  </si>
  <si>
    <t xml:space="preserve">Vigencia (días naturales)</t>
  </si>
  <si>
    <t xml:space="preserve">Cliente</t>
  </si>
  <si>
    <t xml:space="preserve">Atención</t>
  </si>
  <si>
    <t xml:space="preserve">Obra</t>
  </si>
  <si>
    <t xml:space="preserve">Ubicación</t>
  </si>
  <si>
    <t xml:space="preserve">Tijuana, Baja California</t>
  </si>
  <si>
    <t xml:space="preserve">SOBRECOSTO</t>
  </si>
  <si>
    <t xml:space="preserve">Indirectos de oficina</t>
  </si>
  <si>
    <t xml:space="preserve">Indirectos de campo</t>
  </si>
  <si>
    <t xml:space="preserve">Calculado en la hoja Indirectos</t>
  </si>
  <si>
    <t xml:space="preserve">Financiamiento</t>
  </si>
  <si>
    <t xml:space="preserve">Usa el costo financiero del libro Flujo_de_Caja</t>
  </si>
  <si>
    <t xml:space="preserve">Utilidad</t>
  </si>
  <si>
    <t xml:space="preserve">Cargos adicionales</t>
  </si>
  <si>
    <t xml:space="preserve">Factor de sobrecosto</t>
  </si>
  <si>
    <t xml:space="preserve">(1+ind)(1+fin)(1+util)(1+cargos), igual que VERTICE-CALCULO</t>
  </si>
  <si>
    <t xml:space="preserve">8 % región fronteriza norte (Decreto vigente hasta 31-dic-2026)</t>
  </si>
  <si>
    <t xml:space="preserve">CONDICIONES COMERCIALES</t>
  </si>
  <si>
    <t xml:space="preserve">Anticipo</t>
  </si>
  <si>
    <t xml:space="preserve">30 % a la firma del contrato</t>
  </si>
  <si>
    <t xml:space="preserve">Forma de pago</t>
  </si>
  <si>
    <t xml:space="preserve">Estimaciones quincenales por avance, pagaderas a 15 días</t>
  </si>
  <si>
    <t xml:space="preserve">Tiempo de ejecución</t>
  </si>
  <si>
    <t xml:space="preserve">60 días naturales a partir del anticipo y la entrega del sitio</t>
  </si>
  <si>
    <t xml:space="preserve">Incluye</t>
  </si>
  <si>
    <t xml:space="preserve">Materiales, mano de obra, herramienta, equipo, fletes, limpieza y retiro de escombro</t>
  </si>
  <si>
    <t xml:space="preserve">No incluye</t>
  </si>
  <si>
    <t xml:space="preserve">Licencias y derechos municipales, DRO y corresponsables, proyecto ejecutivo, mobiliario, trabajos no descritos</t>
  </si>
  <si>
    <t xml:space="preserve">Garantía</t>
  </si>
  <si>
    <t xml:space="preserve">12 meses contra vicios ocultos</t>
  </si>
  <si>
    <t xml:space="preserve">INDIRECTOS DE CAMPO</t>
  </si>
  <si>
    <t xml:space="preserve">Concepto</t>
  </si>
  <si>
    <t xml:space="preserve">Costo mensual / unitario</t>
  </si>
  <si>
    <t xml:space="preserve">Cantidad (meses o pzas)</t>
  </si>
  <si>
    <t xml:space="preserve">% de dedicación</t>
  </si>
  <si>
    <t xml:space="preserve">Total</t>
  </si>
  <si>
    <t xml:space="preserve">Superintendente de obra</t>
  </si>
  <si>
    <t xml:space="preserve">Residente / auxiliar técnico</t>
  </si>
  <si>
    <t xml:space="preserve">Responsable de seguridad (NOM-031)</t>
  </si>
  <si>
    <t xml:space="preserve">Bodeguero / velador</t>
  </si>
  <si>
    <t xml:space="preserve">Oficina, sanitario y bodega provisionales</t>
  </si>
  <si>
    <t xml:space="preserve">Fianzas (anticipo, cumplimiento y vicios)</t>
  </si>
  <si>
    <t xml:space="preserve">Seguro de responsabilidad civil</t>
  </si>
  <si>
    <t xml:space="preserve">Pruebas de laboratorio</t>
  </si>
  <si>
    <t xml:space="preserve">Limpieza final y señalización</t>
  </si>
  <si>
    <t xml:space="preserve">Total de indirectos de campo</t>
  </si>
  <si>
    <t xml:space="preserve">Porcentaje sobre costo directo</t>
  </si>
  <si>
    <t xml:space="preserve">ANÁLISIS DE COSTO DIRECTO Y PRECIO UNITARIO</t>
  </si>
  <si>
    <t xml:space="preserve">Materiales</t>
  </si>
  <si>
    <t xml:space="preserve">Mano de obra</t>
  </si>
  <si>
    <t xml:space="preserve">Equipo</t>
  </si>
  <si>
    <t xml:space="preserve">Herramienta menor (3 % MO)</t>
  </si>
  <si>
    <t xml:space="preserve">Subcontrato</t>
  </si>
  <si>
    <t xml:space="preserve">Costo directo unitario</t>
  </si>
  <si>
    <t xml:space="preserve">P.U. de venta</t>
  </si>
  <si>
    <t xml:space="preserve">Importe de venta</t>
  </si>
  <si>
    <t xml:space="preserve">PRE-01</t>
  </si>
  <si>
    <t xml:space="preserve">Demolición de muros de block y retiro de escombro fuera de obra</t>
  </si>
  <si>
    <t xml:space="preserve">m²</t>
  </si>
  <si>
    <t xml:space="preserve">TAB-01</t>
  </si>
  <si>
    <t xml:space="preserve">Muro de tablaroca 1 cara, bastidor cal. 26 @ 61 cm, juntas y cinta</t>
  </si>
  <si>
    <t xml:space="preserve">TAB-02</t>
  </si>
  <si>
    <t xml:space="preserve">Plafón de tablaroca a 3.00 m, incluye colgantes y canaleta</t>
  </si>
  <si>
    <t xml:space="preserve">ELE-01</t>
  </si>
  <si>
    <t xml:space="preserve">Salida eléctrica de contacto dúplex, cable cal. 12, tubería conduit</t>
  </si>
  <si>
    <t xml:space="preserve">sal</t>
  </si>
  <si>
    <t xml:space="preserve">ELE-02</t>
  </si>
  <si>
    <t xml:space="preserve">Salida de alumbrado con luminaria LED de empotrar 60×60</t>
  </si>
  <si>
    <t xml:space="preserve">HID-01</t>
  </si>
  <si>
    <t xml:space="preserve">Salida hidráulica y sanitaria para lavabo, PVC y CPVC</t>
  </si>
  <si>
    <t xml:space="preserve">PIS-01</t>
  </si>
  <si>
    <t xml:space="preserve">Piso porcelánico 60×60 asentado con adhesivo, incluye boquilla</t>
  </si>
  <si>
    <t xml:space="preserve">PIN-01</t>
  </si>
  <si>
    <t xml:space="preserve">Pintura vinílica 2 manos sobre tablaroca, incluye sellador</t>
  </si>
  <si>
    <t xml:space="preserve">TOTALES (costo directo y venta)</t>
  </si>
  <si>
    <t xml:space="preserve">Margen bruto sobre venta</t>
  </si>
  <si>
    <t xml:space="preserve">ANÁLISIS DE PRECIO UNITARIO (PLANTILLA)</t>
  </si>
  <si>
    <t xml:space="preserve">MATERIALES</t>
  </si>
  <si>
    <t xml:space="preserve">Insumo</t>
  </si>
  <si>
    <t xml:space="preserve">Precio (sin IVA)</t>
  </si>
  <si>
    <t xml:space="preserve">Fuente / cotización</t>
  </si>
  <si>
    <t xml:space="preserve">Panel de yeso 1/2" 1.22×2.44</t>
  </si>
  <si>
    <t xml:space="preserve">precios-obra- (ago 2026) + 10 % Tijuana</t>
  </si>
  <si>
    <t xml:space="preserve">Poste metálico cal. 26 de 3 m</t>
  </si>
  <si>
    <t xml:space="preserve">pza</t>
  </si>
  <si>
    <t xml:space="preserve">cotización</t>
  </si>
  <si>
    <t xml:space="preserve">Canal metálico cal. 26 de 3 m</t>
  </si>
  <si>
    <t xml:space="preserve">Tornillo, cinta y compuesto</t>
  </si>
  <si>
    <t xml:space="preserve">lote</t>
  </si>
  <si>
    <t xml:space="preserve">MANO DE OBRA</t>
  </si>
  <si>
    <t xml:space="preserve">Cuadrilla</t>
  </si>
  <si>
    <t xml:space="preserve">Cantidad (1/rend.)</t>
  </si>
  <si>
    <t xml:space="preserve">Salario real</t>
  </si>
  <si>
    <t xml:space="preserve">Rendimiento (m²/jor)</t>
  </si>
  <si>
    <t xml:space="preserve">1 oficial yesero + 1 ayudante (salario real con FSR)</t>
  </si>
  <si>
    <t xml:space="preserve">jor</t>
  </si>
  <si>
    <t xml:space="preserve">EQUIPO Y HERRAMIENTA</t>
  </si>
  <si>
    <t xml:space="preserve">Costo</t>
  </si>
  <si>
    <t xml:space="preserve">Nota</t>
  </si>
  <si>
    <t xml:space="preserve">Andamio tubular (cuerpo)</t>
  </si>
  <si>
    <t xml:space="preserve">jornada</t>
  </si>
  <si>
    <t xml:space="preserve">mano-obra.json</t>
  </si>
  <si>
    <t xml:space="preserve">Herramienta menor (% de MO)</t>
  </si>
  <si>
    <t xml:space="preserve">%</t>
  </si>
  <si>
    <t xml:space="preserve">3 % de la mano de obra</t>
  </si>
  <si>
    <t xml:space="preserve">COSTO DIRECTO</t>
  </si>
  <si>
    <t xml:space="preserve">× Factor de sobrecosto</t>
  </si>
  <si>
    <t xml:space="preserve">PRECIO UNITARIO</t>
  </si>
  <si>
    <t xml:space="preserve">Para APU con base de precios y FSR automáticos usa VERTICE-CALCULO: costos.apu_desde_base(db, rendimiento). Esta hoja es para análisis rápidos en obra.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</si>
</sst>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#,##0.00;\(#,##0.00\);\-"/>
    <numFmt numFmtId="167" formatCode="\$#,##0.00;&quot;($&quot;#,##0.00\);\-"/>
    <numFmt numFmtId="168" formatCode="0"/>
    <numFmt numFmtId="169" formatCode="0.0%;\(0.0%\);\-"/>
    <numFmt numFmtId="170" formatCode="0.0000"/>
    <numFmt numFmtId="171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D2328"/>
      <name val="Arial"/>
      <family val="0"/>
      <charset val="1"/>
    </font>
    <font>
      <b val="true"/>
      <sz val="11"/>
      <color rgb="FFB23B2E"/>
      <name val="Arial"/>
      <family val="0"/>
      <charset val="1"/>
    </font>
    <font>
      <sz val="9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name val="Arial"/>
      <family val="0"/>
      <charset val="1"/>
    </font>
    <font>
      <i val="true"/>
      <sz val="8"/>
      <color rgb="FF5B656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D2328"/>
        <bgColor rgb="FF333300"/>
      </patternFill>
    </fill>
    <fill>
      <patternFill patternType="solid">
        <fgColor rgb="FFE3E6E8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B23B2E"/>
      </bottom>
      <diagonal/>
    </border>
    <border diagonalUp="false" diagonalDown="false">
      <left style="thin">
        <color rgb="FFBFC5CA"/>
      </left>
      <right style="thin">
        <color rgb="FFBFC5CA"/>
      </right>
      <top style="thin">
        <color rgb="FFBFC5CA"/>
      </top>
      <bottom style="thin">
        <color rgb="FFBFC5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5CA"/>
      <rgbColor rgb="FF808080"/>
      <rgbColor rgb="FF9999FF"/>
      <rgbColor rgb="FF993366"/>
      <rgbColor rgb="FFFFF2CC"/>
      <rgbColor rgb="FFE3E6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56E"/>
      <rgbColor rgb="FF969696"/>
      <rgbColor rgb="FF003366"/>
      <rgbColor rgb="FF339966"/>
      <rgbColor rgb="FF003300"/>
      <rgbColor rgb="FF333300"/>
      <rgbColor rgb="FFB23B2E"/>
      <rgbColor rgb="FF993366"/>
      <rgbColor rgb="FF333399"/>
      <rgbColor rgb="FF1D23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2.35" hidden="false" customHeight="false" outlineLevel="0" collapsed="false">
      <c r="A5" s="4" t="s">
        <v>3</v>
      </c>
    </row>
    <row r="7" customFormat="false" ht="15" hidden="false" customHeight="false" outlineLevel="0" collapsed="false">
      <c r="A7" s="5" t="s">
        <v>4</v>
      </c>
    </row>
    <row r="8" customFormat="false" ht="22.35" hidden="false" customHeight="false" outlineLevel="0" collapsed="false">
      <c r="A8" s="6" t="s">
        <v>5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A10" s="6" t="s">
        <v>7</v>
      </c>
    </row>
    <row r="11" customFormat="false" ht="22.35" hidden="false" customHeight="false" outlineLevel="0" collapsed="false">
      <c r="A11" s="6" t="s">
        <v>8</v>
      </c>
    </row>
    <row r="12" customFormat="false" ht="22.35" hidden="false" customHeight="false" outlineLevel="0" collapsed="false">
      <c r="A12" s="6" t="s">
        <v>9</v>
      </c>
    </row>
    <row r="13" customFormat="false" ht="15" hidden="false" customHeight="false" outlineLevel="0" collapsed="false">
      <c r="A13" s="6" t="s">
        <v>10</v>
      </c>
    </row>
    <row r="14" customFormat="false" ht="15" hidden="false" customHeight="false" outlineLevel="0" collapsed="false">
      <c r="A14" s="5" t="s">
        <v>11</v>
      </c>
    </row>
    <row r="15" customFormat="false" ht="22.35" hidden="false" customHeight="false" outlineLevel="0" collapsed="false">
      <c r="A15" s="6" t="s">
        <v>12</v>
      </c>
    </row>
  </sheetData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6.15" hidden="false" customHeight="false" outlineLevel="0" collapsed="false">
      <c r="A1" s="7" t="s">
        <v>0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8" t="s">
        <v>13</v>
      </c>
      <c r="B2" s="8"/>
      <c r="C2" s="8"/>
      <c r="D2" s="8"/>
      <c r="E2" s="8"/>
      <c r="F2" s="8"/>
    </row>
    <row r="3" customFormat="false" ht="15" hidden="false" customHeight="false" outlineLevel="0" collapsed="false">
      <c r="A3" s="9" t="s">
        <v>14</v>
      </c>
      <c r="B3" s="10" t="str">
        <f aca="false">Datos!B6</f>
        <v>COT-2026-001</v>
      </c>
    </row>
    <row r="4" customFormat="false" ht="15" hidden="false" customHeight="false" outlineLevel="0" collapsed="false">
      <c r="A4" s="9" t="s">
        <v>15</v>
      </c>
      <c r="B4" s="11" t="n">
        <f aca="false">Datos!B7</f>
        <v>46314</v>
      </c>
    </row>
    <row r="5" customFormat="false" ht="15" hidden="false" customHeight="false" outlineLevel="0" collapsed="false">
      <c r="A5" s="9" t="s">
        <v>16</v>
      </c>
      <c r="B5" s="10" t="str">
        <f aca="false">""&amp;Datos!B9</f>
        <v/>
      </c>
    </row>
    <row r="6" customFormat="false" ht="15" hidden="false" customHeight="false" outlineLevel="0" collapsed="false">
      <c r="A6" s="9" t="s">
        <v>17</v>
      </c>
      <c r="B6" s="10" t="str">
        <f aca="false">""&amp;Datos!B10</f>
        <v/>
      </c>
    </row>
    <row r="7" customFormat="false" ht="15" hidden="false" customHeight="false" outlineLevel="0" collapsed="false">
      <c r="A7" s="9" t="s">
        <v>18</v>
      </c>
      <c r="B7" s="10" t="str">
        <f aca="false">""&amp;Datos!B11</f>
        <v/>
      </c>
    </row>
    <row r="8" customFormat="false" ht="15" hidden="false" customHeight="false" outlineLevel="0" collapsed="false">
      <c r="A8" s="9" t="s">
        <v>19</v>
      </c>
      <c r="B8" s="10" t="str">
        <f aca="false">""&amp;Datos!B12</f>
        <v>Tijuana, Baja California</v>
      </c>
    </row>
    <row r="10" customFormat="false" ht="30" hidden="false" customHeight="true" outlineLevel="0" collapsed="false">
      <c r="A10" s="12" t="s">
        <v>20</v>
      </c>
      <c r="B10" s="12" t="s">
        <v>21</v>
      </c>
      <c r="C10" s="12" t="s">
        <v>22</v>
      </c>
      <c r="D10" s="12" t="s">
        <v>23</v>
      </c>
      <c r="E10" s="12" t="s">
        <v>24</v>
      </c>
      <c r="F10" s="12" t="s">
        <v>25</v>
      </c>
    </row>
    <row r="11" customFormat="false" ht="15" hidden="false" customHeight="false" outlineLevel="0" collapsed="false">
      <c r="A11" s="13" t="str">
        <f aca="false">IF(Análisis!A7="","",Análisis!A7)</f>
        <v>PRE-01</v>
      </c>
      <c r="B11" s="14" t="str">
        <f aca="false">IF(Análisis!B7="","",Análisis!B7)</f>
        <v>Demolición de muros de block y retiro de escombro fuera de obra</v>
      </c>
      <c r="C11" s="13" t="str">
        <f aca="false">IF(Análisis!C7="","",Análisis!C7)</f>
        <v>m²</v>
      </c>
      <c r="D11" s="15" t="n">
        <f aca="false">IF(Análisis!D7="","",Análisis!D7)</f>
        <v>45</v>
      </c>
      <c r="E11" s="16" t="n">
        <f aca="false">IF(Análisis!A7="","",Análisis!K7)</f>
        <v>180.16</v>
      </c>
      <c r="F11" s="16" t="n">
        <f aca="false">IF(Análisis!A7="","",Análisis!L7)</f>
        <v>8107.2</v>
      </c>
    </row>
    <row r="12" customFormat="false" ht="15" hidden="false" customHeight="false" outlineLevel="0" collapsed="false">
      <c r="A12" s="13" t="str">
        <f aca="false">IF(Análisis!A8="","",Análisis!A8)</f>
        <v>TAB-01</v>
      </c>
      <c r="B12" s="14" t="str">
        <f aca="false">IF(Análisis!B8="","",Análisis!B8)</f>
        <v>Muro de tablaroca 1 cara, bastidor cal. 26 @ 61 cm, juntas y cinta</v>
      </c>
      <c r="C12" s="13" t="str">
        <f aca="false">IF(Análisis!C8="","",Análisis!C8)</f>
        <v>m²</v>
      </c>
      <c r="D12" s="15" t="n">
        <f aca="false">IF(Análisis!D8="","",Análisis!D8)</f>
        <v>210</v>
      </c>
      <c r="E12" s="16" t="n">
        <f aca="false">IF(Análisis!A8="","",Análisis!K8)</f>
        <v>511.46</v>
      </c>
      <c r="F12" s="16" t="n">
        <f aca="false">IF(Análisis!A8="","",Análisis!L8)</f>
        <v>107406.6</v>
      </c>
    </row>
    <row r="13" customFormat="false" ht="15" hidden="false" customHeight="false" outlineLevel="0" collapsed="false">
      <c r="A13" s="13" t="str">
        <f aca="false">IF(Análisis!A9="","",Análisis!A9)</f>
        <v>TAB-02</v>
      </c>
      <c r="B13" s="14" t="str">
        <f aca="false">IF(Análisis!B9="","",Análisis!B9)</f>
        <v>Plafón de tablaroca a 3.00 m, incluye colgantes y canaleta</v>
      </c>
      <c r="C13" s="13" t="str">
        <f aca="false">IF(Análisis!C9="","",Análisis!C9)</f>
        <v>m²</v>
      </c>
      <c r="D13" s="15" t="n">
        <f aca="false">IF(Análisis!D9="","",Análisis!D9)</f>
        <v>180</v>
      </c>
      <c r="E13" s="16" t="n">
        <f aca="false">IF(Análisis!A9="","",Análisis!K9)</f>
        <v>600.78</v>
      </c>
      <c r="F13" s="16" t="n">
        <f aca="false">IF(Análisis!A9="","",Análisis!L9)</f>
        <v>108140.4</v>
      </c>
    </row>
    <row r="14" customFormat="false" ht="15" hidden="false" customHeight="false" outlineLevel="0" collapsed="false">
      <c r="A14" s="13" t="str">
        <f aca="false">IF(Análisis!A10="","",Análisis!A10)</f>
        <v>ELE-01</v>
      </c>
      <c r="B14" s="14" t="str">
        <f aca="false">IF(Análisis!B10="","",Análisis!B10)</f>
        <v>Salida eléctrica de contacto dúplex, cable cal. 12, tubería conduit</v>
      </c>
      <c r="C14" s="13" t="str">
        <f aca="false">IF(Análisis!C10="","",Análisis!C10)</f>
        <v>sal</v>
      </c>
      <c r="D14" s="15" t="n">
        <f aca="false">IF(Análisis!D10="","",Análisis!D10)</f>
        <v>48</v>
      </c>
      <c r="E14" s="16" t="n">
        <f aca="false">IF(Análisis!A10="","",Análisis!K10)</f>
        <v>894.78</v>
      </c>
      <c r="F14" s="16" t="n">
        <f aca="false">IF(Análisis!A10="","",Análisis!L10)</f>
        <v>42949.44</v>
      </c>
    </row>
    <row r="15" customFormat="false" ht="15" hidden="false" customHeight="false" outlineLevel="0" collapsed="false">
      <c r="A15" s="13" t="str">
        <f aca="false">IF(Análisis!A11="","",Análisis!A11)</f>
        <v>ELE-02</v>
      </c>
      <c r="B15" s="14" t="str">
        <f aca="false">IF(Análisis!B11="","",Análisis!B11)</f>
        <v>Salida de alumbrado con luminaria LED de empotrar 60×60</v>
      </c>
      <c r="C15" s="13" t="str">
        <f aca="false">IF(Análisis!C11="","",Análisis!C11)</f>
        <v>sal</v>
      </c>
      <c r="D15" s="15" t="n">
        <f aca="false">IF(Análisis!D11="","",Análisis!D11)</f>
        <v>36</v>
      </c>
      <c r="E15" s="16" t="n">
        <f aca="false">IF(Análisis!A11="","",Análisis!K11)</f>
        <v>1633.47</v>
      </c>
      <c r="F15" s="16" t="n">
        <f aca="false">IF(Análisis!A11="","",Análisis!L11)</f>
        <v>58804.92</v>
      </c>
    </row>
    <row r="16" customFormat="false" ht="15" hidden="false" customHeight="false" outlineLevel="0" collapsed="false">
      <c r="A16" s="13" t="str">
        <f aca="false">IF(Análisis!A12="","",Análisis!A12)</f>
        <v>HID-01</v>
      </c>
      <c r="B16" s="14" t="str">
        <f aca="false">IF(Análisis!B12="","",Análisis!B12)</f>
        <v>Salida hidráulica y sanitaria para lavabo, PVC y CPVC</v>
      </c>
      <c r="C16" s="13" t="str">
        <f aca="false">IF(Análisis!C12="","",Análisis!C12)</f>
        <v>sal</v>
      </c>
      <c r="D16" s="15" t="n">
        <f aca="false">IF(Análisis!D12="","",Análisis!D12)</f>
        <v>6</v>
      </c>
      <c r="E16" s="16" t="n">
        <f aca="false">IF(Análisis!A12="","",Análisis!K12)</f>
        <v>2334.85</v>
      </c>
      <c r="F16" s="16" t="n">
        <f aca="false">IF(Análisis!A12="","",Análisis!L12)</f>
        <v>14009.1</v>
      </c>
    </row>
    <row r="17" customFormat="false" ht="15" hidden="false" customHeight="false" outlineLevel="0" collapsed="false">
      <c r="A17" s="13" t="str">
        <f aca="false">IF(Análisis!A13="","",Análisis!A13)</f>
        <v>PIS-01</v>
      </c>
      <c r="B17" s="14" t="str">
        <f aca="false">IF(Análisis!B13="","",Análisis!B13)</f>
        <v>Piso porcelánico 60×60 asentado con adhesivo, incluye boquilla</v>
      </c>
      <c r="C17" s="13" t="str">
        <f aca="false">IF(Análisis!C13="","",Análisis!C13)</f>
        <v>m²</v>
      </c>
      <c r="D17" s="15" t="n">
        <f aca="false">IF(Análisis!D13="","",Análisis!D13)</f>
        <v>175</v>
      </c>
      <c r="E17" s="16" t="n">
        <f aca="false">IF(Análisis!A13="","",Análisis!K13)</f>
        <v>746.2</v>
      </c>
      <c r="F17" s="16" t="n">
        <f aca="false">IF(Análisis!A13="","",Análisis!L13)</f>
        <v>130585</v>
      </c>
    </row>
    <row r="18" customFormat="false" ht="15" hidden="false" customHeight="false" outlineLevel="0" collapsed="false">
      <c r="A18" s="13" t="str">
        <f aca="false">IF(Análisis!A14="","",Análisis!A14)</f>
        <v>PIN-01</v>
      </c>
      <c r="B18" s="14" t="str">
        <f aca="false">IF(Análisis!B14="","",Análisis!B14)</f>
        <v>Pintura vinílica 2 manos sobre tablaroca, incluye sellador</v>
      </c>
      <c r="C18" s="13" t="str">
        <f aca="false">IF(Análisis!C14="","",Análisis!C14)</f>
        <v>m²</v>
      </c>
      <c r="D18" s="15" t="n">
        <f aca="false">IF(Análisis!D14="","",Análisis!D14)</f>
        <v>560</v>
      </c>
      <c r="E18" s="16" t="n">
        <f aca="false">IF(Análisis!A14="","",Análisis!K14)</f>
        <v>93.79</v>
      </c>
      <c r="F18" s="16" t="n">
        <f aca="false">IF(Análisis!A14="","",Análisis!L14)</f>
        <v>52522.4</v>
      </c>
    </row>
    <row r="19" customFormat="false" ht="15" hidden="false" customHeight="false" outlineLevel="0" collapsed="false">
      <c r="A19" s="13" t="str">
        <f aca="false">IF(Análisis!A15="","",Análisis!A15)</f>
        <v/>
      </c>
      <c r="B19" s="14" t="str">
        <f aca="false">IF(Análisis!B15="","",Análisis!B15)</f>
        <v/>
      </c>
      <c r="C19" s="13" t="str">
        <f aca="false">IF(Análisis!C15="","",Análisis!C15)</f>
        <v/>
      </c>
      <c r="D19" s="15" t="str">
        <f aca="false">IF(Análisis!D15="","",Análisis!D15)</f>
        <v/>
      </c>
      <c r="E19" s="16" t="str">
        <f aca="false">IF(Análisis!A15="","",Análisis!K15)</f>
        <v/>
      </c>
      <c r="F19" s="16" t="str">
        <f aca="false">IF(Análisis!A15="","",Análisis!L15)</f>
        <v/>
      </c>
    </row>
    <row r="20" customFormat="false" ht="15" hidden="false" customHeight="false" outlineLevel="0" collapsed="false">
      <c r="A20" s="13" t="str">
        <f aca="false">IF(Análisis!A16="","",Análisis!A16)</f>
        <v/>
      </c>
      <c r="B20" s="14" t="str">
        <f aca="false">IF(Análisis!B16="","",Análisis!B16)</f>
        <v/>
      </c>
      <c r="C20" s="13" t="str">
        <f aca="false">IF(Análisis!C16="","",Análisis!C16)</f>
        <v/>
      </c>
      <c r="D20" s="15" t="str">
        <f aca="false">IF(Análisis!D16="","",Análisis!D16)</f>
        <v/>
      </c>
      <c r="E20" s="16" t="str">
        <f aca="false">IF(Análisis!A16="","",Análisis!K16)</f>
        <v/>
      </c>
      <c r="F20" s="16" t="str">
        <f aca="false">IF(Análisis!A16="","",Análisis!L16)</f>
        <v/>
      </c>
    </row>
    <row r="21" customFormat="false" ht="15" hidden="false" customHeight="false" outlineLevel="0" collapsed="false">
      <c r="A21" s="13" t="str">
        <f aca="false">IF(Análisis!A17="","",Análisis!A17)</f>
        <v/>
      </c>
      <c r="B21" s="14" t="str">
        <f aca="false">IF(Análisis!B17="","",Análisis!B17)</f>
        <v/>
      </c>
      <c r="C21" s="13" t="str">
        <f aca="false">IF(Análisis!C17="","",Análisis!C17)</f>
        <v/>
      </c>
      <c r="D21" s="15" t="str">
        <f aca="false">IF(Análisis!D17="","",Análisis!D17)</f>
        <v/>
      </c>
      <c r="E21" s="16" t="str">
        <f aca="false">IF(Análisis!A17="","",Análisis!K17)</f>
        <v/>
      </c>
      <c r="F21" s="16" t="str">
        <f aca="false">IF(Análisis!A17="","",Análisis!L17)</f>
        <v/>
      </c>
    </row>
    <row r="22" customFormat="false" ht="15" hidden="false" customHeight="false" outlineLevel="0" collapsed="false">
      <c r="A22" s="13" t="str">
        <f aca="false">IF(Análisis!A18="","",Análisis!A18)</f>
        <v/>
      </c>
      <c r="B22" s="14" t="str">
        <f aca="false">IF(Análisis!B18="","",Análisis!B18)</f>
        <v/>
      </c>
      <c r="C22" s="13" t="str">
        <f aca="false">IF(Análisis!C18="","",Análisis!C18)</f>
        <v/>
      </c>
      <c r="D22" s="15" t="str">
        <f aca="false">IF(Análisis!D18="","",Análisis!D18)</f>
        <v/>
      </c>
      <c r="E22" s="16" t="str">
        <f aca="false">IF(Análisis!A18="","",Análisis!K18)</f>
        <v/>
      </c>
      <c r="F22" s="16" t="str">
        <f aca="false">IF(Análisis!A18="","",Análisis!L18)</f>
        <v/>
      </c>
    </row>
    <row r="23" customFormat="false" ht="15" hidden="false" customHeight="false" outlineLevel="0" collapsed="false">
      <c r="A23" s="13" t="str">
        <f aca="false">IF(Análisis!A19="","",Análisis!A19)</f>
        <v/>
      </c>
      <c r="B23" s="14" t="str">
        <f aca="false">IF(Análisis!B19="","",Análisis!B19)</f>
        <v/>
      </c>
      <c r="C23" s="13" t="str">
        <f aca="false">IF(Análisis!C19="","",Análisis!C19)</f>
        <v/>
      </c>
      <c r="D23" s="15" t="str">
        <f aca="false">IF(Análisis!D19="","",Análisis!D19)</f>
        <v/>
      </c>
      <c r="E23" s="16" t="str">
        <f aca="false">IF(Análisis!A19="","",Análisis!K19)</f>
        <v/>
      </c>
      <c r="F23" s="16" t="str">
        <f aca="false">IF(Análisis!A19="","",Análisis!L19)</f>
        <v/>
      </c>
    </row>
    <row r="24" customFormat="false" ht="15" hidden="false" customHeight="false" outlineLevel="0" collapsed="false">
      <c r="A24" s="13" t="str">
        <f aca="false">IF(Análisis!A20="","",Análisis!A20)</f>
        <v/>
      </c>
      <c r="B24" s="14" t="str">
        <f aca="false">IF(Análisis!B20="","",Análisis!B20)</f>
        <v/>
      </c>
      <c r="C24" s="13" t="str">
        <f aca="false">IF(Análisis!C20="","",Análisis!C20)</f>
        <v/>
      </c>
      <c r="D24" s="15" t="str">
        <f aca="false">IF(Análisis!D20="","",Análisis!D20)</f>
        <v/>
      </c>
      <c r="E24" s="16" t="str">
        <f aca="false">IF(Análisis!A20="","",Análisis!K20)</f>
        <v/>
      </c>
      <c r="F24" s="16" t="str">
        <f aca="false">IF(Análisis!A20="","",Análisis!L20)</f>
        <v/>
      </c>
    </row>
    <row r="25" customFormat="false" ht="15" hidden="false" customHeight="false" outlineLevel="0" collapsed="false">
      <c r="A25" s="13" t="str">
        <f aca="false">IF(Análisis!A21="","",Análisis!A21)</f>
        <v/>
      </c>
      <c r="B25" s="14" t="str">
        <f aca="false">IF(Análisis!B21="","",Análisis!B21)</f>
        <v/>
      </c>
      <c r="C25" s="13" t="str">
        <f aca="false">IF(Análisis!C21="","",Análisis!C21)</f>
        <v/>
      </c>
      <c r="D25" s="15" t="str">
        <f aca="false">IF(Análisis!D21="","",Análisis!D21)</f>
        <v/>
      </c>
      <c r="E25" s="16" t="str">
        <f aca="false">IF(Análisis!A21="","",Análisis!K21)</f>
        <v/>
      </c>
      <c r="F25" s="16" t="str">
        <f aca="false">IF(Análisis!A21="","",Análisis!L21)</f>
        <v/>
      </c>
    </row>
    <row r="26" customFormat="false" ht="15" hidden="false" customHeight="false" outlineLevel="0" collapsed="false">
      <c r="A26" s="13" t="str">
        <f aca="false">IF(Análisis!A22="","",Análisis!A22)</f>
        <v/>
      </c>
      <c r="B26" s="14" t="str">
        <f aca="false">IF(Análisis!B22="","",Análisis!B22)</f>
        <v/>
      </c>
      <c r="C26" s="13" t="str">
        <f aca="false">IF(Análisis!C22="","",Análisis!C22)</f>
        <v/>
      </c>
      <c r="D26" s="15" t="str">
        <f aca="false">IF(Análisis!D22="","",Análisis!D22)</f>
        <v/>
      </c>
      <c r="E26" s="16" t="str">
        <f aca="false">IF(Análisis!A22="","",Análisis!K22)</f>
        <v/>
      </c>
      <c r="F26" s="16" t="str">
        <f aca="false">IF(Análisis!A22="","",Análisis!L22)</f>
        <v/>
      </c>
    </row>
    <row r="27" customFormat="false" ht="15" hidden="false" customHeight="false" outlineLevel="0" collapsed="false">
      <c r="A27" s="13" t="str">
        <f aca="false">IF(Análisis!A23="","",Análisis!A23)</f>
        <v/>
      </c>
      <c r="B27" s="14" t="str">
        <f aca="false">IF(Análisis!B23="","",Análisis!B23)</f>
        <v/>
      </c>
      <c r="C27" s="13" t="str">
        <f aca="false">IF(Análisis!C23="","",Análisis!C23)</f>
        <v/>
      </c>
      <c r="D27" s="15" t="str">
        <f aca="false">IF(Análisis!D23="","",Análisis!D23)</f>
        <v/>
      </c>
      <c r="E27" s="16" t="str">
        <f aca="false">IF(Análisis!A23="","",Análisis!K23)</f>
        <v/>
      </c>
      <c r="F27" s="16" t="str">
        <f aca="false">IF(Análisis!A23="","",Análisis!L23)</f>
        <v/>
      </c>
    </row>
    <row r="28" customFormat="false" ht="15" hidden="false" customHeight="false" outlineLevel="0" collapsed="false">
      <c r="A28" s="13" t="str">
        <f aca="false">IF(Análisis!A24="","",Análisis!A24)</f>
        <v/>
      </c>
      <c r="B28" s="14" t="str">
        <f aca="false">IF(Análisis!B24="","",Análisis!B24)</f>
        <v/>
      </c>
      <c r="C28" s="13" t="str">
        <f aca="false">IF(Análisis!C24="","",Análisis!C24)</f>
        <v/>
      </c>
      <c r="D28" s="15" t="str">
        <f aca="false">IF(Análisis!D24="","",Análisis!D24)</f>
        <v/>
      </c>
      <c r="E28" s="16" t="str">
        <f aca="false">IF(Análisis!A24="","",Análisis!K24)</f>
        <v/>
      </c>
      <c r="F28" s="16" t="str">
        <f aca="false">IF(Análisis!A24="","",Análisis!L24)</f>
        <v/>
      </c>
    </row>
    <row r="29" customFormat="false" ht="15" hidden="false" customHeight="false" outlineLevel="0" collapsed="false">
      <c r="A29" s="13" t="str">
        <f aca="false">IF(Análisis!A25="","",Análisis!A25)</f>
        <v/>
      </c>
      <c r="B29" s="14" t="str">
        <f aca="false">IF(Análisis!B25="","",Análisis!B25)</f>
        <v/>
      </c>
      <c r="C29" s="13" t="str">
        <f aca="false">IF(Análisis!C25="","",Análisis!C25)</f>
        <v/>
      </c>
      <c r="D29" s="15" t="str">
        <f aca="false">IF(Análisis!D25="","",Análisis!D25)</f>
        <v/>
      </c>
      <c r="E29" s="16" t="str">
        <f aca="false">IF(Análisis!A25="","",Análisis!K25)</f>
        <v/>
      </c>
      <c r="F29" s="16" t="str">
        <f aca="false">IF(Análisis!A25="","",Análisis!L25)</f>
        <v/>
      </c>
    </row>
    <row r="30" customFormat="false" ht="15" hidden="false" customHeight="false" outlineLevel="0" collapsed="false">
      <c r="A30" s="13" t="str">
        <f aca="false">IF(Análisis!A26="","",Análisis!A26)</f>
        <v/>
      </c>
      <c r="B30" s="14" t="str">
        <f aca="false">IF(Análisis!B26="","",Análisis!B26)</f>
        <v/>
      </c>
      <c r="C30" s="13" t="str">
        <f aca="false">IF(Análisis!C26="","",Análisis!C26)</f>
        <v/>
      </c>
      <c r="D30" s="15" t="str">
        <f aca="false">IF(Análisis!D26="","",Análisis!D26)</f>
        <v/>
      </c>
      <c r="E30" s="16" t="str">
        <f aca="false">IF(Análisis!A26="","",Análisis!K26)</f>
        <v/>
      </c>
      <c r="F30" s="16" t="str">
        <f aca="false">IF(Análisis!A26="","",Análisis!L26)</f>
        <v/>
      </c>
    </row>
    <row r="31" customFormat="false" ht="15" hidden="false" customHeight="false" outlineLevel="0" collapsed="false">
      <c r="A31" s="13" t="str">
        <f aca="false">IF(Análisis!A27="","",Análisis!A27)</f>
        <v/>
      </c>
      <c r="B31" s="14" t="str">
        <f aca="false">IF(Análisis!B27="","",Análisis!B27)</f>
        <v/>
      </c>
      <c r="C31" s="13" t="str">
        <f aca="false">IF(Análisis!C27="","",Análisis!C27)</f>
        <v/>
      </c>
      <c r="D31" s="15" t="str">
        <f aca="false">IF(Análisis!D27="","",Análisis!D27)</f>
        <v/>
      </c>
      <c r="E31" s="16" t="str">
        <f aca="false">IF(Análisis!A27="","",Análisis!K27)</f>
        <v/>
      </c>
      <c r="F31" s="16" t="str">
        <f aca="false">IF(Análisis!A27="","",Análisis!L27)</f>
        <v/>
      </c>
    </row>
    <row r="32" customFormat="false" ht="15" hidden="false" customHeight="false" outlineLevel="0" collapsed="false">
      <c r="A32" s="13" t="str">
        <f aca="false">IF(Análisis!A28="","",Análisis!A28)</f>
        <v/>
      </c>
      <c r="B32" s="14" t="str">
        <f aca="false">IF(Análisis!B28="","",Análisis!B28)</f>
        <v/>
      </c>
      <c r="C32" s="13" t="str">
        <f aca="false">IF(Análisis!C28="","",Análisis!C28)</f>
        <v/>
      </c>
      <c r="D32" s="15" t="str">
        <f aca="false">IF(Análisis!D28="","",Análisis!D28)</f>
        <v/>
      </c>
      <c r="E32" s="16" t="str">
        <f aca="false">IF(Análisis!A28="","",Análisis!K28)</f>
        <v/>
      </c>
      <c r="F32" s="16" t="str">
        <f aca="false">IF(Análisis!A28="","",Análisis!L28)</f>
        <v/>
      </c>
    </row>
    <row r="33" customFormat="false" ht="15" hidden="false" customHeight="false" outlineLevel="0" collapsed="false">
      <c r="A33" s="13" t="str">
        <f aca="false">IF(Análisis!A29="","",Análisis!A29)</f>
        <v/>
      </c>
      <c r="B33" s="14" t="str">
        <f aca="false">IF(Análisis!B29="","",Análisis!B29)</f>
        <v/>
      </c>
      <c r="C33" s="13" t="str">
        <f aca="false">IF(Análisis!C29="","",Análisis!C29)</f>
        <v/>
      </c>
      <c r="D33" s="15" t="str">
        <f aca="false">IF(Análisis!D29="","",Análisis!D29)</f>
        <v/>
      </c>
      <c r="E33" s="16" t="str">
        <f aca="false">IF(Análisis!A29="","",Análisis!K29)</f>
        <v/>
      </c>
      <c r="F33" s="16" t="str">
        <f aca="false">IF(Análisis!A29="","",Análisis!L29)</f>
        <v/>
      </c>
    </row>
    <row r="34" customFormat="false" ht="15" hidden="false" customHeight="false" outlineLevel="0" collapsed="false">
      <c r="A34" s="13" t="str">
        <f aca="false">IF(Análisis!A30="","",Análisis!A30)</f>
        <v/>
      </c>
      <c r="B34" s="14" t="str">
        <f aca="false">IF(Análisis!B30="","",Análisis!B30)</f>
        <v/>
      </c>
      <c r="C34" s="13" t="str">
        <f aca="false">IF(Análisis!C30="","",Análisis!C30)</f>
        <v/>
      </c>
      <c r="D34" s="15" t="str">
        <f aca="false">IF(Análisis!D30="","",Análisis!D30)</f>
        <v/>
      </c>
      <c r="E34" s="16" t="str">
        <f aca="false">IF(Análisis!A30="","",Análisis!K30)</f>
        <v/>
      </c>
      <c r="F34" s="16" t="str">
        <f aca="false">IF(Análisis!A30="","",Análisis!L30)</f>
        <v/>
      </c>
    </row>
    <row r="35" customFormat="false" ht="15" hidden="false" customHeight="false" outlineLevel="0" collapsed="false">
      <c r="A35" s="13" t="str">
        <f aca="false">IF(Análisis!A31="","",Análisis!A31)</f>
        <v/>
      </c>
      <c r="B35" s="14" t="str">
        <f aca="false">IF(Análisis!B31="","",Análisis!B31)</f>
        <v/>
      </c>
      <c r="C35" s="13" t="str">
        <f aca="false">IF(Análisis!C31="","",Análisis!C31)</f>
        <v/>
      </c>
      <c r="D35" s="15" t="str">
        <f aca="false">IF(Análisis!D31="","",Análisis!D31)</f>
        <v/>
      </c>
      <c r="E35" s="16" t="str">
        <f aca="false">IF(Análisis!A31="","",Análisis!K31)</f>
        <v/>
      </c>
      <c r="F35" s="16" t="str">
        <f aca="false">IF(Análisis!A31="","",Análisis!L31)</f>
        <v/>
      </c>
    </row>
    <row r="36" customFormat="false" ht="15" hidden="false" customHeight="false" outlineLevel="0" collapsed="false">
      <c r="A36" s="13" t="str">
        <f aca="false">IF(Análisis!A32="","",Análisis!A32)</f>
        <v/>
      </c>
      <c r="B36" s="14" t="str">
        <f aca="false">IF(Análisis!B32="","",Análisis!B32)</f>
        <v/>
      </c>
      <c r="C36" s="13" t="str">
        <f aca="false">IF(Análisis!C32="","",Análisis!C32)</f>
        <v/>
      </c>
      <c r="D36" s="15" t="str">
        <f aca="false">IF(Análisis!D32="","",Análisis!D32)</f>
        <v/>
      </c>
      <c r="E36" s="16" t="str">
        <f aca="false">IF(Análisis!A32="","",Análisis!K32)</f>
        <v/>
      </c>
      <c r="F36" s="16" t="str">
        <f aca="false">IF(Análisis!A32="","",Análisis!L32)</f>
        <v/>
      </c>
    </row>
    <row r="37" customFormat="false" ht="15" hidden="false" customHeight="false" outlineLevel="0" collapsed="false">
      <c r="A37" s="13" t="str">
        <f aca="false">IF(Análisis!A33="","",Análisis!A33)</f>
        <v/>
      </c>
      <c r="B37" s="14" t="str">
        <f aca="false">IF(Análisis!B33="","",Análisis!B33)</f>
        <v/>
      </c>
      <c r="C37" s="13" t="str">
        <f aca="false">IF(Análisis!C33="","",Análisis!C33)</f>
        <v/>
      </c>
      <c r="D37" s="15" t="str">
        <f aca="false">IF(Análisis!D33="","",Análisis!D33)</f>
        <v/>
      </c>
      <c r="E37" s="16" t="str">
        <f aca="false">IF(Análisis!A33="","",Análisis!K33)</f>
        <v/>
      </c>
      <c r="F37" s="16" t="str">
        <f aca="false">IF(Análisis!A33="","",Análisis!L33)</f>
        <v/>
      </c>
    </row>
    <row r="38" customFormat="false" ht="15" hidden="false" customHeight="false" outlineLevel="0" collapsed="false">
      <c r="A38" s="13" t="str">
        <f aca="false">IF(Análisis!A34="","",Análisis!A34)</f>
        <v/>
      </c>
      <c r="B38" s="14" t="str">
        <f aca="false">IF(Análisis!B34="","",Análisis!B34)</f>
        <v/>
      </c>
      <c r="C38" s="13" t="str">
        <f aca="false">IF(Análisis!C34="","",Análisis!C34)</f>
        <v/>
      </c>
      <c r="D38" s="15" t="str">
        <f aca="false">IF(Análisis!D34="","",Análisis!D34)</f>
        <v/>
      </c>
      <c r="E38" s="16" t="str">
        <f aca="false">IF(Análisis!A34="","",Análisis!K34)</f>
        <v/>
      </c>
      <c r="F38" s="16" t="str">
        <f aca="false">IF(Análisis!A34="","",Análisis!L34)</f>
        <v/>
      </c>
    </row>
    <row r="39" customFormat="false" ht="15" hidden="false" customHeight="false" outlineLevel="0" collapsed="false">
      <c r="A39" s="13" t="str">
        <f aca="false">IF(Análisis!A35="","",Análisis!A35)</f>
        <v/>
      </c>
      <c r="B39" s="14" t="str">
        <f aca="false">IF(Análisis!B35="","",Análisis!B35)</f>
        <v/>
      </c>
      <c r="C39" s="13" t="str">
        <f aca="false">IF(Análisis!C35="","",Análisis!C35)</f>
        <v/>
      </c>
      <c r="D39" s="15" t="str">
        <f aca="false">IF(Análisis!D35="","",Análisis!D35)</f>
        <v/>
      </c>
      <c r="E39" s="16" t="str">
        <f aca="false">IF(Análisis!A35="","",Análisis!K35)</f>
        <v/>
      </c>
      <c r="F39" s="16" t="str">
        <f aca="false">IF(Análisis!A35="","",Análisis!L35)</f>
        <v/>
      </c>
    </row>
    <row r="40" customFormat="false" ht="15" hidden="false" customHeight="false" outlineLevel="0" collapsed="false">
      <c r="A40" s="13" t="str">
        <f aca="false">IF(Análisis!A36="","",Análisis!A36)</f>
        <v/>
      </c>
      <c r="B40" s="14" t="str">
        <f aca="false">IF(Análisis!B36="","",Análisis!B36)</f>
        <v/>
      </c>
      <c r="C40" s="13" t="str">
        <f aca="false">IF(Análisis!C36="","",Análisis!C36)</f>
        <v/>
      </c>
      <c r="D40" s="15" t="str">
        <f aca="false">IF(Análisis!D36="","",Análisis!D36)</f>
        <v/>
      </c>
      <c r="E40" s="16" t="str">
        <f aca="false">IF(Análisis!A36="","",Análisis!K36)</f>
        <v/>
      </c>
      <c r="F40" s="16" t="str">
        <f aca="false">IF(Análisis!A36="","",Análisis!L36)</f>
        <v/>
      </c>
    </row>
    <row r="41" customFormat="false" ht="15" hidden="false" customHeight="false" outlineLevel="0" collapsed="false">
      <c r="A41" s="13" t="str">
        <f aca="false">IF(Análisis!A37="","",Análisis!A37)</f>
        <v/>
      </c>
      <c r="B41" s="14" t="str">
        <f aca="false">IF(Análisis!B37="","",Análisis!B37)</f>
        <v/>
      </c>
      <c r="C41" s="13" t="str">
        <f aca="false">IF(Análisis!C37="","",Análisis!C37)</f>
        <v/>
      </c>
      <c r="D41" s="15" t="str">
        <f aca="false">IF(Análisis!D37="","",Análisis!D37)</f>
        <v/>
      </c>
      <c r="E41" s="16" t="str">
        <f aca="false">IF(Análisis!A37="","",Análisis!K37)</f>
        <v/>
      </c>
      <c r="F41" s="16" t="str">
        <f aca="false">IF(Análisis!A37="","",Análisis!L37)</f>
        <v/>
      </c>
    </row>
    <row r="42" customFormat="false" ht="15" hidden="false" customHeight="false" outlineLevel="0" collapsed="false">
      <c r="A42" s="13" t="str">
        <f aca="false">IF(Análisis!A38="","",Análisis!A38)</f>
        <v/>
      </c>
      <c r="B42" s="14" t="str">
        <f aca="false">IF(Análisis!B38="","",Análisis!B38)</f>
        <v/>
      </c>
      <c r="C42" s="13" t="str">
        <f aca="false">IF(Análisis!C38="","",Análisis!C38)</f>
        <v/>
      </c>
      <c r="D42" s="15" t="str">
        <f aca="false">IF(Análisis!D38="","",Análisis!D38)</f>
        <v/>
      </c>
      <c r="E42" s="16" t="str">
        <f aca="false">IF(Análisis!A38="","",Análisis!K38)</f>
        <v/>
      </c>
      <c r="F42" s="16" t="str">
        <f aca="false">IF(Análisis!A38="","",Análisis!L38)</f>
        <v/>
      </c>
    </row>
    <row r="43" customFormat="false" ht="15" hidden="false" customHeight="false" outlineLevel="0" collapsed="false">
      <c r="A43" s="13" t="str">
        <f aca="false">IF(Análisis!A39="","",Análisis!A39)</f>
        <v/>
      </c>
      <c r="B43" s="14" t="str">
        <f aca="false">IF(Análisis!B39="","",Análisis!B39)</f>
        <v/>
      </c>
      <c r="C43" s="13" t="str">
        <f aca="false">IF(Análisis!C39="","",Análisis!C39)</f>
        <v/>
      </c>
      <c r="D43" s="15" t="str">
        <f aca="false">IF(Análisis!D39="","",Análisis!D39)</f>
        <v/>
      </c>
      <c r="E43" s="16" t="str">
        <f aca="false">IF(Análisis!A39="","",Análisis!K39)</f>
        <v/>
      </c>
      <c r="F43" s="16" t="str">
        <f aca="false">IF(Análisis!A39="","",Análisis!L39)</f>
        <v/>
      </c>
    </row>
    <row r="44" customFormat="false" ht="15" hidden="false" customHeight="false" outlineLevel="0" collapsed="false">
      <c r="A44" s="13" t="str">
        <f aca="false">IF(Análisis!A40="","",Análisis!A40)</f>
        <v/>
      </c>
      <c r="B44" s="14" t="str">
        <f aca="false">IF(Análisis!B40="","",Análisis!B40)</f>
        <v/>
      </c>
      <c r="C44" s="13" t="str">
        <f aca="false">IF(Análisis!C40="","",Análisis!C40)</f>
        <v/>
      </c>
      <c r="D44" s="15" t="str">
        <f aca="false">IF(Análisis!D40="","",Análisis!D40)</f>
        <v/>
      </c>
      <c r="E44" s="16" t="str">
        <f aca="false">IF(Análisis!A40="","",Análisis!K40)</f>
        <v/>
      </c>
      <c r="F44" s="16" t="str">
        <f aca="false">IF(Análisis!A40="","",Análisis!L40)</f>
        <v/>
      </c>
    </row>
    <row r="45" customFormat="false" ht="15" hidden="false" customHeight="false" outlineLevel="0" collapsed="false">
      <c r="A45" s="13" t="str">
        <f aca="false">IF(Análisis!A41="","",Análisis!A41)</f>
        <v/>
      </c>
      <c r="B45" s="14" t="str">
        <f aca="false">IF(Análisis!B41="","",Análisis!B41)</f>
        <v/>
      </c>
      <c r="C45" s="13" t="str">
        <f aca="false">IF(Análisis!C41="","",Análisis!C41)</f>
        <v/>
      </c>
      <c r="D45" s="15" t="str">
        <f aca="false">IF(Análisis!D41="","",Análisis!D41)</f>
        <v/>
      </c>
      <c r="E45" s="16" t="str">
        <f aca="false">IF(Análisis!A41="","",Análisis!K41)</f>
        <v/>
      </c>
      <c r="F45" s="16" t="str">
        <f aca="false">IF(Análisis!A41="","",Análisis!L41)</f>
        <v/>
      </c>
    </row>
    <row r="46" customFormat="false" ht="15" hidden="false" customHeight="false" outlineLevel="0" collapsed="false">
      <c r="A46" s="13" t="str">
        <f aca="false">IF(Análisis!A42="","",Análisis!A42)</f>
        <v/>
      </c>
      <c r="B46" s="14" t="str">
        <f aca="false">IF(Análisis!B42="","",Análisis!B42)</f>
        <v/>
      </c>
      <c r="C46" s="13" t="str">
        <f aca="false">IF(Análisis!C42="","",Análisis!C42)</f>
        <v/>
      </c>
      <c r="D46" s="15" t="str">
        <f aca="false">IF(Análisis!D42="","",Análisis!D42)</f>
        <v/>
      </c>
      <c r="E46" s="16" t="str">
        <f aca="false">IF(Análisis!A42="","",Análisis!K42)</f>
        <v/>
      </c>
      <c r="F46" s="16" t="str">
        <f aca="false">IF(Análisis!A42="","",Análisis!L42)</f>
        <v/>
      </c>
    </row>
    <row r="47" customFormat="false" ht="15" hidden="false" customHeight="false" outlineLevel="0" collapsed="false">
      <c r="A47" s="13" t="str">
        <f aca="false">IF(Análisis!A43="","",Análisis!A43)</f>
        <v/>
      </c>
      <c r="B47" s="14" t="str">
        <f aca="false">IF(Análisis!B43="","",Análisis!B43)</f>
        <v/>
      </c>
      <c r="C47" s="13" t="str">
        <f aca="false">IF(Análisis!C43="","",Análisis!C43)</f>
        <v/>
      </c>
      <c r="D47" s="15" t="str">
        <f aca="false">IF(Análisis!D43="","",Análisis!D43)</f>
        <v/>
      </c>
      <c r="E47" s="16" t="str">
        <f aca="false">IF(Análisis!A43="","",Análisis!K43)</f>
        <v/>
      </c>
      <c r="F47" s="16" t="str">
        <f aca="false">IF(Análisis!A43="","",Análisis!L43)</f>
        <v/>
      </c>
    </row>
    <row r="48" customFormat="false" ht="15" hidden="false" customHeight="false" outlineLevel="0" collapsed="false">
      <c r="A48" s="13" t="str">
        <f aca="false">IF(Análisis!A44="","",Análisis!A44)</f>
        <v/>
      </c>
      <c r="B48" s="14" t="str">
        <f aca="false">IF(Análisis!B44="","",Análisis!B44)</f>
        <v/>
      </c>
      <c r="C48" s="13" t="str">
        <f aca="false">IF(Análisis!C44="","",Análisis!C44)</f>
        <v/>
      </c>
      <c r="D48" s="15" t="str">
        <f aca="false">IF(Análisis!D44="","",Análisis!D44)</f>
        <v/>
      </c>
      <c r="E48" s="16" t="str">
        <f aca="false">IF(Análisis!A44="","",Análisis!K44)</f>
        <v/>
      </c>
      <c r="F48" s="16" t="str">
        <f aca="false">IF(Análisis!A44="","",Análisis!L44)</f>
        <v/>
      </c>
    </row>
    <row r="49" customFormat="false" ht="15" hidden="false" customHeight="false" outlineLevel="0" collapsed="false">
      <c r="A49" s="13" t="str">
        <f aca="false">IF(Análisis!A45="","",Análisis!A45)</f>
        <v/>
      </c>
      <c r="B49" s="14" t="str">
        <f aca="false">IF(Análisis!B45="","",Análisis!B45)</f>
        <v/>
      </c>
      <c r="C49" s="13" t="str">
        <f aca="false">IF(Análisis!C45="","",Análisis!C45)</f>
        <v/>
      </c>
      <c r="D49" s="15" t="str">
        <f aca="false">IF(Análisis!D45="","",Análisis!D45)</f>
        <v/>
      </c>
      <c r="E49" s="16" t="str">
        <f aca="false">IF(Análisis!A45="","",Análisis!K45)</f>
        <v/>
      </c>
      <c r="F49" s="16" t="str">
        <f aca="false">IF(Análisis!A45="","",Análisis!L45)</f>
        <v/>
      </c>
    </row>
    <row r="50" customFormat="false" ht="15" hidden="false" customHeight="false" outlineLevel="0" collapsed="false">
      <c r="A50" s="13" t="str">
        <f aca="false">IF(Análisis!A46="","",Análisis!A46)</f>
        <v/>
      </c>
      <c r="B50" s="14" t="str">
        <f aca="false">IF(Análisis!B46="","",Análisis!B46)</f>
        <v/>
      </c>
      <c r="C50" s="13" t="str">
        <f aca="false">IF(Análisis!C46="","",Análisis!C46)</f>
        <v/>
      </c>
      <c r="D50" s="15" t="str">
        <f aca="false">IF(Análisis!D46="","",Análisis!D46)</f>
        <v/>
      </c>
      <c r="E50" s="16" t="str">
        <f aca="false">IF(Análisis!A46="","",Análisis!K46)</f>
        <v/>
      </c>
      <c r="F50" s="16" t="str">
        <f aca="false">IF(Análisis!A46="","",Análisis!L46)</f>
        <v/>
      </c>
    </row>
    <row r="51" customFormat="false" ht="15" hidden="false" customHeight="false" outlineLevel="0" collapsed="false">
      <c r="A51" s="13" t="str">
        <f aca="false">IF(Análisis!A47="","",Análisis!A47)</f>
        <v/>
      </c>
      <c r="B51" s="14" t="str">
        <f aca="false">IF(Análisis!B47="","",Análisis!B47)</f>
        <v/>
      </c>
      <c r="C51" s="13" t="str">
        <f aca="false">IF(Análisis!C47="","",Análisis!C47)</f>
        <v/>
      </c>
      <c r="D51" s="15" t="str">
        <f aca="false">IF(Análisis!D47="","",Análisis!D47)</f>
        <v/>
      </c>
      <c r="E51" s="16" t="str">
        <f aca="false">IF(Análisis!A47="","",Análisis!K47)</f>
        <v/>
      </c>
      <c r="F51" s="16" t="str">
        <f aca="false">IF(Análisis!A47="","",Análisis!L47)</f>
        <v/>
      </c>
    </row>
    <row r="52" customFormat="false" ht="15" hidden="false" customHeight="false" outlineLevel="0" collapsed="false">
      <c r="A52" s="13" t="str">
        <f aca="false">IF(Análisis!A48="","",Análisis!A48)</f>
        <v/>
      </c>
      <c r="B52" s="14" t="str">
        <f aca="false">IF(Análisis!B48="","",Análisis!B48)</f>
        <v/>
      </c>
      <c r="C52" s="13" t="str">
        <f aca="false">IF(Análisis!C48="","",Análisis!C48)</f>
        <v/>
      </c>
      <c r="D52" s="15" t="str">
        <f aca="false">IF(Análisis!D48="","",Análisis!D48)</f>
        <v/>
      </c>
      <c r="E52" s="16" t="str">
        <f aca="false">IF(Análisis!A48="","",Análisis!K48)</f>
        <v/>
      </c>
      <c r="F52" s="16" t="str">
        <f aca="false">IF(Análisis!A48="","",Análisis!L48)</f>
        <v/>
      </c>
    </row>
    <row r="54" customFormat="false" ht="15" hidden="false" customHeight="false" outlineLevel="0" collapsed="false">
      <c r="E54" s="17" t="s">
        <v>26</v>
      </c>
      <c r="F54" s="18" t="n">
        <f aca="false">SUM(F11:F52)</f>
        <v>522525.06</v>
      </c>
    </row>
    <row r="55" customFormat="false" ht="15" hidden="false" customHeight="false" outlineLevel="0" collapsed="false">
      <c r="E55" s="17" t="s">
        <v>27</v>
      </c>
      <c r="F55" s="18" t="n">
        <f aca="false">ROUND(F54*Datos!B21,2)</f>
        <v>41802</v>
      </c>
    </row>
    <row r="56" customFormat="false" ht="15" hidden="false" customHeight="false" outlineLevel="0" collapsed="false">
      <c r="E56" s="17" t="s">
        <v>28</v>
      </c>
      <c r="F56" s="18" t="n">
        <f aca="false">F54+F55</f>
        <v>564327.06</v>
      </c>
    </row>
    <row r="58" customFormat="false" ht="15" hidden="false" customHeight="false" outlineLevel="0" collapsed="false">
      <c r="A58" s="2" t="s">
        <v>29</v>
      </c>
    </row>
    <row r="59" customFormat="false" ht="15" hidden="false" customHeight="false" outlineLevel="0" collapsed="false">
      <c r="A59" s="9" t="str">
        <f aca="false">Datos!A24</f>
        <v>Anticipo</v>
      </c>
      <c r="B59" s="10" t="str">
        <f aca="false">Datos!B24</f>
        <v>30 % a la firma del contrato</v>
      </c>
    </row>
    <row r="60" customFormat="false" ht="15" hidden="false" customHeight="false" outlineLevel="0" collapsed="false">
      <c r="A60" s="9" t="str">
        <f aca="false">Datos!A25</f>
        <v>Forma de pago</v>
      </c>
      <c r="B60" s="10" t="str">
        <f aca="false">Datos!B25</f>
        <v>Estimaciones quincenales por avance, pagaderas a 15 días</v>
      </c>
    </row>
    <row r="61" customFormat="false" ht="15" hidden="false" customHeight="false" outlineLevel="0" collapsed="false">
      <c r="A61" s="9" t="str">
        <f aca="false">Datos!A26</f>
        <v>Tiempo de ejecución</v>
      </c>
      <c r="B61" s="10" t="str">
        <f aca="false">Datos!B26</f>
        <v>60 días naturales a partir del anticipo y la entrega del sitio</v>
      </c>
    </row>
    <row r="62" customFormat="false" ht="15" hidden="false" customHeight="false" outlineLevel="0" collapsed="false">
      <c r="A62" s="9" t="str">
        <f aca="false">Datos!A27</f>
        <v>Incluye</v>
      </c>
      <c r="B62" s="10" t="str">
        <f aca="false">Datos!B27</f>
        <v>Materiales, mano de obra, herramienta, equipo, fletes, limpieza y retiro de escombro</v>
      </c>
    </row>
    <row r="63" customFormat="false" ht="15" hidden="false" customHeight="false" outlineLevel="0" collapsed="false">
      <c r="A63" s="9" t="str">
        <f aca="false">Datos!A28</f>
        <v>No incluye</v>
      </c>
      <c r="B63" s="10" t="str">
        <f aca="false">Datos!B28</f>
        <v>Licencias y derechos municipales, DRO y corresponsables, proyecto ejecutivo, mobiliario, trabajos no descritos</v>
      </c>
    </row>
    <row r="64" customFormat="false" ht="15" hidden="false" customHeight="false" outlineLevel="0" collapsed="false">
      <c r="A64" s="9" t="str">
        <f aca="false">Datos!A29</f>
        <v>Garantía</v>
      </c>
      <c r="B64" s="10" t="str">
        <f aca="false">Datos!B29</f>
        <v>12 meses contra vicios ocultos</v>
      </c>
    </row>
    <row r="65" customFormat="false" ht="15" hidden="false" customHeight="false" outlineLevel="0" collapsed="false">
      <c r="A65" s="9" t="s">
        <v>30</v>
      </c>
      <c r="B65" s="10" t="str">
        <f aca="false">Datos!B8&amp;" días naturales a partir de la fecha de esta cotización. Precios en moneda nacional, sin IVA salvo donde se indica."</f>
        <v>15 días naturales a partir de la fecha de esta cotización. Precios en moneda nacional, sin IVA salvo donde se indica.</v>
      </c>
    </row>
    <row r="66" customFormat="false" ht="15" hidden="false" customHeight="false" outlineLevel="0" collapsed="false">
      <c r="B66" s="19" t="s">
        <v>31</v>
      </c>
    </row>
    <row r="69" customFormat="false" ht="15" hidden="false" customHeight="false" outlineLevel="0" collapsed="false">
      <c r="B69" s="10" t="s">
        <v>32</v>
      </c>
    </row>
    <row r="70" customFormat="false" ht="15" hidden="false" customHeight="false" outlineLevel="0" collapsed="false">
      <c r="B70" s="9" t="s">
        <v>33</v>
      </c>
    </row>
    <row r="71" customFormat="false" ht="15" hidden="false" customHeight="false" outlineLevel="0" collapsed="false">
      <c r="B71" s="10" t="s">
        <v>34</v>
      </c>
    </row>
    <row r="72" customFormat="false" ht="15" hidden="false" customHeight="false" outlineLevel="0" collapsed="false">
      <c r="B72" s="10" t="s">
        <v>35</v>
      </c>
    </row>
  </sheetData>
  <mergeCells count="2">
    <mergeCell ref="A1:F1"/>
    <mergeCell ref="A2:F2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4"/>
    <col collapsed="false" customWidth="true" hidden="false" outlineLevel="0" max="3" min="3" style="0" width="50"/>
  </cols>
  <sheetData>
    <row r="1" customFormat="false" ht="16.15" hidden="false" customHeight="false" outlineLevel="0" collapsed="false">
      <c r="A1" s="7" t="s">
        <v>0</v>
      </c>
      <c r="B1" s="7"/>
      <c r="C1" s="7"/>
    </row>
    <row r="2" customFormat="false" ht="15" hidden="false" customHeight="false" outlineLevel="0" collapsed="false">
      <c r="A2" s="8" t="s">
        <v>36</v>
      </c>
      <c r="B2" s="8"/>
      <c r="C2" s="8"/>
    </row>
    <row r="3" customFormat="false" ht="15" hidden="false" customHeight="false" outlineLevel="0" collapsed="false">
      <c r="A3" s="9" t="s">
        <v>18</v>
      </c>
      <c r="B3" s="10"/>
    </row>
    <row r="4" customFormat="false" ht="15" hidden="false" customHeight="false" outlineLevel="0" collapsed="false">
      <c r="A4" s="9" t="s">
        <v>37</v>
      </c>
      <c r="B4" s="10"/>
    </row>
    <row r="6" customFormat="false" ht="15" hidden="false" customHeight="false" outlineLevel="0" collapsed="false">
      <c r="A6" s="13" t="s">
        <v>38</v>
      </c>
      <c r="B6" s="20" t="s">
        <v>39</v>
      </c>
    </row>
    <row r="7" customFormat="false" ht="15" hidden="false" customHeight="false" outlineLevel="0" collapsed="false">
      <c r="A7" s="13" t="s">
        <v>40</v>
      </c>
      <c r="B7" s="21" t="n">
        <v>46314</v>
      </c>
    </row>
    <row r="8" customFormat="false" ht="15" hidden="false" customHeight="false" outlineLevel="0" collapsed="false">
      <c r="A8" s="13" t="s">
        <v>41</v>
      </c>
      <c r="B8" s="22" t="n">
        <v>15</v>
      </c>
    </row>
    <row r="9" customFormat="false" ht="15" hidden="false" customHeight="false" outlineLevel="0" collapsed="false">
      <c r="A9" s="13" t="s">
        <v>42</v>
      </c>
      <c r="B9" s="20"/>
    </row>
    <row r="10" customFormat="false" ht="15" hidden="false" customHeight="false" outlineLevel="0" collapsed="false">
      <c r="A10" s="13" t="s">
        <v>43</v>
      </c>
      <c r="B10" s="20"/>
    </row>
    <row r="11" customFormat="false" ht="15" hidden="false" customHeight="false" outlineLevel="0" collapsed="false">
      <c r="A11" s="13" t="s">
        <v>44</v>
      </c>
      <c r="B11" s="20"/>
    </row>
    <row r="12" customFormat="false" ht="15" hidden="false" customHeight="false" outlineLevel="0" collapsed="false">
      <c r="A12" s="13" t="s">
        <v>45</v>
      </c>
      <c r="B12" s="20" t="s">
        <v>46</v>
      </c>
    </row>
    <row r="14" customFormat="false" ht="15" hidden="false" customHeight="false" outlineLevel="0" collapsed="false">
      <c r="A14" s="2" t="s">
        <v>47</v>
      </c>
    </row>
    <row r="15" customFormat="false" ht="15" hidden="false" customHeight="false" outlineLevel="0" collapsed="false">
      <c r="A15" s="13" t="s">
        <v>48</v>
      </c>
      <c r="B15" s="23" t="n">
        <v>0.06</v>
      </c>
    </row>
    <row r="16" customFormat="false" ht="15" hidden="false" customHeight="false" outlineLevel="0" collapsed="false">
      <c r="A16" s="13" t="s">
        <v>49</v>
      </c>
      <c r="B16" s="24" t="n">
        <f aca="false">Indirectos!E20</f>
        <v>0.126658689524103</v>
      </c>
      <c r="C16" s="25" t="s">
        <v>50</v>
      </c>
    </row>
    <row r="17" customFormat="false" ht="15" hidden="false" customHeight="false" outlineLevel="0" collapsed="false">
      <c r="A17" s="13" t="s">
        <v>51</v>
      </c>
      <c r="B17" s="23" t="n">
        <v>0.01</v>
      </c>
      <c r="C17" s="25" t="s">
        <v>52</v>
      </c>
    </row>
    <row r="18" customFormat="false" ht="15" hidden="false" customHeight="false" outlineLevel="0" collapsed="false">
      <c r="A18" s="13" t="s">
        <v>53</v>
      </c>
      <c r="B18" s="23" t="n">
        <v>0.1</v>
      </c>
    </row>
    <row r="19" customFormat="false" ht="15" hidden="false" customHeight="false" outlineLevel="0" collapsed="false">
      <c r="A19" s="13" t="s">
        <v>54</v>
      </c>
      <c r="B19" s="23" t="n">
        <v>0</v>
      </c>
    </row>
    <row r="20" customFormat="false" ht="15" hidden="false" customHeight="false" outlineLevel="0" collapsed="false">
      <c r="A20" s="13" t="s">
        <v>55</v>
      </c>
      <c r="B20" s="26" t="n">
        <f aca="false">(1+B15+B16)*(1+B17)*(1+B18)*(1+B19)</f>
        <v>1.31837780406128</v>
      </c>
      <c r="C20" s="25" t="s">
        <v>56</v>
      </c>
    </row>
    <row r="21" customFormat="false" ht="15" hidden="false" customHeight="false" outlineLevel="0" collapsed="false">
      <c r="A21" s="13" t="s">
        <v>27</v>
      </c>
      <c r="B21" s="23" t="n">
        <v>0.08</v>
      </c>
      <c r="C21" s="25" t="s">
        <v>57</v>
      </c>
    </row>
    <row r="23" customFormat="false" ht="15" hidden="false" customHeight="false" outlineLevel="0" collapsed="false">
      <c r="A23" s="2" t="s">
        <v>58</v>
      </c>
    </row>
    <row r="24" customFormat="false" ht="15" hidden="false" customHeight="false" outlineLevel="0" collapsed="false">
      <c r="A24" s="13" t="s">
        <v>59</v>
      </c>
      <c r="B24" s="20" t="s">
        <v>60</v>
      </c>
    </row>
    <row r="25" customFormat="false" ht="15" hidden="false" customHeight="false" outlineLevel="0" collapsed="false">
      <c r="A25" s="13" t="s">
        <v>61</v>
      </c>
      <c r="B25" s="20" t="s">
        <v>62</v>
      </c>
    </row>
    <row r="26" customFormat="false" ht="15" hidden="false" customHeight="false" outlineLevel="0" collapsed="false">
      <c r="A26" s="13" t="s">
        <v>63</v>
      </c>
      <c r="B26" s="20" t="s">
        <v>64</v>
      </c>
    </row>
    <row r="27" customFormat="false" ht="15" hidden="false" customHeight="false" outlineLevel="0" collapsed="false">
      <c r="A27" s="13" t="s">
        <v>65</v>
      </c>
      <c r="B27" s="20" t="s">
        <v>66</v>
      </c>
    </row>
    <row r="28" customFormat="false" ht="15" hidden="false" customHeight="false" outlineLevel="0" collapsed="false">
      <c r="A28" s="13" t="s">
        <v>67</v>
      </c>
      <c r="B28" s="20" t="s">
        <v>68</v>
      </c>
    </row>
    <row r="29" customFormat="false" ht="15" hidden="false" customHeight="false" outlineLevel="0" collapsed="false">
      <c r="A29" s="13" t="s">
        <v>69</v>
      </c>
      <c r="B29" s="20" t="s">
        <v>70</v>
      </c>
    </row>
  </sheetData>
  <mergeCells count="2">
    <mergeCell ref="A1:C1"/>
    <mergeCell ref="A2:C2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5"/>
  </cols>
  <sheetData>
    <row r="1" customFormat="false" ht="16.15" hidden="false" customHeight="false" outlineLevel="0" collapsed="false">
      <c r="A1" s="7" t="s">
        <v>0</v>
      </c>
      <c r="B1" s="7"/>
      <c r="C1" s="7"/>
      <c r="D1" s="7"/>
      <c r="E1" s="7"/>
    </row>
    <row r="2" customFormat="false" ht="15" hidden="false" customHeight="false" outlineLevel="0" collapsed="false">
      <c r="A2" s="8" t="s">
        <v>71</v>
      </c>
      <c r="B2" s="8"/>
      <c r="C2" s="8"/>
      <c r="D2" s="8"/>
      <c r="E2" s="8"/>
    </row>
    <row r="3" customFormat="false" ht="15" hidden="false" customHeight="false" outlineLevel="0" collapsed="false">
      <c r="A3" s="9" t="s">
        <v>18</v>
      </c>
      <c r="B3" s="10"/>
    </row>
    <row r="4" customFormat="false" ht="15" hidden="false" customHeight="false" outlineLevel="0" collapsed="false">
      <c r="A4" s="9" t="s">
        <v>37</v>
      </c>
      <c r="B4" s="10"/>
    </row>
    <row r="6" customFormat="false" ht="30" hidden="false" customHeight="true" outlineLevel="0" collapsed="false">
      <c r="A6" s="12" t="s">
        <v>72</v>
      </c>
      <c r="B6" s="12" t="s">
        <v>73</v>
      </c>
      <c r="C6" s="12" t="s">
        <v>74</v>
      </c>
      <c r="D6" s="12" t="s">
        <v>75</v>
      </c>
      <c r="E6" s="12" t="s">
        <v>76</v>
      </c>
    </row>
    <row r="7" customFormat="false" ht="15" hidden="false" customHeight="false" outlineLevel="0" collapsed="false">
      <c r="A7" s="20" t="s">
        <v>77</v>
      </c>
      <c r="B7" s="27" t="n">
        <v>45000</v>
      </c>
      <c r="C7" s="28" t="n">
        <v>2</v>
      </c>
      <c r="D7" s="23" t="n">
        <v>0.1</v>
      </c>
      <c r="E7" s="16" t="n">
        <f aca="false">N(B7)*N(C7)*N(D7)</f>
        <v>9000</v>
      </c>
    </row>
    <row r="8" customFormat="false" ht="15" hidden="false" customHeight="false" outlineLevel="0" collapsed="false">
      <c r="A8" s="20" t="s">
        <v>78</v>
      </c>
      <c r="B8" s="27" t="n">
        <v>28000</v>
      </c>
      <c r="C8" s="28" t="n">
        <v>2</v>
      </c>
      <c r="D8" s="23" t="n">
        <v>0.2</v>
      </c>
      <c r="E8" s="16" t="n">
        <f aca="false">N(B8)*N(C8)*N(D8)</f>
        <v>11200</v>
      </c>
    </row>
    <row r="9" customFormat="false" ht="15" hidden="false" customHeight="false" outlineLevel="0" collapsed="false">
      <c r="A9" s="20" t="s">
        <v>79</v>
      </c>
      <c r="B9" s="27" t="n">
        <v>22000</v>
      </c>
      <c r="C9" s="28" t="n">
        <v>2</v>
      </c>
      <c r="D9" s="23" t="n">
        <v>0.1</v>
      </c>
      <c r="E9" s="16" t="n">
        <f aca="false">N(B9)*N(C9)*N(D9)</f>
        <v>4400</v>
      </c>
    </row>
    <row r="10" customFormat="false" ht="15" hidden="false" customHeight="false" outlineLevel="0" collapsed="false">
      <c r="A10" s="20" t="s">
        <v>80</v>
      </c>
      <c r="B10" s="27" t="n">
        <v>14000</v>
      </c>
      <c r="C10" s="28" t="n">
        <v>2</v>
      </c>
      <c r="D10" s="23" t="n">
        <v>0.2</v>
      </c>
      <c r="E10" s="16" t="n">
        <f aca="false">N(B10)*N(C10)*N(D10)</f>
        <v>5600</v>
      </c>
    </row>
    <row r="11" customFormat="false" ht="15" hidden="false" customHeight="false" outlineLevel="0" collapsed="false">
      <c r="A11" s="20" t="s">
        <v>81</v>
      </c>
      <c r="B11" s="27" t="n">
        <v>2500</v>
      </c>
      <c r="C11" s="28" t="n">
        <v>2</v>
      </c>
      <c r="D11" s="23" t="n">
        <v>1</v>
      </c>
      <c r="E11" s="16" t="n">
        <f aca="false">N(B11)*N(C11)*N(D11)</f>
        <v>5000</v>
      </c>
    </row>
    <row r="12" customFormat="false" ht="15" hidden="false" customHeight="false" outlineLevel="0" collapsed="false">
      <c r="A12" s="20" t="s">
        <v>82</v>
      </c>
      <c r="B12" s="27" t="n">
        <v>6000</v>
      </c>
      <c r="C12" s="28" t="n">
        <v>1</v>
      </c>
      <c r="D12" s="23" t="n">
        <v>1</v>
      </c>
      <c r="E12" s="16" t="n">
        <f aca="false">N(B12)*N(C12)*N(D12)</f>
        <v>6000</v>
      </c>
    </row>
    <row r="13" customFormat="false" ht="15" hidden="false" customHeight="false" outlineLevel="0" collapsed="false">
      <c r="A13" s="20" t="s">
        <v>83</v>
      </c>
      <c r="B13" s="27" t="n">
        <v>4000</v>
      </c>
      <c r="C13" s="28" t="n">
        <v>1</v>
      </c>
      <c r="D13" s="23" t="n">
        <v>1</v>
      </c>
      <c r="E13" s="16" t="n">
        <f aca="false">N(B13)*N(C13)*N(D13)</f>
        <v>4000</v>
      </c>
    </row>
    <row r="14" customFormat="false" ht="15" hidden="false" customHeight="false" outlineLevel="0" collapsed="false">
      <c r="A14" s="20" t="s">
        <v>84</v>
      </c>
      <c r="B14" s="27" t="n">
        <v>2000</v>
      </c>
      <c r="C14" s="28" t="n">
        <v>1</v>
      </c>
      <c r="D14" s="23" t="n">
        <v>1</v>
      </c>
      <c r="E14" s="16" t="n">
        <f aca="false">N(B14)*N(C14)*N(D14)</f>
        <v>2000</v>
      </c>
    </row>
    <row r="15" customFormat="false" ht="15" hidden="false" customHeight="false" outlineLevel="0" collapsed="false">
      <c r="A15" s="20" t="s">
        <v>85</v>
      </c>
      <c r="B15" s="27" t="n">
        <v>3000</v>
      </c>
      <c r="C15" s="28" t="n">
        <v>1</v>
      </c>
      <c r="D15" s="23" t="n">
        <v>1</v>
      </c>
      <c r="E15" s="16" t="n">
        <f aca="false">N(B15)*N(C15)*N(D15)</f>
        <v>3000</v>
      </c>
    </row>
    <row r="16" customFormat="false" ht="15" hidden="false" customHeight="false" outlineLevel="0" collapsed="false">
      <c r="A16" s="20"/>
      <c r="B16" s="27"/>
      <c r="C16" s="28"/>
      <c r="D16" s="23"/>
      <c r="E16" s="16" t="n">
        <f aca="false">N(B16)*N(C16)*N(D16)</f>
        <v>0</v>
      </c>
    </row>
    <row r="17" customFormat="false" ht="15" hidden="false" customHeight="false" outlineLevel="0" collapsed="false">
      <c r="A17" s="20"/>
      <c r="B17" s="27"/>
      <c r="C17" s="28"/>
      <c r="D17" s="23"/>
      <c r="E17" s="16" t="n">
        <f aca="false">N(B17)*N(C17)*N(D17)</f>
        <v>0</v>
      </c>
    </row>
    <row r="18" customFormat="false" ht="15" hidden="false" customHeight="false" outlineLevel="0" collapsed="false">
      <c r="A18" s="20"/>
      <c r="B18" s="27"/>
      <c r="C18" s="28"/>
      <c r="D18" s="23"/>
      <c r="E18" s="16" t="n">
        <f aca="false">N(B18)*N(C18)*N(D18)</f>
        <v>0</v>
      </c>
    </row>
    <row r="19" customFormat="false" ht="15" hidden="false" customHeight="false" outlineLevel="0" collapsed="false">
      <c r="A19" s="17" t="s">
        <v>86</v>
      </c>
      <c r="B19" s="17"/>
      <c r="C19" s="17"/>
      <c r="D19" s="17"/>
      <c r="E19" s="18" t="n">
        <f aca="false">SUM(E7:E18)</f>
        <v>50200</v>
      </c>
    </row>
    <row r="20" customFormat="false" ht="15" hidden="false" customHeight="false" outlineLevel="0" collapsed="false">
      <c r="A20" s="17" t="s">
        <v>87</v>
      </c>
      <c r="B20" s="17"/>
      <c r="C20" s="17"/>
      <c r="D20" s="17"/>
      <c r="E20" s="29" t="n">
        <f aca="false">IF(Análisis!J49=0,0,E19/Análisis!J49)</f>
        <v>0.126658689524103</v>
      </c>
    </row>
  </sheetData>
  <mergeCells count="2">
    <mergeCell ref="A1:E1"/>
    <mergeCell ref="A2:E2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4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1" min="10" style="0" width="12"/>
    <col collapsed="false" customWidth="true" hidden="false" outlineLevel="0" max="12" min="12" style="0" width="14"/>
  </cols>
  <sheetData>
    <row r="1" customFormat="false" ht="16.15" hidden="false" customHeight="false" outlineLevel="0" collapsed="false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15" hidden="false" customHeight="false" outlineLevel="0" collapsed="false">
      <c r="A2" s="8" t="s">
        <v>88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customFormat="false" ht="15" hidden="false" customHeight="false" outlineLevel="0" collapsed="false">
      <c r="A3" s="9" t="s">
        <v>18</v>
      </c>
      <c r="B3" s="10"/>
    </row>
    <row r="4" customFormat="false" ht="15" hidden="false" customHeight="false" outlineLevel="0" collapsed="false">
      <c r="A4" s="9" t="s">
        <v>37</v>
      </c>
      <c r="B4" s="10"/>
    </row>
    <row r="6" customFormat="false" ht="30" hidden="false" customHeight="true" outlineLevel="0" collapsed="false">
      <c r="A6" s="12" t="s">
        <v>20</v>
      </c>
      <c r="B6" s="12" t="s">
        <v>72</v>
      </c>
      <c r="C6" s="12" t="s">
        <v>22</v>
      </c>
      <c r="D6" s="12" t="s">
        <v>23</v>
      </c>
      <c r="E6" s="12" t="s">
        <v>89</v>
      </c>
      <c r="F6" s="12" t="s">
        <v>90</v>
      </c>
      <c r="G6" s="12" t="s">
        <v>91</v>
      </c>
      <c r="H6" s="12" t="s">
        <v>92</v>
      </c>
      <c r="I6" s="12" t="s">
        <v>93</v>
      </c>
      <c r="J6" s="12" t="s">
        <v>94</v>
      </c>
      <c r="K6" s="12" t="s">
        <v>95</v>
      </c>
      <c r="L6" s="12" t="s">
        <v>96</v>
      </c>
    </row>
    <row r="7" customFormat="false" ht="22.35" hidden="false" customHeight="false" outlineLevel="0" collapsed="false">
      <c r="A7" s="20" t="s">
        <v>97</v>
      </c>
      <c r="B7" s="30" t="s">
        <v>98</v>
      </c>
      <c r="C7" s="20" t="s">
        <v>99</v>
      </c>
      <c r="D7" s="31" t="n">
        <v>45</v>
      </c>
      <c r="E7" s="27" t="n">
        <v>70</v>
      </c>
      <c r="F7" s="27" t="n">
        <v>55</v>
      </c>
      <c r="G7" s="27" t="n">
        <v>10</v>
      </c>
      <c r="H7" s="16" t="n">
        <f aca="false">N(F7)*0.03</f>
        <v>1.65</v>
      </c>
      <c r="I7" s="27" t="n">
        <v>0</v>
      </c>
      <c r="J7" s="16" t="n">
        <f aca="false">N(E7)+N(F7)+N(G7)+H7+N(I7)</f>
        <v>136.65</v>
      </c>
      <c r="K7" s="16" t="n">
        <f aca="false">ROUND(J7*Datos!$B$20,2)</f>
        <v>180.16</v>
      </c>
      <c r="L7" s="16" t="n">
        <f aca="false">K7*N(D7)</f>
        <v>8107.2</v>
      </c>
    </row>
    <row r="8" customFormat="false" ht="22.35" hidden="false" customHeight="false" outlineLevel="0" collapsed="false">
      <c r="A8" s="20" t="s">
        <v>100</v>
      </c>
      <c r="B8" s="30" t="s">
        <v>101</v>
      </c>
      <c r="C8" s="20" t="s">
        <v>99</v>
      </c>
      <c r="D8" s="31" t="n">
        <v>210</v>
      </c>
      <c r="E8" s="27" t="n">
        <v>210</v>
      </c>
      <c r="F8" s="27" t="n">
        <v>165</v>
      </c>
      <c r="G8" s="27" t="n">
        <v>8</v>
      </c>
      <c r="H8" s="16" t="n">
        <f aca="false">N(F8)*0.03</f>
        <v>4.95</v>
      </c>
      <c r="I8" s="27" t="n">
        <v>0</v>
      </c>
      <c r="J8" s="16" t="n">
        <f aca="false">N(E8)+N(F8)+N(G8)+H8+N(I8)</f>
        <v>387.95</v>
      </c>
      <c r="K8" s="16" t="n">
        <f aca="false">ROUND(J8*Datos!$B$20,2)</f>
        <v>511.46</v>
      </c>
      <c r="L8" s="16" t="n">
        <f aca="false">K8*N(D8)</f>
        <v>107406.6</v>
      </c>
    </row>
    <row r="9" customFormat="false" ht="15" hidden="false" customHeight="false" outlineLevel="0" collapsed="false">
      <c r="A9" s="20" t="s">
        <v>102</v>
      </c>
      <c r="B9" s="30" t="s">
        <v>103</v>
      </c>
      <c r="C9" s="20" t="s">
        <v>99</v>
      </c>
      <c r="D9" s="31" t="n">
        <v>180</v>
      </c>
      <c r="E9" s="27" t="n">
        <v>250</v>
      </c>
      <c r="F9" s="27" t="n">
        <v>190</v>
      </c>
      <c r="G9" s="27" t="n">
        <v>10</v>
      </c>
      <c r="H9" s="16" t="n">
        <f aca="false">N(F9)*0.03</f>
        <v>5.7</v>
      </c>
      <c r="I9" s="27" t="n">
        <v>0</v>
      </c>
      <c r="J9" s="16" t="n">
        <f aca="false">N(E9)+N(F9)+N(G9)+H9+N(I9)</f>
        <v>455.7</v>
      </c>
      <c r="K9" s="16" t="n">
        <f aca="false">ROUND(J9*Datos!$B$20,2)</f>
        <v>600.78</v>
      </c>
      <c r="L9" s="16" t="n">
        <f aca="false">K9*N(D9)</f>
        <v>108140.4</v>
      </c>
    </row>
    <row r="10" customFormat="false" ht="22.35" hidden="false" customHeight="false" outlineLevel="0" collapsed="false">
      <c r="A10" s="20" t="s">
        <v>104</v>
      </c>
      <c r="B10" s="30" t="s">
        <v>105</v>
      </c>
      <c r="C10" s="20" t="s">
        <v>106</v>
      </c>
      <c r="D10" s="31" t="n">
        <v>48</v>
      </c>
      <c r="E10" s="27" t="n">
        <v>380</v>
      </c>
      <c r="F10" s="27" t="n">
        <v>290</v>
      </c>
      <c r="G10" s="27" t="n">
        <v>0</v>
      </c>
      <c r="H10" s="16" t="n">
        <f aca="false">N(F10)*0.03</f>
        <v>8.7</v>
      </c>
      <c r="I10" s="27" t="n">
        <v>0</v>
      </c>
      <c r="J10" s="16" t="n">
        <f aca="false">N(E10)+N(F10)+N(G10)+H10+N(I10)</f>
        <v>678.7</v>
      </c>
      <c r="K10" s="16" t="n">
        <f aca="false">ROUND(J10*Datos!$B$20,2)</f>
        <v>894.78</v>
      </c>
      <c r="L10" s="16" t="n">
        <f aca="false">K10*N(D10)</f>
        <v>42949.44</v>
      </c>
    </row>
    <row r="11" customFormat="false" ht="22.35" hidden="false" customHeight="false" outlineLevel="0" collapsed="false">
      <c r="A11" s="20" t="s">
        <v>107</v>
      </c>
      <c r="B11" s="30" t="s">
        <v>108</v>
      </c>
      <c r="C11" s="20" t="s">
        <v>106</v>
      </c>
      <c r="D11" s="31" t="n">
        <v>36</v>
      </c>
      <c r="E11" s="27" t="n">
        <v>930</v>
      </c>
      <c r="F11" s="27" t="n">
        <v>300</v>
      </c>
      <c r="G11" s="27" t="n">
        <v>0</v>
      </c>
      <c r="H11" s="16" t="n">
        <f aca="false">N(F11)*0.03</f>
        <v>9</v>
      </c>
      <c r="I11" s="27" t="n">
        <v>0</v>
      </c>
      <c r="J11" s="16" t="n">
        <f aca="false">N(E11)+N(F11)+N(G11)+H11+N(I11)</f>
        <v>1239</v>
      </c>
      <c r="K11" s="16" t="n">
        <f aca="false">ROUND(J11*Datos!$B$20,2)</f>
        <v>1633.47</v>
      </c>
      <c r="L11" s="16" t="n">
        <f aca="false">K11*N(D11)</f>
        <v>58804.92</v>
      </c>
    </row>
    <row r="12" customFormat="false" ht="15" hidden="false" customHeight="false" outlineLevel="0" collapsed="false">
      <c r="A12" s="20" t="s">
        <v>109</v>
      </c>
      <c r="B12" s="30" t="s">
        <v>110</v>
      </c>
      <c r="C12" s="20" t="s">
        <v>106</v>
      </c>
      <c r="D12" s="31" t="n">
        <v>6</v>
      </c>
      <c r="E12" s="27" t="n">
        <v>1050</v>
      </c>
      <c r="F12" s="27" t="n">
        <v>700</v>
      </c>
      <c r="G12" s="27" t="n">
        <v>0</v>
      </c>
      <c r="H12" s="16" t="n">
        <f aca="false">N(F12)*0.03</f>
        <v>21</v>
      </c>
      <c r="I12" s="27" t="n">
        <v>0</v>
      </c>
      <c r="J12" s="16" t="n">
        <f aca="false">N(E12)+N(F12)+N(G12)+H12+N(I12)</f>
        <v>1771</v>
      </c>
      <c r="K12" s="16" t="n">
        <f aca="false">ROUND(J12*Datos!$B$20,2)</f>
        <v>2334.85</v>
      </c>
      <c r="L12" s="16" t="n">
        <f aca="false">K12*N(D12)</f>
        <v>14009.1</v>
      </c>
    </row>
    <row r="13" customFormat="false" ht="22.35" hidden="false" customHeight="false" outlineLevel="0" collapsed="false">
      <c r="A13" s="20" t="s">
        <v>111</v>
      </c>
      <c r="B13" s="30" t="s">
        <v>112</v>
      </c>
      <c r="C13" s="20" t="s">
        <v>99</v>
      </c>
      <c r="D13" s="31" t="n">
        <v>175</v>
      </c>
      <c r="E13" s="27" t="n">
        <v>360</v>
      </c>
      <c r="F13" s="27" t="n">
        <v>200</v>
      </c>
      <c r="G13" s="27" t="n">
        <v>0</v>
      </c>
      <c r="H13" s="16" t="n">
        <f aca="false">N(F13)*0.03</f>
        <v>6</v>
      </c>
      <c r="I13" s="27" t="n">
        <v>0</v>
      </c>
      <c r="J13" s="16" t="n">
        <f aca="false">N(E13)+N(F13)+N(G13)+H13+N(I13)</f>
        <v>566</v>
      </c>
      <c r="K13" s="16" t="n">
        <f aca="false">ROUND(J13*Datos!$B$20,2)</f>
        <v>746.2</v>
      </c>
      <c r="L13" s="16" t="n">
        <f aca="false">K13*N(D13)</f>
        <v>130585</v>
      </c>
    </row>
    <row r="14" customFormat="false" ht="15" hidden="false" customHeight="false" outlineLevel="0" collapsed="false">
      <c r="A14" s="20" t="s">
        <v>113</v>
      </c>
      <c r="B14" s="30" t="s">
        <v>114</v>
      </c>
      <c r="C14" s="20" t="s">
        <v>99</v>
      </c>
      <c r="D14" s="31" t="n">
        <v>560</v>
      </c>
      <c r="E14" s="27" t="n">
        <v>32</v>
      </c>
      <c r="F14" s="27" t="n">
        <v>38</v>
      </c>
      <c r="G14" s="27" t="n">
        <v>0</v>
      </c>
      <c r="H14" s="16" t="n">
        <f aca="false">N(F14)*0.03</f>
        <v>1.14</v>
      </c>
      <c r="I14" s="27" t="n">
        <v>0</v>
      </c>
      <c r="J14" s="16" t="n">
        <f aca="false">N(E14)+N(F14)+N(G14)+H14+N(I14)</f>
        <v>71.14</v>
      </c>
      <c r="K14" s="16" t="n">
        <f aca="false">ROUND(J14*Datos!$B$20,2)</f>
        <v>93.79</v>
      </c>
      <c r="L14" s="16" t="n">
        <f aca="false">K14*N(D14)</f>
        <v>52522.4</v>
      </c>
    </row>
    <row r="15" customFormat="false" ht="15" hidden="false" customHeight="false" outlineLevel="0" collapsed="false">
      <c r="A15" s="20"/>
      <c r="B15" s="30"/>
      <c r="C15" s="20"/>
      <c r="D15" s="31"/>
      <c r="E15" s="27"/>
      <c r="F15" s="27"/>
      <c r="G15" s="27"/>
      <c r="H15" s="16" t="n">
        <f aca="false">N(F15)*0.03</f>
        <v>0</v>
      </c>
      <c r="I15" s="27"/>
      <c r="J15" s="16" t="n">
        <f aca="false">N(E15)+N(F15)+N(G15)+H15+N(I15)</f>
        <v>0</v>
      </c>
      <c r="K15" s="16" t="n">
        <f aca="false">ROUND(J15*Datos!$B$20,2)</f>
        <v>0</v>
      </c>
      <c r="L15" s="16" t="n">
        <f aca="false">K15*N(D15)</f>
        <v>0</v>
      </c>
    </row>
    <row r="16" customFormat="false" ht="15" hidden="false" customHeight="false" outlineLevel="0" collapsed="false">
      <c r="A16" s="20"/>
      <c r="B16" s="30"/>
      <c r="C16" s="20"/>
      <c r="D16" s="31"/>
      <c r="E16" s="27"/>
      <c r="F16" s="27"/>
      <c r="G16" s="27"/>
      <c r="H16" s="16" t="n">
        <f aca="false">N(F16)*0.03</f>
        <v>0</v>
      </c>
      <c r="I16" s="27"/>
      <c r="J16" s="16" t="n">
        <f aca="false">N(E16)+N(F16)+N(G16)+H16+N(I16)</f>
        <v>0</v>
      </c>
      <c r="K16" s="16" t="n">
        <f aca="false">ROUND(J16*Datos!$B$20,2)</f>
        <v>0</v>
      </c>
      <c r="L16" s="16" t="n">
        <f aca="false">K16*N(D16)</f>
        <v>0</v>
      </c>
    </row>
    <row r="17" customFormat="false" ht="15" hidden="false" customHeight="false" outlineLevel="0" collapsed="false">
      <c r="A17" s="20"/>
      <c r="B17" s="30"/>
      <c r="C17" s="20"/>
      <c r="D17" s="31"/>
      <c r="E17" s="27"/>
      <c r="F17" s="27"/>
      <c r="G17" s="27"/>
      <c r="H17" s="16" t="n">
        <f aca="false">N(F17)*0.03</f>
        <v>0</v>
      </c>
      <c r="I17" s="27"/>
      <c r="J17" s="16" t="n">
        <f aca="false">N(E17)+N(F17)+N(G17)+H17+N(I17)</f>
        <v>0</v>
      </c>
      <c r="K17" s="16" t="n">
        <f aca="false">ROUND(J17*Datos!$B$20,2)</f>
        <v>0</v>
      </c>
      <c r="L17" s="16" t="n">
        <f aca="false">K17*N(D17)</f>
        <v>0</v>
      </c>
    </row>
    <row r="18" customFormat="false" ht="15" hidden="false" customHeight="false" outlineLevel="0" collapsed="false">
      <c r="A18" s="20"/>
      <c r="B18" s="30"/>
      <c r="C18" s="20"/>
      <c r="D18" s="31"/>
      <c r="E18" s="27"/>
      <c r="F18" s="27"/>
      <c r="G18" s="27"/>
      <c r="H18" s="16" t="n">
        <f aca="false">N(F18)*0.03</f>
        <v>0</v>
      </c>
      <c r="I18" s="27"/>
      <c r="J18" s="16" t="n">
        <f aca="false">N(E18)+N(F18)+N(G18)+H18+N(I18)</f>
        <v>0</v>
      </c>
      <c r="K18" s="16" t="n">
        <f aca="false">ROUND(J18*Datos!$B$20,2)</f>
        <v>0</v>
      </c>
      <c r="L18" s="16" t="n">
        <f aca="false">K18*N(D18)</f>
        <v>0</v>
      </c>
    </row>
    <row r="19" customFormat="false" ht="15" hidden="false" customHeight="false" outlineLevel="0" collapsed="false">
      <c r="A19" s="20"/>
      <c r="B19" s="30"/>
      <c r="C19" s="20"/>
      <c r="D19" s="31"/>
      <c r="E19" s="27"/>
      <c r="F19" s="27"/>
      <c r="G19" s="27"/>
      <c r="H19" s="16" t="n">
        <f aca="false">N(F19)*0.03</f>
        <v>0</v>
      </c>
      <c r="I19" s="27"/>
      <c r="J19" s="16" t="n">
        <f aca="false">N(E19)+N(F19)+N(G19)+H19+N(I19)</f>
        <v>0</v>
      </c>
      <c r="K19" s="16" t="n">
        <f aca="false">ROUND(J19*Datos!$B$20,2)</f>
        <v>0</v>
      </c>
      <c r="L19" s="16" t="n">
        <f aca="false">K19*N(D19)</f>
        <v>0</v>
      </c>
    </row>
    <row r="20" customFormat="false" ht="15" hidden="false" customHeight="false" outlineLevel="0" collapsed="false">
      <c r="A20" s="20"/>
      <c r="B20" s="30"/>
      <c r="C20" s="20"/>
      <c r="D20" s="31"/>
      <c r="E20" s="27"/>
      <c r="F20" s="27"/>
      <c r="G20" s="27"/>
      <c r="H20" s="16" t="n">
        <f aca="false">N(F20)*0.03</f>
        <v>0</v>
      </c>
      <c r="I20" s="27"/>
      <c r="J20" s="16" t="n">
        <f aca="false">N(E20)+N(F20)+N(G20)+H20+N(I20)</f>
        <v>0</v>
      </c>
      <c r="K20" s="16" t="n">
        <f aca="false">ROUND(J20*Datos!$B$20,2)</f>
        <v>0</v>
      </c>
      <c r="L20" s="16" t="n">
        <f aca="false">K20*N(D20)</f>
        <v>0</v>
      </c>
    </row>
    <row r="21" customFormat="false" ht="15" hidden="false" customHeight="false" outlineLevel="0" collapsed="false">
      <c r="A21" s="20"/>
      <c r="B21" s="30"/>
      <c r="C21" s="20"/>
      <c r="D21" s="31"/>
      <c r="E21" s="27"/>
      <c r="F21" s="27"/>
      <c r="G21" s="27"/>
      <c r="H21" s="16" t="n">
        <f aca="false">N(F21)*0.03</f>
        <v>0</v>
      </c>
      <c r="I21" s="27"/>
      <c r="J21" s="16" t="n">
        <f aca="false">N(E21)+N(F21)+N(G21)+H21+N(I21)</f>
        <v>0</v>
      </c>
      <c r="K21" s="16" t="n">
        <f aca="false">ROUND(J21*Datos!$B$20,2)</f>
        <v>0</v>
      </c>
      <c r="L21" s="16" t="n">
        <f aca="false">K21*N(D21)</f>
        <v>0</v>
      </c>
    </row>
    <row r="22" customFormat="false" ht="15" hidden="false" customHeight="false" outlineLevel="0" collapsed="false">
      <c r="A22" s="20"/>
      <c r="B22" s="30"/>
      <c r="C22" s="20"/>
      <c r="D22" s="31"/>
      <c r="E22" s="27"/>
      <c r="F22" s="27"/>
      <c r="G22" s="27"/>
      <c r="H22" s="16" t="n">
        <f aca="false">N(F22)*0.03</f>
        <v>0</v>
      </c>
      <c r="I22" s="27"/>
      <c r="J22" s="16" t="n">
        <f aca="false">N(E22)+N(F22)+N(G22)+H22+N(I22)</f>
        <v>0</v>
      </c>
      <c r="K22" s="16" t="n">
        <f aca="false">ROUND(J22*Datos!$B$20,2)</f>
        <v>0</v>
      </c>
      <c r="L22" s="16" t="n">
        <f aca="false">K22*N(D22)</f>
        <v>0</v>
      </c>
    </row>
    <row r="23" customFormat="false" ht="15" hidden="false" customHeight="false" outlineLevel="0" collapsed="false">
      <c r="A23" s="20"/>
      <c r="B23" s="30"/>
      <c r="C23" s="20"/>
      <c r="D23" s="31"/>
      <c r="E23" s="27"/>
      <c r="F23" s="27"/>
      <c r="G23" s="27"/>
      <c r="H23" s="16" t="n">
        <f aca="false">N(F23)*0.03</f>
        <v>0</v>
      </c>
      <c r="I23" s="27"/>
      <c r="J23" s="16" t="n">
        <f aca="false">N(E23)+N(F23)+N(G23)+H23+N(I23)</f>
        <v>0</v>
      </c>
      <c r="K23" s="16" t="n">
        <f aca="false">ROUND(J23*Datos!$B$20,2)</f>
        <v>0</v>
      </c>
      <c r="L23" s="16" t="n">
        <f aca="false">K23*N(D23)</f>
        <v>0</v>
      </c>
    </row>
    <row r="24" customFormat="false" ht="15" hidden="false" customHeight="false" outlineLevel="0" collapsed="false">
      <c r="A24" s="20"/>
      <c r="B24" s="30"/>
      <c r="C24" s="20"/>
      <c r="D24" s="31"/>
      <c r="E24" s="27"/>
      <c r="F24" s="27"/>
      <c r="G24" s="27"/>
      <c r="H24" s="16" t="n">
        <f aca="false">N(F24)*0.03</f>
        <v>0</v>
      </c>
      <c r="I24" s="27"/>
      <c r="J24" s="16" t="n">
        <f aca="false">N(E24)+N(F24)+N(G24)+H24+N(I24)</f>
        <v>0</v>
      </c>
      <c r="K24" s="16" t="n">
        <f aca="false">ROUND(J24*Datos!$B$20,2)</f>
        <v>0</v>
      </c>
      <c r="L24" s="16" t="n">
        <f aca="false">K24*N(D24)</f>
        <v>0</v>
      </c>
    </row>
    <row r="25" customFormat="false" ht="15" hidden="false" customHeight="false" outlineLevel="0" collapsed="false">
      <c r="A25" s="20"/>
      <c r="B25" s="30"/>
      <c r="C25" s="20"/>
      <c r="D25" s="31"/>
      <c r="E25" s="27"/>
      <c r="F25" s="27"/>
      <c r="G25" s="27"/>
      <c r="H25" s="16" t="n">
        <f aca="false">N(F25)*0.03</f>
        <v>0</v>
      </c>
      <c r="I25" s="27"/>
      <c r="J25" s="16" t="n">
        <f aca="false">N(E25)+N(F25)+N(G25)+H25+N(I25)</f>
        <v>0</v>
      </c>
      <c r="K25" s="16" t="n">
        <f aca="false">ROUND(J25*Datos!$B$20,2)</f>
        <v>0</v>
      </c>
      <c r="L25" s="16" t="n">
        <f aca="false">K25*N(D25)</f>
        <v>0</v>
      </c>
    </row>
    <row r="26" customFormat="false" ht="15" hidden="false" customHeight="false" outlineLevel="0" collapsed="false">
      <c r="A26" s="20"/>
      <c r="B26" s="30"/>
      <c r="C26" s="20"/>
      <c r="D26" s="31"/>
      <c r="E26" s="27"/>
      <c r="F26" s="27"/>
      <c r="G26" s="27"/>
      <c r="H26" s="16" t="n">
        <f aca="false">N(F26)*0.03</f>
        <v>0</v>
      </c>
      <c r="I26" s="27"/>
      <c r="J26" s="16" t="n">
        <f aca="false">N(E26)+N(F26)+N(G26)+H26+N(I26)</f>
        <v>0</v>
      </c>
      <c r="K26" s="16" t="n">
        <f aca="false">ROUND(J26*Datos!$B$20,2)</f>
        <v>0</v>
      </c>
      <c r="L26" s="16" t="n">
        <f aca="false">K26*N(D26)</f>
        <v>0</v>
      </c>
    </row>
    <row r="27" customFormat="false" ht="15" hidden="false" customHeight="false" outlineLevel="0" collapsed="false">
      <c r="A27" s="20"/>
      <c r="B27" s="30"/>
      <c r="C27" s="20"/>
      <c r="D27" s="31"/>
      <c r="E27" s="27"/>
      <c r="F27" s="27"/>
      <c r="G27" s="27"/>
      <c r="H27" s="16" t="n">
        <f aca="false">N(F27)*0.03</f>
        <v>0</v>
      </c>
      <c r="I27" s="27"/>
      <c r="J27" s="16" t="n">
        <f aca="false">N(E27)+N(F27)+N(G27)+H27+N(I27)</f>
        <v>0</v>
      </c>
      <c r="K27" s="16" t="n">
        <f aca="false">ROUND(J27*Datos!$B$20,2)</f>
        <v>0</v>
      </c>
      <c r="L27" s="16" t="n">
        <f aca="false">K27*N(D27)</f>
        <v>0</v>
      </c>
    </row>
    <row r="28" customFormat="false" ht="15" hidden="false" customHeight="false" outlineLevel="0" collapsed="false">
      <c r="A28" s="20"/>
      <c r="B28" s="30"/>
      <c r="C28" s="20"/>
      <c r="D28" s="31"/>
      <c r="E28" s="27"/>
      <c r="F28" s="27"/>
      <c r="G28" s="27"/>
      <c r="H28" s="16" t="n">
        <f aca="false">N(F28)*0.03</f>
        <v>0</v>
      </c>
      <c r="I28" s="27"/>
      <c r="J28" s="16" t="n">
        <f aca="false">N(E28)+N(F28)+N(G28)+H28+N(I28)</f>
        <v>0</v>
      </c>
      <c r="K28" s="16" t="n">
        <f aca="false">ROUND(J28*Datos!$B$20,2)</f>
        <v>0</v>
      </c>
      <c r="L28" s="16" t="n">
        <f aca="false">K28*N(D28)</f>
        <v>0</v>
      </c>
    </row>
    <row r="29" customFormat="false" ht="15" hidden="false" customHeight="false" outlineLevel="0" collapsed="false">
      <c r="A29" s="20"/>
      <c r="B29" s="30"/>
      <c r="C29" s="20"/>
      <c r="D29" s="31"/>
      <c r="E29" s="27"/>
      <c r="F29" s="27"/>
      <c r="G29" s="27"/>
      <c r="H29" s="16" t="n">
        <f aca="false">N(F29)*0.03</f>
        <v>0</v>
      </c>
      <c r="I29" s="27"/>
      <c r="J29" s="16" t="n">
        <f aca="false">N(E29)+N(F29)+N(G29)+H29+N(I29)</f>
        <v>0</v>
      </c>
      <c r="K29" s="16" t="n">
        <f aca="false">ROUND(J29*Datos!$B$20,2)</f>
        <v>0</v>
      </c>
      <c r="L29" s="16" t="n">
        <f aca="false">K29*N(D29)</f>
        <v>0</v>
      </c>
    </row>
    <row r="30" customFormat="false" ht="15" hidden="false" customHeight="false" outlineLevel="0" collapsed="false">
      <c r="A30" s="20"/>
      <c r="B30" s="30"/>
      <c r="C30" s="20"/>
      <c r="D30" s="31"/>
      <c r="E30" s="27"/>
      <c r="F30" s="27"/>
      <c r="G30" s="27"/>
      <c r="H30" s="16" t="n">
        <f aca="false">N(F30)*0.03</f>
        <v>0</v>
      </c>
      <c r="I30" s="27"/>
      <c r="J30" s="16" t="n">
        <f aca="false">N(E30)+N(F30)+N(G30)+H30+N(I30)</f>
        <v>0</v>
      </c>
      <c r="K30" s="16" t="n">
        <f aca="false">ROUND(J30*Datos!$B$20,2)</f>
        <v>0</v>
      </c>
      <c r="L30" s="16" t="n">
        <f aca="false">K30*N(D30)</f>
        <v>0</v>
      </c>
    </row>
    <row r="31" customFormat="false" ht="15" hidden="false" customHeight="false" outlineLevel="0" collapsed="false">
      <c r="A31" s="20"/>
      <c r="B31" s="30"/>
      <c r="C31" s="20"/>
      <c r="D31" s="31"/>
      <c r="E31" s="27"/>
      <c r="F31" s="27"/>
      <c r="G31" s="27"/>
      <c r="H31" s="16" t="n">
        <f aca="false">N(F31)*0.03</f>
        <v>0</v>
      </c>
      <c r="I31" s="27"/>
      <c r="J31" s="16" t="n">
        <f aca="false">N(E31)+N(F31)+N(G31)+H31+N(I31)</f>
        <v>0</v>
      </c>
      <c r="K31" s="16" t="n">
        <f aca="false">ROUND(J31*Datos!$B$20,2)</f>
        <v>0</v>
      </c>
      <c r="L31" s="16" t="n">
        <f aca="false">K31*N(D31)</f>
        <v>0</v>
      </c>
    </row>
    <row r="32" customFormat="false" ht="15" hidden="false" customHeight="false" outlineLevel="0" collapsed="false">
      <c r="A32" s="20"/>
      <c r="B32" s="30"/>
      <c r="C32" s="20"/>
      <c r="D32" s="31"/>
      <c r="E32" s="27"/>
      <c r="F32" s="27"/>
      <c r="G32" s="27"/>
      <c r="H32" s="16" t="n">
        <f aca="false">N(F32)*0.03</f>
        <v>0</v>
      </c>
      <c r="I32" s="27"/>
      <c r="J32" s="16" t="n">
        <f aca="false">N(E32)+N(F32)+N(G32)+H32+N(I32)</f>
        <v>0</v>
      </c>
      <c r="K32" s="16" t="n">
        <f aca="false">ROUND(J32*Datos!$B$20,2)</f>
        <v>0</v>
      </c>
      <c r="L32" s="16" t="n">
        <f aca="false">K32*N(D32)</f>
        <v>0</v>
      </c>
    </row>
    <row r="33" customFormat="false" ht="15" hidden="false" customHeight="false" outlineLevel="0" collapsed="false">
      <c r="A33" s="20"/>
      <c r="B33" s="30"/>
      <c r="C33" s="20"/>
      <c r="D33" s="31"/>
      <c r="E33" s="27"/>
      <c r="F33" s="27"/>
      <c r="G33" s="27"/>
      <c r="H33" s="16" t="n">
        <f aca="false">N(F33)*0.03</f>
        <v>0</v>
      </c>
      <c r="I33" s="27"/>
      <c r="J33" s="16" t="n">
        <f aca="false">N(E33)+N(F33)+N(G33)+H33+N(I33)</f>
        <v>0</v>
      </c>
      <c r="K33" s="16" t="n">
        <f aca="false">ROUND(J33*Datos!$B$20,2)</f>
        <v>0</v>
      </c>
      <c r="L33" s="16" t="n">
        <f aca="false">K33*N(D33)</f>
        <v>0</v>
      </c>
    </row>
    <row r="34" customFormat="false" ht="15" hidden="false" customHeight="false" outlineLevel="0" collapsed="false">
      <c r="A34" s="20"/>
      <c r="B34" s="30"/>
      <c r="C34" s="20"/>
      <c r="D34" s="31"/>
      <c r="E34" s="27"/>
      <c r="F34" s="27"/>
      <c r="G34" s="27"/>
      <c r="H34" s="16" t="n">
        <f aca="false">N(F34)*0.03</f>
        <v>0</v>
      </c>
      <c r="I34" s="27"/>
      <c r="J34" s="16" t="n">
        <f aca="false">N(E34)+N(F34)+N(G34)+H34+N(I34)</f>
        <v>0</v>
      </c>
      <c r="K34" s="16" t="n">
        <f aca="false">ROUND(J34*Datos!$B$20,2)</f>
        <v>0</v>
      </c>
      <c r="L34" s="16" t="n">
        <f aca="false">K34*N(D34)</f>
        <v>0</v>
      </c>
    </row>
    <row r="35" customFormat="false" ht="15" hidden="false" customHeight="false" outlineLevel="0" collapsed="false">
      <c r="A35" s="20"/>
      <c r="B35" s="30"/>
      <c r="C35" s="20"/>
      <c r="D35" s="31"/>
      <c r="E35" s="27"/>
      <c r="F35" s="27"/>
      <c r="G35" s="27"/>
      <c r="H35" s="16" t="n">
        <f aca="false">N(F35)*0.03</f>
        <v>0</v>
      </c>
      <c r="I35" s="27"/>
      <c r="J35" s="16" t="n">
        <f aca="false">N(E35)+N(F35)+N(G35)+H35+N(I35)</f>
        <v>0</v>
      </c>
      <c r="K35" s="16" t="n">
        <f aca="false">ROUND(J35*Datos!$B$20,2)</f>
        <v>0</v>
      </c>
      <c r="L35" s="16" t="n">
        <f aca="false">K35*N(D35)</f>
        <v>0</v>
      </c>
    </row>
    <row r="36" customFormat="false" ht="15" hidden="false" customHeight="false" outlineLevel="0" collapsed="false">
      <c r="A36" s="20"/>
      <c r="B36" s="30"/>
      <c r="C36" s="20"/>
      <c r="D36" s="31"/>
      <c r="E36" s="27"/>
      <c r="F36" s="27"/>
      <c r="G36" s="27"/>
      <c r="H36" s="16" t="n">
        <f aca="false">N(F36)*0.03</f>
        <v>0</v>
      </c>
      <c r="I36" s="27"/>
      <c r="J36" s="16" t="n">
        <f aca="false">N(E36)+N(F36)+N(G36)+H36+N(I36)</f>
        <v>0</v>
      </c>
      <c r="K36" s="16" t="n">
        <f aca="false">ROUND(J36*Datos!$B$20,2)</f>
        <v>0</v>
      </c>
      <c r="L36" s="16" t="n">
        <f aca="false">K36*N(D36)</f>
        <v>0</v>
      </c>
    </row>
    <row r="37" customFormat="false" ht="15" hidden="false" customHeight="false" outlineLevel="0" collapsed="false">
      <c r="A37" s="20"/>
      <c r="B37" s="30"/>
      <c r="C37" s="20"/>
      <c r="D37" s="31"/>
      <c r="E37" s="27"/>
      <c r="F37" s="27"/>
      <c r="G37" s="27"/>
      <c r="H37" s="16" t="n">
        <f aca="false">N(F37)*0.03</f>
        <v>0</v>
      </c>
      <c r="I37" s="27"/>
      <c r="J37" s="16" t="n">
        <f aca="false">N(E37)+N(F37)+N(G37)+H37+N(I37)</f>
        <v>0</v>
      </c>
      <c r="K37" s="16" t="n">
        <f aca="false">ROUND(J37*Datos!$B$20,2)</f>
        <v>0</v>
      </c>
      <c r="L37" s="16" t="n">
        <f aca="false">K37*N(D37)</f>
        <v>0</v>
      </c>
    </row>
    <row r="38" customFormat="false" ht="15" hidden="false" customHeight="false" outlineLevel="0" collapsed="false">
      <c r="A38" s="20"/>
      <c r="B38" s="30"/>
      <c r="C38" s="20"/>
      <c r="D38" s="31"/>
      <c r="E38" s="27"/>
      <c r="F38" s="27"/>
      <c r="G38" s="27"/>
      <c r="H38" s="16" t="n">
        <f aca="false">N(F38)*0.03</f>
        <v>0</v>
      </c>
      <c r="I38" s="27"/>
      <c r="J38" s="16" t="n">
        <f aca="false">N(E38)+N(F38)+N(G38)+H38+N(I38)</f>
        <v>0</v>
      </c>
      <c r="K38" s="16" t="n">
        <f aca="false">ROUND(J38*Datos!$B$20,2)</f>
        <v>0</v>
      </c>
      <c r="L38" s="16" t="n">
        <f aca="false">K38*N(D38)</f>
        <v>0</v>
      </c>
    </row>
    <row r="39" customFormat="false" ht="15" hidden="false" customHeight="false" outlineLevel="0" collapsed="false">
      <c r="A39" s="20"/>
      <c r="B39" s="30"/>
      <c r="C39" s="20"/>
      <c r="D39" s="31"/>
      <c r="E39" s="27"/>
      <c r="F39" s="27"/>
      <c r="G39" s="27"/>
      <c r="H39" s="16" t="n">
        <f aca="false">N(F39)*0.03</f>
        <v>0</v>
      </c>
      <c r="I39" s="27"/>
      <c r="J39" s="16" t="n">
        <f aca="false">N(E39)+N(F39)+N(G39)+H39+N(I39)</f>
        <v>0</v>
      </c>
      <c r="K39" s="16" t="n">
        <f aca="false">ROUND(J39*Datos!$B$20,2)</f>
        <v>0</v>
      </c>
      <c r="L39" s="16" t="n">
        <f aca="false">K39*N(D39)</f>
        <v>0</v>
      </c>
    </row>
    <row r="40" customFormat="false" ht="15" hidden="false" customHeight="false" outlineLevel="0" collapsed="false">
      <c r="A40" s="20"/>
      <c r="B40" s="30"/>
      <c r="C40" s="20"/>
      <c r="D40" s="31"/>
      <c r="E40" s="27"/>
      <c r="F40" s="27"/>
      <c r="G40" s="27"/>
      <c r="H40" s="16" t="n">
        <f aca="false">N(F40)*0.03</f>
        <v>0</v>
      </c>
      <c r="I40" s="27"/>
      <c r="J40" s="16" t="n">
        <f aca="false">N(E40)+N(F40)+N(G40)+H40+N(I40)</f>
        <v>0</v>
      </c>
      <c r="K40" s="16" t="n">
        <f aca="false">ROUND(J40*Datos!$B$20,2)</f>
        <v>0</v>
      </c>
      <c r="L40" s="16" t="n">
        <f aca="false">K40*N(D40)</f>
        <v>0</v>
      </c>
    </row>
    <row r="41" customFormat="false" ht="15" hidden="false" customHeight="false" outlineLevel="0" collapsed="false">
      <c r="A41" s="20"/>
      <c r="B41" s="30"/>
      <c r="C41" s="20"/>
      <c r="D41" s="31"/>
      <c r="E41" s="27"/>
      <c r="F41" s="27"/>
      <c r="G41" s="27"/>
      <c r="H41" s="16" t="n">
        <f aca="false">N(F41)*0.03</f>
        <v>0</v>
      </c>
      <c r="I41" s="27"/>
      <c r="J41" s="16" t="n">
        <f aca="false">N(E41)+N(F41)+N(G41)+H41+N(I41)</f>
        <v>0</v>
      </c>
      <c r="K41" s="16" t="n">
        <f aca="false">ROUND(J41*Datos!$B$20,2)</f>
        <v>0</v>
      </c>
      <c r="L41" s="16" t="n">
        <f aca="false">K41*N(D41)</f>
        <v>0</v>
      </c>
    </row>
    <row r="42" customFormat="false" ht="15" hidden="false" customHeight="false" outlineLevel="0" collapsed="false">
      <c r="A42" s="20"/>
      <c r="B42" s="30"/>
      <c r="C42" s="20"/>
      <c r="D42" s="31"/>
      <c r="E42" s="27"/>
      <c r="F42" s="27"/>
      <c r="G42" s="27"/>
      <c r="H42" s="16" t="n">
        <f aca="false">N(F42)*0.03</f>
        <v>0</v>
      </c>
      <c r="I42" s="27"/>
      <c r="J42" s="16" t="n">
        <f aca="false">N(E42)+N(F42)+N(G42)+H42+N(I42)</f>
        <v>0</v>
      </c>
      <c r="K42" s="16" t="n">
        <f aca="false">ROUND(J42*Datos!$B$20,2)</f>
        <v>0</v>
      </c>
      <c r="L42" s="16" t="n">
        <f aca="false">K42*N(D42)</f>
        <v>0</v>
      </c>
    </row>
    <row r="43" customFormat="false" ht="15" hidden="false" customHeight="false" outlineLevel="0" collapsed="false">
      <c r="A43" s="20"/>
      <c r="B43" s="30"/>
      <c r="C43" s="20"/>
      <c r="D43" s="31"/>
      <c r="E43" s="27"/>
      <c r="F43" s="27"/>
      <c r="G43" s="27"/>
      <c r="H43" s="16" t="n">
        <f aca="false">N(F43)*0.03</f>
        <v>0</v>
      </c>
      <c r="I43" s="27"/>
      <c r="J43" s="16" t="n">
        <f aca="false">N(E43)+N(F43)+N(G43)+H43+N(I43)</f>
        <v>0</v>
      </c>
      <c r="K43" s="16" t="n">
        <f aca="false">ROUND(J43*Datos!$B$20,2)</f>
        <v>0</v>
      </c>
      <c r="L43" s="16" t="n">
        <f aca="false">K43*N(D43)</f>
        <v>0</v>
      </c>
    </row>
    <row r="44" customFormat="false" ht="15" hidden="false" customHeight="false" outlineLevel="0" collapsed="false">
      <c r="A44" s="20"/>
      <c r="B44" s="30"/>
      <c r="C44" s="20"/>
      <c r="D44" s="31"/>
      <c r="E44" s="27"/>
      <c r="F44" s="27"/>
      <c r="G44" s="27"/>
      <c r="H44" s="16" t="n">
        <f aca="false">N(F44)*0.03</f>
        <v>0</v>
      </c>
      <c r="I44" s="27"/>
      <c r="J44" s="16" t="n">
        <f aca="false">N(E44)+N(F44)+N(G44)+H44+N(I44)</f>
        <v>0</v>
      </c>
      <c r="K44" s="16" t="n">
        <f aca="false">ROUND(J44*Datos!$B$20,2)</f>
        <v>0</v>
      </c>
      <c r="L44" s="16" t="n">
        <f aca="false">K44*N(D44)</f>
        <v>0</v>
      </c>
    </row>
    <row r="45" customFormat="false" ht="15" hidden="false" customHeight="false" outlineLevel="0" collapsed="false">
      <c r="A45" s="20"/>
      <c r="B45" s="30"/>
      <c r="C45" s="20"/>
      <c r="D45" s="31"/>
      <c r="E45" s="27"/>
      <c r="F45" s="27"/>
      <c r="G45" s="27"/>
      <c r="H45" s="16" t="n">
        <f aca="false">N(F45)*0.03</f>
        <v>0</v>
      </c>
      <c r="I45" s="27"/>
      <c r="J45" s="16" t="n">
        <f aca="false">N(E45)+N(F45)+N(G45)+H45+N(I45)</f>
        <v>0</v>
      </c>
      <c r="K45" s="16" t="n">
        <f aca="false">ROUND(J45*Datos!$B$20,2)</f>
        <v>0</v>
      </c>
      <c r="L45" s="16" t="n">
        <f aca="false">K45*N(D45)</f>
        <v>0</v>
      </c>
    </row>
    <row r="46" customFormat="false" ht="15" hidden="false" customHeight="false" outlineLevel="0" collapsed="false">
      <c r="A46" s="20"/>
      <c r="B46" s="30"/>
      <c r="C46" s="20"/>
      <c r="D46" s="31"/>
      <c r="E46" s="27"/>
      <c r="F46" s="27"/>
      <c r="G46" s="27"/>
      <c r="H46" s="16" t="n">
        <f aca="false">N(F46)*0.03</f>
        <v>0</v>
      </c>
      <c r="I46" s="27"/>
      <c r="J46" s="16" t="n">
        <f aca="false">N(E46)+N(F46)+N(G46)+H46+N(I46)</f>
        <v>0</v>
      </c>
      <c r="K46" s="16" t="n">
        <f aca="false">ROUND(J46*Datos!$B$20,2)</f>
        <v>0</v>
      </c>
      <c r="L46" s="16" t="n">
        <f aca="false">K46*N(D46)</f>
        <v>0</v>
      </c>
    </row>
    <row r="47" customFormat="false" ht="15" hidden="false" customHeight="false" outlineLevel="0" collapsed="false">
      <c r="A47" s="20"/>
      <c r="B47" s="30"/>
      <c r="C47" s="20"/>
      <c r="D47" s="31"/>
      <c r="E47" s="27"/>
      <c r="F47" s="27"/>
      <c r="G47" s="27"/>
      <c r="H47" s="16" t="n">
        <f aca="false">N(F47)*0.03</f>
        <v>0</v>
      </c>
      <c r="I47" s="27"/>
      <c r="J47" s="16" t="n">
        <f aca="false">N(E47)+N(F47)+N(G47)+H47+N(I47)</f>
        <v>0</v>
      </c>
      <c r="K47" s="16" t="n">
        <f aca="false">ROUND(J47*Datos!$B$20,2)</f>
        <v>0</v>
      </c>
      <c r="L47" s="16" t="n">
        <f aca="false">K47*N(D47)</f>
        <v>0</v>
      </c>
    </row>
    <row r="48" customFormat="false" ht="15" hidden="false" customHeight="false" outlineLevel="0" collapsed="false">
      <c r="A48" s="20"/>
      <c r="B48" s="30"/>
      <c r="C48" s="20"/>
      <c r="D48" s="31"/>
      <c r="E48" s="27"/>
      <c r="F48" s="27"/>
      <c r="G48" s="27"/>
      <c r="H48" s="16" t="n">
        <f aca="false">N(F48)*0.03</f>
        <v>0</v>
      </c>
      <c r="I48" s="27"/>
      <c r="J48" s="16" t="n">
        <f aca="false">N(E48)+N(F48)+N(G48)+H48+N(I48)</f>
        <v>0</v>
      </c>
      <c r="K48" s="16" t="n">
        <f aca="false">ROUND(J48*Datos!$B$20,2)</f>
        <v>0</v>
      </c>
      <c r="L48" s="16" t="n">
        <f aca="false">K48*N(D48)</f>
        <v>0</v>
      </c>
    </row>
    <row r="49" customFormat="false" ht="15" hidden="false" customHeight="false" outlineLevel="0" collapsed="false">
      <c r="A49" s="17"/>
      <c r="B49" s="17" t="s">
        <v>115</v>
      </c>
      <c r="C49" s="17"/>
      <c r="D49" s="17"/>
      <c r="E49" s="17"/>
      <c r="F49" s="17"/>
      <c r="G49" s="17"/>
      <c r="H49" s="17"/>
      <c r="I49" s="17"/>
      <c r="J49" s="18" t="n">
        <f aca="false">SUMPRODUCT(J7:J48,D7:D48)</f>
        <v>396340.75</v>
      </c>
      <c r="K49" s="17"/>
      <c r="L49" s="18" t="n">
        <f aca="false">SUM(L7:L48)</f>
        <v>522525.06</v>
      </c>
    </row>
    <row r="50" customFormat="false" ht="15" hidden="false" customHeight="false" outlineLevel="0" collapsed="false">
      <c r="A50" s="17"/>
      <c r="B50" s="17" t="s">
        <v>116</v>
      </c>
      <c r="C50" s="17"/>
      <c r="D50" s="17"/>
      <c r="E50" s="17"/>
      <c r="F50" s="17"/>
      <c r="G50" s="17"/>
      <c r="H50" s="17"/>
      <c r="I50" s="17"/>
      <c r="J50" s="17"/>
      <c r="K50" s="17"/>
      <c r="L50" s="29" t="n">
        <f aca="false">IF(L49=0,0,(L49-J49)/L49)</f>
        <v>0.241489489518455</v>
      </c>
    </row>
  </sheetData>
  <mergeCells count="2">
    <mergeCell ref="A1:L1"/>
    <mergeCell ref="A2:L2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5" min="4" style="0" width="13"/>
    <col collapsed="false" customWidth="true" hidden="false" outlineLevel="0" max="6" min="6" style="0" width="30"/>
  </cols>
  <sheetData>
    <row r="1" customFormat="false" ht="16.15" hidden="false" customHeight="false" outlineLevel="0" collapsed="false">
      <c r="A1" s="7" t="s">
        <v>0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8" t="s">
        <v>117</v>
      </c>
      <c r="B2" s="8"/>
      <c r="C2" s="8"/>
      <c r="D2" s="8"/>
      <c r="E2" s="8"/>
      <c r="F2" s="8"/>
    </row>
    <row r="3" customFormat="false" ht="15" hidden="false" customHeight="false" outlineLevel="0" collapsed="false">
      <c r="A3" s="9" t="s">
        <v>18</v>
      </c>
      <c r="B3" s="10"/>
    </row>
    <row r="4" customFormat="false" ht="15" hidden="false" customHeight="false" outlineLevel="0" collapsed="false">
      <c r="A4" s="9" t="s">
        <v>37</v>
      </c>
      <c r="B4" s="10"/>
    </row>
    <row r="5" customFormat="false" ht="15" hidden="false" customHeight="false" outlineLevel="0" collapsed="false">
      <c r="A5" s="13" t="s">
        <v>72</v>
      </c>
      <c r="B5" s="20" t="s">
        <v>101</v>
      </c>
      <c r="C5" s="9" t="s">
        <v>22</v>
      </c>
      <c r="D5" s="20" t="s">
        <v>99</v>
      </c>
    </row>
    <row r="7" customFormat="false" ht="15" hidden="false" customHeight="false" outlineLevel="0" collapsed="false">
      <c r="A7" s="2" t="s">
        <v>118</v>
      </c>
    </row>
    <row r="8" customFormat="false" ht="30" hidden="false" customHeight="true" outlineLevel="0" collapsed="false">
      <c r="A8" s="12" t="s">
        <v>119</v>
      </c>
      <c r="B8" s="12" t="s">
        <v>22</v>
      </c>
      <c r="C8" s="12" t="s">
        <v>23</v>
      </c>
      <c r="D8" s="12" t="s">
        <v>120</v>
      </c>
      <c r="E8" s="12" t="s">
        <v>25</v>
      </c>
      <c r="F8" s="12" t="s">
        <v>121</v>
      </c>
    </row>
    <row r="9" customFormat="false" ht="15" hidden="false" customHeight="false" outlineLevel="0" collapsed="false">
      <c r="A9" s="20" t="s">
        <v>122</v>
      </c>
      <c r="B9" s="20" t="s">
        <v>99</v>
      </c>
      <c r="C9" s="32" t="n">
        <v>1.05</v>
      </c>
      <c r="D9" s="27" t="n">
        <v>112</v>
      </c>
      <c r="E9" s="16" t="n">
        <f aca="false">C9*D9</f>
        <v>117.6</v>
      </c>
      <c r="F9" s="20" t="s">
        <v>123</v>
      </c>
    </row>
    <row r="10" customFormat="false" ht="15" hidden="false" customHeight="false" outlineLevel="0" collapsed="false">
      <c r="A10" s="20" t="s">
        <v>124</v>
      </c>
      <c r="B10" s="20" t="s">
        <v>125</v>
      </c>
      <c r="C10" s="32" t="n">
        <v>0.7</v>
      </c>
      <c r="D10" s="27" t="n">
        <v>68</v>
      </c>
      <c r="E10" s="16" t="n">
        <f aca="false">C10*D10</f>
        <v>47.6</v>
      </c>
      <c r="F10" s="20" t="s">
        <v>126</v>
      </c>
    </row>
    <row r="11" customFormat="false" ht="15" hidden="false" customHeight="false" outlineLevel="0" collapsed="false">
      <c r="A11" s="20" t="s">
        <v>127</v>
      </c>
      <c r="B11" s="20" t="s">
        <v>125</v>
      </c>
      <c r="C11" s="32" t="n">
        <v>0.3</v>
      </c>
      <c r="D11" s="27" t="n">
        <v>55</v>
      </c>
      <c r="E11" s="16" t="n">
        <f aca="false">C11*D11</f>
        <v>16.5</v>
      </c>
      <c r="F11" s="20" t="s">
        <v>126</v>
      </c>
    </row>
    <row r="12" customFormat="false" ht="15" hidden="false" customHeight="false" outlineLevel="0" collapsed="false">
      <c r="A12" s="20" t="s">
        <v>128</v>
      </c>
      <c r="B12" s="20" t="s">
        <v>129</v>
      </c>
      <c r="C12" s="32" t="n">
        <v>1</v>
      </c>
      <c r="D12" s="27" t="n">
        <v>22</v>
      </c>
      <c r="E12" s="16" t="n">
        <f aca="false">C12*D12</f>
        <v>22</v>
      </c>
      <c r="F12" s="20" t="s">
        <v>126</v>
      </c>
    </row>
    <row r="13" customFormat="false" ht="15" hidden="false" customHeight="false" outlineLevel="0" collapsed="false">
      <c r="D13" s="17" t="s">
        <v>26</v>
      </c>
      <c r="E13" s="18" t="n">
        <f aca="false">SUM(E9:E12)</f>
        <v>203.7</v>
      </c>
    </row>
    <row r="15" customFormat="false" ht="15" hidden="false" customHeight="false" outlineLevel="0" collapsed="false">
      <c r="A15" s="2" t="s">
        <v>130</v>
      </c>
    </row>
    <row r="16" customFormat="false" ht="30" hidden="false" customHeight="true" outlineLevel="0" collapsed="false">
      <c r="A16" s="12" t="s">
        <v>131</v>
      </c>
      <c r="B16" s="12" t="s">
        <v>22</v>
      </c>
      <c r="C16" s="12" t="s">
        <v>132</v>
      </c>
      <c r="D16" s="12" t="s">
        <v>133</v>
      </c>
      <c r="E16" s="12" t="s">
        <v>25</v>
      </c>
      <c r="F16" s="12" t="s">
        <v>134</v>
      </c>
    </row>
    <row r="17" customFormat="false" ht="15" hidden="false" customHeight="false" outlineLevel="0" collapsed="false">
      <c r="A17" s="20" t="s">
        <v>135</v>
      </c>
      <c r="B17" s="20" t="s">
        <v>136</v>
      </c>
      <c r="C17" s="26" t="n">
        <f aca="false">1/F17</f>
        <v>0.0909090909090909</v>
      </c>
      <c r="D17" s="27" t="n">
        <v>1850</v>
      </c>
      <c r="E17" s="16" t="n">
        <f aca="false">C17*D17</f>
        <v>168.181818181818</v>
      </c>
      <c r="F17" s="28" t="n">
        <v>11</v>
      </c>
    </row>
    <row r="18" customFormat="false" ht="15" hidden="false" customHeight="false" outlineLevel="0" collapsed="false">
      <c r="D18" s="17" t="s">
        <v>26</v>
      </c>
      <c r="E18" s="18" t="n">
        <f aca="false">SUM(E17:E17)</f>
        <v>168.181818181818</v>
      </c>
    </row>
    <row r="20" customFormat="false" ht="15" hidden="false" customHeight="false" outlineLevel="0" collapsed="false">
      <c r="A20" s="2" t="s">
        <v>137</v>
      </c>
    </row>
    <row r="21" customFormat="false" ht="30" hidden="false" customHeight="true" outlineLevel="0" collapsed="false">
      <c r="A21" s="12" t="s">
        <v>91</v>
      </c>
      <c r="B21" s="12" t="s">
        <v>22</v>
      </c>
      <c r="C21" s="12" t="s">
        <v>23</v>
      </c>
      <c r="D21" s="12" t="s">
        <v>138</v>
      </c>
      <c r="E21" s="12" t="s">
        <v>25</v>
      </c>
      <c r="F21" s="12" t="s">
        <v>139</v>
      </c>
    </row>
    <row r="22" customFormat="false" ht="15" hidden="false" customHeight="false" outlineLevel="0" collapsed="false">
      <c r="A22" s="20" t="s">
        <v>140</v>
      </c>
      <c r="B22" s="20" t="s">
        <v>141</v>
      </c>
      <c r="C22" s="32" t="n">
        <v>0.09</v>
      </c>
      <c r="D22" s="27" t="n">
        <v>35</v>
      </c>
      <c r="E22" s="16" t="n">
        <f aca="false">C22*D22</f>
        <v>3.15</v>
      </c>
      <c r="F22" s="20" t="s">
        <v>142</v>
      </c>
    </row>
    <row r="23" customFormat="false" ht="15" hidden="false" customHeight="false" outlineLevel="0" collapsed="false">
      <c r="A23" s="20" t="s">
        <v>143</v>
      </c>
      <c r="B23" s="20" t="s">
        <v>144</v>
      </c>
      <c r="C23" s="32" t="n">
        <v>0.03</v>
      </c>
      <c r="D23" s="16" t="n">
        <f aca="false">E18</f>
        <v>168.181818181818</v>
      </c>
      <c r="E23" s="16" t="n">
        <f aca="false">C23*D23</f>
        <v>5.04545454545455</v>
      </c>
      <c r="F23" s="20" t="s">
        <v>145</v>
      </c>
    </row>
    <row r="24" customFormat="false" ht="15" hidden="false" customHeight="false" outlineLevel="0" collapsed="false">
      <c r="D24" s="17" t="s">
        <v>26</v>
      </c>
      <c r="E24" s="18" t="n">
        <f aca="false">SUM(E22:E23)</f>
        <v>8.19545454545455</v>
      </c>
    </row>
    <row r="26" customFormat="false" ht="15" hidden="false" customHeight="false" outlineLevel="0" collapsed="false">
      <c r="D26" s="17" t="s">
        <v>146</v>
      </c>
      <c r="E26" s="18" t="n">
        <f aca="false">E13+E18+E24</f>
        <v>380.077272727273</v>
      </c>
    </row>
    <row r="27" customFormat="false" ht="15" hidden="false" customHeight="false" outlineLevel="0" collapsed="false">
      <c r="D27" s="10" t="s">
        <v>147</v>
      </c>
      <c r="E27" s="33" t="n">
        <f aca="false">Datos!B20</f>
        <v>1.31837780406128</v>
      </c>
    </row>
    <row r="28" customFormat="false" ht="15" hidden="false" customHeight="false" outlineLevel="0" collapsed="false">
      <c r="D28" s="17" t="s">
        <v>148</v>
      </c>
      <c r="E28" s="18" t="n">
        <f aca="false">ROUND(E26*E27,2)</f>
        <v>501.09</v>
      </c>
    </row>
    <row r="30" customFormat="false" ht="15" hidden="false" customHeight="false" outlineLevel="0" collapsed="false">
      <c r="A30" s="19" t="s">
        <v>149</v>
      </c>
    </row>
  </sheetData>
  <mergeCells count="2">
    <mergeCell ref="A1:F1"/>
    <mergeCell ref="A2:F2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2026-10-19T09:06:05Z</dcterms:created>
  <dc:creator>openpyxl</dc:creator>
  <dc:description/>
  <dc:language>en-US</dc:language>
  <cp:lastModifiedBy/>
  <dcterms:modified xsi:type="dcterms:W3CDTF">2026-10-19T09:06:05Z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