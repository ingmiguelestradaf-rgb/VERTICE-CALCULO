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ventario" sheetId="2" state="visible" r:id="rId4"/>
    <sheet name="Uso diario" sheetId="3" state="visible" r:id="rId5"/>
    <sheet name="Costo horario propio" sheetId="4" state="visible" r:id="rId6"/>
    <sheet name="Control de rentas" sheetId="5" state="visible" r:id="rId7"/>
    <sheet name="Mantenimien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6" authorId="0">
      <text>
        <r>
          <rPr>
            <sz val="10"/>
            <rFont val="Arial"/>
            <family val="2"/>
          </rPr>
          <t xml:space="preserve">Horómetro final − inicial. Si el equipo no tiene horómetro se toman 8 h por día reportado; corrige la fórmula si trabajó menos.</t>
        </r>
      </text>
    </comment>
  </commentList>
</comments>
</file>

<file path=xl/sharedStrings.xml><?xml version="1.0" encoding="utf-8"?>
<sst xmlns="http://schemas.openxmlformats.org/spreadsheetml/2006/main" count="143" uniqueCount="106">
  <si>
    <t xml:space="preserve">VÉRTICE  ·  Ingeniería, Arquitectura y Proyectos</t>
  </si>
  <si>
    <t xml:space="preserve">CONTROL DE MAQUINARIA Y EQUIPO PROPIO Y RENTADO</t>
  </si>
  <si>
    <t xml:space="preserve">Captura</t>
  </si>
  <si>
    <t xml:space="preserve">Celdas amarillas con texto azul = datos que capturas. Texto negro = fórmulas: no escribas encima. La fila de ejemplo muestra el formato esperado; sustitúyela por tus datos.</t>
  </si>
  <si>
    <t xml:space="preserve">Para qué sirve:</t>
  </si>
  <si>
    <t xml:space="preserve">Inventario de equipo propio y rentado, reporte diario de uso con horómetro, costo horario del equipo propio, conciliación de rentas contra la factura del arrendador y programa de mantenimiento por horómetro.</t>
  </si>
  <si>
    <t xml:space="preserve">Cómo se llena:</t>
  </si>
  <si>
    <t xml:space="preserve">1. «Inventario»: una fila por equipo con clave única. Para rentados captura proveedor, tarifa, unidad y mínimo (los del Anexo A del contrato de arrendamiento).</t>
  </si>
  <si>
    <t xml:space="preserve">2. «Uso diario»: una fila por equipo por día con horómetro inicial y final, firmada por el operador y tu representante (cláusula RENTA del contrato de arrendamiento). Anota horas inactivas y su causa: las horas por falla del equipo rentado no se pagan.</t>
  </si>
  <si>
    <t xml:space="preserve">3. «Costo horario propio»: método de costo horario (depreciación, inversión, seguros, mantenimiento, combustible, lubricantes, llantas y operación). El resultado alimenta el inventario y tus APU en VERTICE-CALCULO.</t>
  </si>
  <si>
    <t xml:space="preserve">4. «Control de rentas»: captura el periodo y lo que te facturó el arrendador; el libro calcula lo que debes pagar con el mínimo pactado y marca si la factura no cuadra.</t>
  </si>
  <si>
    <t xml:space="preserve">5. «Mantenimiento»: intervalos por horómetro; el estatus avisa cuándo programar el servicio.</t>
  </si>
  <si>
    <t xml:space="preserve">INVENTARIO DE MAQUINARIA Y EQUIPO</t>
  </si>
  <si>
    <t xml:space="preserve">Obra:</t>
  </si>
  <si>
    <t xml:space="preserve">Contrato:</t>
  </si>
  <si>
    <t xml:space="preserve">Clave</t>
  </si>
  <si>
    <t xml:space="preserve">Equipo</t>
  </si>
  <si>
    <t xml:space="preserve">Tipo</t>
  </si>
  <si>
    <t xml:space="preserve">Marca</t>
  </si>
  <si>
    <t xml:space="preserve">Modelo</t>
  </si>
  <si>
    <t xml:space="preserve">Serie</t>
  </si>
  <si>
    <t xml:space="preserve">Proveedor (si es rentado)</t>
  </si>
  <si>
    <t xml:space="preserve">Tarifa (sin IVA)</t>
  </si>
  <si>
    <t xml:space="preserve">Unidad de tarifa</t>
  </si>
  <si>
    <t xml:space="preserve">Mínimo por día (h o jornadas)</t>
  </si>
  <si>
    <t xml:space="preserve">Costo horario propio</t>
  </si>
  <si>
    <t xml:space="preserve">Ingreso a obra</t>
  </si>
  <si>
    <t xml:space="preserve">Salida de obra</t>
  </si>
  <si>
    <t xml:space="preserve">Horómetro actual</t>
  </si>
  <si>
    <t xml:space="preserve">Estatus</t>
  </si>
  <si>
    <t xml:space="preserve">EQ-01</t>
  </si>
  <si>
    <t xml:space="preserve">Revolvedora de 1 saco</t>
  </si>
  <si>
    <t xml:space="preserve">Propio</t>
  </si>
  <si>
    <t xml:space="preserve">hora</t>
  </si>
  <si>
    <t xml:space="preserve">EQ-02</t>
  </si>
  <si>
    <t xml:space="preserve">Vibrador de chicote a gasolina</t>
  </si>
  <si>
    <t xml:space="preserve">EQ-03</t>
  </si>
  <si>
    <t xml:space="preserve">Rentado</t>
  </si>
  <si>
    <t xml:space="preserve">Arrendador</t>
  </si>
  <si>
    <t xml:space="preserve">REPORTE DIARIO DE USO DE EQUIPO</t>
  </si>
  <si>
    <t xml:space="preserve">Fecha</t>
  </si>
  <si>
    <t xml:space="preserve">Horómetro inicial</t>
  </si>
  <si>
    <t xml:space="preserve">Horómetro final</t>
  </si>
  <si>
    <t xml:space="preserve">Horas trabajadas</t>
  </si>
  <si>
    <t xml:space="preserve">Horas inactivas</t>
  </si>
  <si>
    <t xml:space="preserve">Causa de inactividad</t>
  </si>
  <si>
    <t xml:space="preserve">Combustible (L)</t>
  </si>
  <si>
    <t xml:space="preserve">Rendimiento (L/h)</t>
  </si>
  <si>
    <t xml:space="preserve">Frente / concepto</t>
  </si>
  <si>
    <t xml:space="preserve">Operador</t>
  </si>
  <si>
    <t xml:space="preserve">Firma de conformidad</t>
  </si>
  <si>
    <t xml:space="preserve">Excavación de cepas eje A</t>
  </si>
  <si>
    <t xml:space="preserve">EQ-04</t>
  </si>
  <si>
    <t xml:space="preserve">Compactación de relleno</t>
  </si>
  <si>
    <t xml:space="preserve">Falla hidráulica (equipo rentado)</t>
  </si>
  <si>
    <t xml:space="preserve">Excavación de cepas eje B</t>
  </si>
  <si>
    <t xml:space="preserve">Colado de firmes</t>
  </si>
  <si>
    <t xml:space="preserve">COSTO HORARIO DE EQUIPO PROPIO</t>
  </si>
  <si>
    <t xml:space="preserve">Clave del equipo (igual al inventario)</t>
  </si>
  <si>
    <t xml:space="preserve">Revolvedora 1 saco</t>
  </si>
  <si>
    <t xml:space="preserve">Vibrador gasolina</t>
  </si>
  <si>
    <t xml:space="preserve">Valor de adquisición Va (sin IVA)</t>
  </si>
  <si>
    <t xml:space="preserve">Valor de llantas Pn (si tiene)</t>
  </si>
  <si>
    <t xml:space="preserve">Valor de rescate (% de Va)</t>
  </si>
  <si>
    <t xml:space="preserve">Vida económica Ve (horas)</t>
  </si>
  <si>
    <t xml:space="preserve">Horas trabajadas por año Hea</t>
  </si>
  <si>
    <t xml:space="preserve">Tasa de interés anual i</t>
  </si>
  <si>
    <t xml:space="preserve">Prima anual de seguros s</t>
  </si>
  <si>
    <t xml:space="preserve">Coeficiente de mantenimiento Ko (× depreciación)</t>
  </si>
  <si>
    <t xml:space="preserve">Consumo de combustible (L/h)</t>
  </si>
  <si>
    <t xml:space="preserve">Precio del combustible ($/L sin IVA)</t>
  </si>
  <si>
    <t xml:space="preserve">Lubricantes (% del costo de combustible)</t>
  </si>
  <si>
    <t xml:space="preserve">Vida de llantas (horas)</t>
  </si>
  <si>
    <t xml:space="preserve">Salario real del operador por turno (con FSR)</t>
  </si>
  <si>
    <t xml:space="preserve">Horas efectivas por turno</t>
  </si>
  <si>
    <t xml:space="preserve">Valor de rescate Vr</t>
  </si>
  <si>
    <t xml:space="preserve">Depreciación D = (Va − Vr) / Ve</t>
  </si>
  <si>
    <t xml:space="preserve">Inversión Im = (Va + Vr) / (2·Hea) · i</t>
  </si>
  <si>
    <t xml:space="preserve">Seguros Sm = (Va + Vr) / (2·Hea) · s</t>
  </si>
  <si>
    <t xml:space="preserve">Mantenimiento Mn = Ko · D</t>
  </si>
  <si>
    <t xml:space="preserve">Combustible y lubricantes</t>
  </si>
  <si>
    <t xml:space="preserve">Llantas + operación</t>
  </si>
  <si>
    <t xml:space="preserve">COSTO HORARIO DIRECTO</t>
  </si>
  <si>
    <t xml:space="preserve">Método de costo horario (cargos fijos, consumos y operación), el mismo que usan los análisis de precios unitarios. Si el equipo se usa en APU de VERTICE-CALCULO, captura este costo como Insumo tipo «Equipo».</t>
  </si>
  <si>
    <t xml:space="preserve">CONCILIACIÓN DE RENTAS DE EQUIPO</t>
  </si>
  <si>
    <t xml:space="preserve">Proveedor</t>
  </si>
  <si>
    <t xml:space="preserve">Periodo del</t>
  </si>
  <si>
    <t xml:space="preserve">Periodo al</t>
  </si>
  <si>
    <t xml:space="preserve">Días con uso</t>
  </si>
  <si>
    <t xml:space="preserve">Cantidad mínima del periodo</t>
  </si>
  <si>
    <t xml:space="preserve">Cantidad a pagar</t>
  </si>
  <si>
    <t xml:space="preserve">Tarifa</t>
  </si>
  <si>
    <t xml:space="preserve">Fletes</t>
  </si>
  <si>
    <t xml:space="preserve">IMPORTE CORRECTO</t>
  </si>
  <si>
    <t xml:space="preserve">Facturado por el proveedor</t>
  </si>
  <si>
    <t xml:space="preserve">Diferencia / revisión</t>
  </si>
  <si>
    <t xml:space="preserve">Las horas por falla del equipo rentado van en «Horas inactivas» y no se suman a las horas trabajadas, por lo que no se pagan (cláusula de MANTENIMIENTO del contrato de arrendamiento). Los «Días con uso» cuentan días con horas trabajadas mayores a cero. Para tarifas semanales o mensuales ajusta la cantidad a pagar con la factura.</t>
  </si>
  <si>
    <t xml:space="preserve">PROGRAMA DE MANTENIMIENTO POR HORÓMETRO</t>
  </si>
  <si>
    <t xml:space="preserve">Servicio</t>
  </si>
  <si>
    <t xml:space="preserve">Intervalo (horas)</t>
  </si>
  <si>
    <t xml:space="preserve">Horómetro del último servicio</t>
  </si>
  <si>
    <t xml:space="preserve">Próximo servicio (horómetro)</t>
  </si>
  <si>
    <t xml:space="preserve">Horas restantes</t>
  </si>
  <si>
    <t xml:space="preserve">Cambio de aceite de motor y filtros</t>
  </si>
  <si>
    <t xml:space="preserve">Engrase general</t>
  </si>
  <si>
    <t xml:space="preserve">Revisión de banda y tambor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</si>
</sst>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"/>
    <numFmt numFmtId="167" formatCode="dd/mm/yyyy"/>
    <numFmt numFmtId="168" formatCode="#,##0.0"/>
    <numFmt numFmtId="169" formatCode="0.0%;\(0.0%\);\-"/>
    <numFmt numFmtId="170" formatCode="#,##0"/>
    <numFmt numFmtId="171" formatCode="0.00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D2328"/>
      <name val="Arial"/>
      <family val="0"/>
      <charset val="1"/>
    </font>
    <font>
      <b val="true"/>
      <sz val="11"/>
      <color rgb="FFB23B2E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  <font>
      <b val="true"/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8C3"/>
      </patternFill>
    </fill>
    <fill>
      <patternFill patternType="solid">
        <fgColor rgb="FF1D2328"/>
        <bgColor rgb="FF333300"/>
      </patternFill>
    </fill>
    <fill>
      <patternFill patternType="solid">
        <fgColor rgb="FFE3E6E8"/>
        <bgColor rgb="FFD9EDD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23B2E"/>
      </bottom>
      <diagonal/>
    </border>
    <border diagonalUp="false" diagonalDown="false"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3"/>
        </patternFill>
      </fill>
    </dxf>
    <dxf>
      <fill>
        <patternFill>
          <bgColor rgb="FFFCE8C3"/>
        </patternFill>
      </fill>
    </dxf>
    <dxf>
      <fill>
        <patternFill>
          <bgColor rgb="FFD9ED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A"/>
      <rgbColor rgb="FF808080"/>
      <rgbColor rgb="FF9999FF"/>
      <rgbColor rgb="FF993366"/>
      <rgbColor rgb="FFFFF2CC"/>
      <rgbColor rgb="FFE3E6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DDF"/>
      <rgbColor rgb="FFFCE8C3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23B2E"/>
      <rgbColor rgb="FF993366"/>
      <rgbColor rgb="FF333399"/>
      <rgbColor rgb="FF1D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22.35" hidden="false" customHeight="false" outlineLevel="0" collapsed="false">
      <c r="A8" s="6" t="s">
        <v>5</v>
      </c>
    </row>
    <row r="9" customFormat="false" ht="15" hidden="false" customHeight="false" outlineLevel="0" collapsed="false">
      <c r="A9" s="5" t="s">
        <v>6</v>
      </c>
    </row>
    <row r="10" customFormat="false" ht="22.35" hidden="false" customHeight="false" outlineLevel="0" collapsed="false">
      <c r="A10" s="6" t="s">
        <v>7</v>
      </c>
    </row>
    <row r="11" customFormat="false" ht="22.35" hidden="false" customHeight="false" outlineLevel="0" collapsed="false">
      <c r="A11" s="6" t="s">
        <v>8</v>
      </c>
    </row>
    <row r="12" customFormat="false" ht="22.35" hidden="false" customHeight="false" outlineLevel="0" collapsed="false">
      <c r="A12" s="6" t="s">
        <v>9</v>
      </c>
    </row>
    <row r="13" customFormat="false" ht="22.3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6" t="s">
        <v>11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false" outlineLevel="0" collapsed="false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15</v>
      </c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25</v>
      </c>
      <c r="L6" s="11" t="s">
        <v>26</v>
      </c>
      <c r="M6" s="11" t="s">
        <v>27</v>
      </c>
      <c r="N6" s="11" t="s">
        <v>28</v>
      </c>
      <c r="O6" s="11" t="s">
        <v>29</v>
      </c>
    </row>
    <row r="7" customFormat="false" ht="15" hidden="false" customHeight="false" outlineLevel="0" collapsed="false">
      <c r="A7" s="12" t="s">
        <v>30</v>
      </c>
      <c r="B7" s="12" t="s">
        <v>31</v>
      </c>
      <c r="C7" s="12" t="s">
        <v>32</v>
      </c>
      <c r="D7" s="12"/>
      <c r="E7" s="12"/>
      <c r="F7" s="12"/>
      <c r="G7" s="12"/>
      <c r="H7" s="13"/>
      <c r="I7" s="12" t="s">
        <v>33</v>
      </c>
      <c r="J7" s="14"/>
      <c r="K7" s="15" t="n">
        <f aca="false">IF(C7&lt;&gt;"Propio","",IFERROR(INDEX('Costo horario propio'!$B$29:$F$29,MATCH(A7,'Costo horario propio'!$B$6:$F$6,0)),"Calcula en hoja"))</f>
        <v>36.0729166666667</v>
      </c>
      <c r="L7" s="16" t="n">
        <v>46314</v>
      </c>
      <c r="M7" s="16"/>
      <c r="N7" s="17" t="n">
        <f aca="false">IF(A7="","",_xlfn.MAXIFS('Uso diario'!$F$7:$F$1006,'Uso diario'!$B$7:$B$1006,A7))</f>
        <v>0</v>
      </c>
      <c r="O7" s="18" t="str">
        <f aca="false">IF(A7="","",IF(M7&lt;&gt;"","Fuera de obra","En obra"))</f>
        <v>En obra</v>
      </c>
    </row>
    <row r="8" customFormat="false" ht="15" hidden="false" customHeight="false" outlineLevel="0" collapsed="false">
      <c r="A8" s="12" t="s">
        <v>34</v>
      </c>
      <c r="B8" s="12" t="s">
        <v>35</v>
      </c>
      <c r="C8" s="12" t="s">
        <v>32</v>
      </c>
      <c r="D8" s="12"/>
      <c r="E8" s="12"/>
      <c r="F8" s="12"/>
      <c r="G8" s="12"/>
      <c r="H8" s="13"/>
      <c r="I8" s="12" t="s">
        <v>33</v>
      </c>
      <c r="J8" s="14"/>
      <c r="K8" s="15" t="n">
        <f aca="false">IF(C8&lt;&gt;"Propio","",IFERROR(INDEX('Costo horario propio'!$B$29:$F$29,MATCH(A8,'Costo horario propio'!$B$6:$F$6,0)),"Calcula en hoja"))</f>
        <v>25.82075</v>
      </c>
      <c r="L8" s="16" t="n">
        <v>46314</v>
      </c>
      <c r="M8" s="16"/>
      <c r="N8" s="17" t="n">
        <f aca="false">IF(A8="","",_xlfn.MAXIFS('Uso diario'!$F$7:$F$1006,'Uso diario'!$B$7:$B$1006,A8))</f>
        <v>0</v>
      </c>
      <c r="O8" s="18" t="str">
        <f aca="false">IF(A8="","",IF(M8&lt;&gt;"","Fuera de obra","En obra"))</f>
        <v>En obra</v>
      </c>
    </row>
    <row r="9" customFormat="false" ht="15" hidden="false" customHeight="false" outlineLevel="0" collapsed="false">
      <c r="A9" s="12" t="s">
        <v>36</v>
      </c>
      <c r="B9" s="12"/>
      <c r="C9" s="12" t="s">
        <v>37</v>
      </c>
      <c r="D9" s="12"/>
      <c r="E9" s="12"/>
      <c r="F9" s="12"/>
      <c r="G9" s="12" t="s">
        <v>38</v>
      </c>
      <c r="H9" s="13"/>
      <c r="I9" s="12" t="s">
        <v>33</v>
      </c>
      <c r="J9" s="14" t="n">
        <v>8</v>
      </c>
      <c r="K9" s="15" t="str">
        <f aca="false">IF(C9&lt;&gt;"Propio","",IFERROR(INDEX('Costo horario propio'!$B$29:$F$29,MATCH(A9,'Costo horario propio'!$B$6:$F$6,0)),"Calcula en hoja"))</f>
        <v/>
      </c>
      <c r="L9" s="16" t="n">
        <v>46314</v>
      </c>
      <c r="M9" s="16"/>
      <c r="N9" s="17" t="n">
        <f aca="false">IF(A9="","",_xlfn.MAXIFS('Uso diario'!$F$7:$F$1006,'Uso diario'!$B$7:$B$1006,A9))</f>
        <v>1264</v>
      </c>
      <c r="O9" s="18" t="str">
        <f aca="false">IF(A9="","",IF(M9&lt;&gt;"","Fuera de obra","En obra"))</f>
        <v>En obra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3"/>
      <c r="I10" s="12"/>
      <c r="J10" s="14"/>
      <c r="K10" s="15" t="str">
        <f aca="false">IF(C10&lt;&gt;"Propio","",IFERROR(INDEX('Costo horario propio'!$B$29:$F$29,MATCH(A10,'Costo horario propio'!$B$6:$F$6,0)),"Calcula en hoja"))</f>
        <v/>
      </c>
      <c r="L10" s="16"/>
      <c r="M10" s="16"/>
      <c r="N10" s="17" t="str">
        <f aca="false">IF(A10="","",_xlfn.MAXIFS('Uso diario'!$F$7:$F$1006,'Uso diario'!$B$7:$B$1006,A10))</f>
        <v/>
      </c>
      <c r="O10" s="18" t="str">
        <f aca="false">IF(A10="","",IF(M10&lt;&gt;"","Fuera de obra","En obra"))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3"/>
      <c r="I11" s="12"/>
      <c r="J11" s="14"/>
      <c r="K11" s="15" t="str">
        <f aca="false">IF(C11&lt;&gt;"Propio","",IFERROR(INDEX('Costo horario propio'!$B$29:$F$29,MATCH(A11,'Costo horario propio'!$B$6:$F$6,0)),"Calcula en hoja"))</f>
        <v/>
      </c>
      <c r="L11" s="16"/>
      <c r="M11" s="16"/>
      <c r="N11" s="17" t="str">
        <f aca="false">IF(A11="","",_xlfn.MAXIFS('Uso diario'!$F$7:$F$1006,'Uso diario'!$B$7:$B$1006,A11))</f>
        <v/>
      </c>
      <c r="O11" s="18" t="str">
        <f aca="false">IF(A11="","",IF(M11&lt;&gt;"","Fuera de obra","En obra"))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3"/>
      <c r="I12" s="12"/>
      <c r="J12" s="14"/>
      <c r="K12" s="15" t="str">
        <f aca="false">IF(C12&lt;&gt;"Propio","",IFERROR(INDEX('Costo horario propio'!$B$29:$F$29,MATCH(A12,'Costo horario propio'!$B$6:$F$6,0)),"Calcula en hoja"))</f>
        <v/>
      </c>
      <c r="L12" s="16"/>
      <c r="M12" s="16"/>
      <c r="N12" s="17" t="str">
        <f aca="false">IF(A12="","",_xlfn.MAXIFS('Uso diario'!$F$7:$F$1006,'Uso diario'!$B$7:$B$1006,A12))</f>
        <v/>
      </c>
      <c r="O12" s="18" t="str">
        <f aca="false">IF(A12="","",IF(M12&lt;&gt;"","Fuera de obra","En obra"))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3"/>
      <c r="I13" s="12"/>
      <c r="J13" s="14"/>
      <c r="K13" s="15" t="str">
        <f aca="false">IF(C13&lt;&gt;"Propio","",IFERROR(INDEX('Costo horario propio'!$B$29:$F$29,MATCH(A13,'Costo horario propio'!$B$6:$F$6,0)),"Calcula en hoja"))</f>
        <v/>
      </c>
      <c r="L13" s="16"/>
      <c r="M13" s="16"/>
      <c r="N13" s="17" t="str">
        <f aca="false">IF(A13="","",_xlfn.MAXIFS('Uso diario'!$F$7:$F$1006,'Uso diario'!$B$7:$B$1006,A13))</f>
        <v/>
      </c>
      <c r="O13" s="18" t="str">
        <f aca="false">IF(A13="","",IF(M13&lt;&gt;"","Fuera de obra","En obra"))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3"/>
      <c r="I14" s="12"/>
      <c r="J14" s="14"/>
      <c r="K14" s="15" t="str">
        <f aca="false">IF(C14&lt;&gt;"Propio","",IFERROR(INDEX('Costo horario propio'!$B$29:$F$29,MATCH(A14,'Costo horario propio'!$B$6:$F$6,0)),"Calcula en hoja"))</f>
        <v/>
      </c>
      <c r="L14" s="16"/>
      <c r="M14" s="16"/>
      <c r="N14" s="17" t="str">
        <f aca="false">IF(A14="","",_xlfn.MAXIFS('Uso diario'!$F$7:$F$1006,'Uso diario'!$B$7:$B$1006,A14))</f>
        <v/>
      </c>
      <c r="O14" s="18" t="str">
        <f aca="false">IF(A14="","",IF(M14&lt;&gt;"","Fuera de obra","En obra"))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3"/>
      <c r="I15" s="12"/>
      <c r="J15" s="14"/>
      <c r="K15" s="15" t="str">
        <f aca="false">IF(C15&lt;&gt;"Propio","",IFERROR(INDEX('Costo horario propio'!$B$29:$F$29,MATCH(A15,'Costo horario propio'!$B$6:$F$6,0)),"Calcula en hoja"))</f>
        <v/>
      </c>
      <c r="L15" s="16"/>
      <c r="M15" s="16"/>
      <c r="N15" s="17" t="str">
        <f aca="false">IF(A15="","",_xlfn.MAXIFS('Uso diario'!$F$7:$F$1006,'Uso diario'!$B$7:$B$1006,A15))</f>
        <v/>
      </c>
      <c r="O15" s="18" t="str">
        <f aca="false">IF(A15="","",IF(M15&lt;&gt;"","Fuera de obra","En obra"))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3"/>
      <c r="I16" s="12"/>
      <c r="J16" s="14"/>
      <c r="K16" s="15" t="str">
        <f aca="false">IF(C16&lt;&gt;"Propio","",IFERROR(INDEX('Costo horario propio'!$B$29:$F$29,MATCH(A16,'Costo horario propio'!$B$6:$F$6,0)),"Calcula en hoja"))</f>
        <v/>
      </c>
      <c r="L16" s="16"/>
      <c r="M16" s="16"/>
      <c r="N16" s="17" t="str">
        <f aca="false">IF(A16="","",_xlfn.MAXIFS('Uso diario'!$F$7:$F$1006,'Uso diario'!$B$7:$B$1006,A16))</f>
        <v/>
      </c>
      <c r="O16" s="18" t="str">
        <f aca="false">IF(A16="","",IF(M16&lt;&gt;"","Fuera de obra","En obra"))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3"/>
      <c r="I17" s="12"/>
      <c r="J17" s="14"/>
      <c r="K17" s="15" t="str">
        <f aca="false">IF(C17&lt;&gt;"Propio","",IFERROR(INDEX('Costo horario propio'!$B$29:$F$29,MATCH(A17,'Costo horario propio'!$B$6:$F$6,0)),"Calcula en hoja"))</f>
        <v/>
      </c>
      <c r="L17" s="16"/>
      <c r="M17" s="16"/>
      <c r="N17" s="17" t="str">
        <f aca="false">IF(A17="","",_xlfn.MAXIFS('Uso diario'!$F$7:$F$1006,'Uso diario'!$B$7:$B$1006,A17))</f>
        <v/>
      </c>
      <c r="O17" s="18" t="str">
        <f aca="false">IF(A17="","",IF(M17&lt;&gt;"","Fuera de obra","En obra"))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3"/>
      <c r="I18" s="12"/>
      <c r="J18" s="14"/>
      <c r="K18" s="15" t="str">
        <f aca="false">IF(C18&lt;&gt;"Propio","",IFERROR(INDEX('Costo horario propio'!$B$29:$F$29,MATCH(A18,'Costo horario propio'!$B$6:$F$6,0)),"Calcula en hoja"))</f>
        <v/>
      </c>
      <c r="L18" s="16"/>
      <c r="M18" s="16"/>
      <c r="N18" s="17" t="str">
        <f aca="false">IF(A18="","",_xlfn.MAXIFS('Uso diario'!$F$7:$F$1006,'Uso diario'!$B$7:$B$1006,A18))</f>
        <v/>
      </c>
      <c r="O18" s="18" t="str">
        <f aca="false">IF(A18="","",IF(M18&lt;&gt;"","Fuera de obra","En obra"))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3"/>
      <c r="I19" s="12"/>
      <c r="J19" s="14"/>
      <c r="K19" s="15" t="str">
        <f aca="false">IF(C19&lt;&gt;"Propio","",IFERROR(INDEX('Costo horario propio'!$B$29:$F$29,MATCH(A19,'Costo horario propio'!$B$6:$F$6,0)),"Calcula en hoja"))</f>
        <v/>
      </c>
      <c r="L19" s="16"/>
      <c r="M19" s="16"/>
      <c r="N19" s="17" t="str">
        <f aca="false">IF(A19="","",_xlfn.MAXIFS('Uso diario'!$F$7:$F$1006,'Uso diario'!$B$7:$B$1006,A19))</f>
        <v/>
      </c>
      <c r="O19" s="18" t="str">
        <f aca="false">IF(A19="","",IF(M19&lt;&gt;"","Fuera de obra","En obra"))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3"/>
      <c r="I20" s="12"/>
      <c r="J20" s="14"/>
      <c r="K20" s="15" t="str">
        <f aca="false">IF(C20&lt;&gt;"Propio","",IFERROR(INDEX('Costo horario propio'!$B$29:$F$29,MATCH(A20,'Costo horario propio'!$B$6:$F$6,0)),"Calcula en hoja"))</f>
        <v/>
      </c>
      <c r="L20" s="16"/>
      <c r="M20" s="16"/>
      <c r="N20" s="17" t="str">
        <f aca="false">IF(A20="","",_xlfn.MAXIFS('Uso diario'!$F$7:$F$1006,'Uso diario'!$B$7:$B$1006,A20))</f>
        <v/>
      </c>
      <c r="O20" s="18" t="str">
        <f aca="false">IF(A20="","",IF(M20&lt;&gt;"","Fuera de obra","En obra"))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3"/>
      <c r="I21" s="12"/>
      <c r="J21" s="14"/>
      <c r="K21" s="15" t="str">
        <f aca="false">IF(C21&lt;&gt;"Propio","",IFERROR(INDEX('Costo horario propio'!$B$29:$F$29,MATCH(A21,'Costo horario propio'!$B$6:$F$6,0)),"Calcula en hoja"))</f>
        <v/>
      </c>
      <c r="L21" s="16"/>
      <c r="M21" s="16"/>
      <c r="N21" s="17" t="str">
        <f aca="false">IF(A21="","",_xlfn.MAXIFS('Uso diario'!$F$7:$F$1006,'Uso diario'!$B$7:$B$1006,A21))</f>
        <v/>
      </c>
      <c r="O21" s="18" t="str">
        <f aca="false">IF(A21="","",IF(M21&lt;&gt;"","Fuera de obra","En obra"))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3"/>
      <c r="I22" s="12"/>
      <c r="J22" s="14"/>
      <c r="K22" s="15" t="str">
        <f aca="false">IF(C22&lt;&gt;"Propio","",IFERROR(INDEX('Costo horario propio'!$B$29:$F$29,MATCH(A22,'Costo horario propio'!$B$6:$F$6,0)),"Calcula en hoja"))</f>
        <v/>
      </c>
      <c r="L22" s="16"/>
      <c r="M22" s="16"/>
      <c r="N22" s="17" t="str">
        <f aca="false">IF(A22="","",_xlfn.MAXIFS('Uso diario'!$F$7:$F$1006,'Uso diario'!$B$7:$B$1006,A22))</f>
        <v/>
      </c>
      <c r="O22" s="18" t="str">
        <f aca="false">IF(A22="","",IF(M22&lt;&gt;"","Fuera de obra","En obra"))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3"/>
      <c r="I23" s="12"/>
      <c r="J23" s="14"/>
      <c r="K23" s="15" t="str">
        <f aca="false">IF(C23&lt;&gt;"Propio","",IFERROR(INDEX('Costo horario propio'!$B$29:$F$29,MATCH(A23,'Costo horario propio'!$B$6:$F$6,0)),"Calcula en hoja"))</f>
        <v/>
      </c>
      <c r="L23" s="16"/>
      <c r="M23" s="16"/>
      <c r="N23" s="17" t="str">
        <f aca="false">IF(A23="","",_xlfn.MAXIFS('Uso diario'!$F$7:$F$1006,'Uso diario'!$B$7:$B$1006,A23))</f>
        <v/>
      </c>
      <c r="O23" s="18" t="str">
        <f aca="false">IF(A23="","",IF(M23&lt;&gt;"","Fuera de obra","En obra"))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3"/>
      <c r="I24" s="12"/>
      <c r="J24" s="14"/>
      <c r="K24" s="15" t="str">
        <f aca="false">IF(C24&lt;&gt;"Propio","",IFERROR(INDEX('Costo horario propio'!$B$29:$F$29,MATCH(A24,'Costo horario propio'!$B$6:$F$6,0)),"Calcula en hoja"))</f>
        <v/>
      </c>
      <c r="L24" s="16"/>
      <c r="M24" s="16"/>
      <c r="N24" s="17" t="str">
        <f aca="false">IF(A24="","",_xlfn.MAXIFS('Uso diario'!$F$7:$F$1006,'Uso diario'!$B$7:$B$1006,A24))</f>
        <v/>
      </c>
      <c r="O24" s="18" t="str">
        <f aca="false">IF(A24="","",IF(M24&lt;&gt;"","Fuera de obra","En obra"))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3"/>
      <c r="I25" s="12"/>
      <c r="J25" s="14"/>
      <c r="K25" s="15" t="str">
        <f aca="false">IF(C25&lt;&gt;"Propio","",IFERROR(INDEX('Costo horario propio'!$B$29:$F$29,MATCH(A25,'Costo horario propio'!$B$6:$F$6,0)),"Calcula en hoja"))</f>
        <v/>
      </c>
      <c r="L25" s="16"/>
      <c r="M25" s="16"/>
      <c r="N25" s="17" t="str">
        <f aca="false">IF(A25="","",_xlfn.MAXIFS('Uso diario'!$F$7:$F$1006,'Uso diario'!$B$7:$B$1006,A25))</f>
        <v/>
      </c>
      <c r="O25" s="18" t="str">
        <f aca="false">IF(A25="","",IF(M25&lt;&gt;"","Fuera de obra","En obra"))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3"/>
      <c r="I26" s="12"/>
      <c r="J26" s="14"/>
      <c r="K26" s="15" t="str">
        <f aca="false">IF(C26&lt;&gt;"Propio","",IFERROR(INDEX('Costo horario propio'!$B$29:$F$29,MATCH(A26,'Costo horario propio'!$B$6:$F$6,0)),"Calcula en hoja"))</f>
        <v/>
      </c>
      <c r="L26" s="16"/>
      <c r="M26" s="16"/>
      <c r="N26" s="17" t="str">
        <f aca="false">IF(A26="","",_xlfn.MAXIFS('Uso diario'!$F$7:$F$1006,'Uso diario'!$B$7:$B$1006,A26))</f>
        <v/>
      </c>
      <c r="O26" s="18" t="str">
        <f aca="false">IF(A26="","",IF(M26&lt;&gt;"","Fuera de obra","En obra"))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3"/>
      <c r="I27" s="12"/>
      <c r="J27" s="14"/>
      <c r="K27" s="15" t="str">
        <f aca="false">IF(C27&lt;&gt;"Propio","",IFERROR(INDEX('Costo horario propio'!$B$29:$F$29,MATCH(A27,'Costo horario propio'!$B$6:$F$6,0)),"Calcula en hoja"))</f>
        <v/>
      </c>
      <c r="L27" s="16"/>
      <c r="M27" s="16"/>
      <c r="N27" s="17" t="str">
        <f aca="false">IF(A27="","",_xlfn.MAXIFS('Uso diario'!$F$7:$F$1006,'Uso diario'!$B$7:$B$1006,A27))</f>
        <v/>
      </c>
      <c r="O27" s="18" t="str">
        <f aca="false">IF(A27="","",IF(M27&lt;&gt;"","Fuera de obra","En obra"))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3"/>
      <c r="I28" s="12"/>
      <c r="J28" s="14"/>
      <c r="K28" s="15" t="str">
        <f aca="false">IF(C28&lt;&gt;"Propio","",IFERROR(INDEX('Costo horario propio'!$B$29:$F$29,MATCH(A28,'Costo horario propio'!$B$6:$F$6,0)),"Calcula en hoja"))</f>
        <v/>
      </c>
      <c r="L28" s="16"/>
      <c r="M28" s="16"/>
      <c r="N28" s="17" t="str">
        <f aca="false">IF(A28="","",_xlfn.MAXIFS('Uso diario'!$F$7:$F$1006,'Uso diario'!$B$7:$B$1006,A28))</f>
        <v/>
      </c>
      <c r="O28" s="18" t="str">
        <f aca="false">IF(A28="","",IF(M28&lt;&gt;"","Fuera de obra","En obra"))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3"/>
      <c r="I29" s="12"/>
      <c r="J29" s="14"/>
      <c r="K29" s="15" t="str">
        <f aca="false">IF(C29&lt;&gt;"Propio","",IFERROR(INDEX('Costo horario propio'!$B$29:$F$29,MATCH(A29,'Costo horario propio'!$B$6:$F$6,0)),"Calcula en hoja"))</f>
        <v/>
      </c>
      <c r="L29" s="16"/>
      <c r="M29" s="16"/>
      <c r="N29" s="17" t="str">
        <f aca="false">IF(A29="","",_xlfn.MAXIFS('Uso diario'!$F$7:$F$1006,'Uso diario'!$B$7:$B$1006,A29))</f>
        <v/>
      </c>
      <c r="O29" s="18" t="str">
        <f aca="false">IF(A29="","",IF(M29&lt;&gt;"","Fuera de obra","En obra"))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3"/>
      <c r="I30" s="12"/>
      <c r="J30" s="14"/>
      <c r="K30" s="15" t="str">
        <f aca="false">IF(C30&lt;&gt;"Propio","",IFERROR(INDEX('Costo horario propio'!$B$29:$F$29,MATCH(A30,'Costo horario propio'!$B$6:$F$6,0)),"Calcula en hoja"))</f>
        <v/>
      </c>
      <c r="L30" s="16"/>
      <c r="M30" s="16"/>
      <c r="N30" s="17" t="str">
        <f aca="false">IF(A30="","",_xlfn.MAXIFS('Uso diario'!$F$7:$F$1006,'Uso diario'!$B$7:$B$1006,A30))</f>
        <v/>
      </c>
      <c r="O30" s="18" t="str">
        <f aca="false">IF(A30="","",IF(M30&lt;&gt;"","Fuera de obra","En obra"))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3"/>
      <c r="I31" s="12"/>
      <c r="J31" s="14"/>
      <c r="K31" s="15" t="str">
        <f aca="false">IF(C31&lt;&gt;"Propio","",IFERROR(INDEX('Costo horario propio'!$B$29:$F$29,MATCH(A31,'Costo horario propio'!$B$6:$F$6,0)),"Calcula en hoja"))</f>
        <v/>
      </c>
      <c r="L31" s="16"/>
      <c r="M31" s="16"/>
      <c r="N31" s="17" t="str">
        <f aca="false">IF(A31="","",_xlfn.MAXIFS('Uso diario'!$F$7:$F$1006,'Uso diario'!$B$7:$B$1006,A31))</f>
        <v/>
      </c>
      <c r="O31" s="18" t="str">
        <f aca="false">IF(A31="","",IF(M31&lt;&gt;"","Fuera de obra","En obra"))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3"/>
      <c r="I32" s="12"/>
      <c r="J32" s="14"/>
      <c r="K32" s="15" t="str">
        <f aca="false">IF(C32&lt;&gt;"Propio","",IFERROR(INDEX('Costo horario propio'!$B$29:$F$29,MATCH(A32,'Costo horario propio'!$B$6:$F$6,0)),"Calcula en hoja"))</f>
        <v/>
      </c>
      <c r="L32" s="16"/>
      <c r="M32" s="16"/>
      <c r="N32" s="17" t="str">
        <f aca="false">IF(A32="","",_xlfn.MAXIFS('Uso diario'!$F$7:$F$1006,'Uso diario'!$B$7:$B$1006,A32))</f>
        <v/>
      </c>
      <c r="O32" s="18" t="str">
        <f aca="false">IF(A32="","",IF(M32&lt;&gt;"","Fuera de obra","En obra"))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3"/>
      <c r="I33" s="12"/>
      <c r="J33" s="14"/>
      <c r="K33" s="15" t="str">
        <f aca="false">IF(C33&lt;&gt;"Propio","",IFERROR(INDEX('Costo horario propio'!$B$29:$F$29,MATCH(A33,'Costo horario propio'!$B$6:$F$6,0)),"Calcula en hoja"))</f>
        <v/>
      </c>
      <c r="L33" s="16"/>
      <c r="M33" s="16"/>
      <c r="N33" s="17" t="str">
        <f aca="false">IF(A33="","",_xlfn.MAXIFS('Uso diario'!$F$7:$F$1006,'Uso diario'!$B$7:$B$1006,A33))</f>
        <v/>
      </c>
      <c r="O33" s="18" t="str">
        <f aca="false">IF(A33="","",IF(M33&lt;&gt;"","Fuera de obra","En obra"))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3"/>
      <c r="I34" s="12"/>
      <c r="J34" s="14"/>
      <c r="K34" s="15" t="str">
        <f aca="false">IF(C34&lt;&gt;"Propio","",IFERROR(INDEX('Costo horario propio'!$B$29:$F$29,MATCH(A34,'Costo horario propio'!$B$6:$F$6,0)),"Calcula en hoja"))</f>
        <v/>
      </c>
      <c r="L34" s="16"/>
      <c r="M34" s="16"/>
      <c r="N34" s="17" t="str">
        <f aca="false">IF(A34="","",_xlfn.MAXIFS('Uso diario'!$F$7:$F$1006,'Uso diario'!$B$7:$B$1006,A34))</f>
        <v/>
      </c>
      <c r="O34" s="18" t="str">
        <f aca="false">IF(A34="","",IF(M34&lt;&gt;"","Fuera de obra","En obra"))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3"/>
      <c r="I35" s="12"/>
      <c r="J35" s="14"/>
      <c r="K35" s="15" t="str">
        <f aca="false">IF(C35&lt;&gt;"Propio","",IFERROR(INDEX('Costo horario propio'!$B$29:$F$29,MATCH(A35,'Costo horario propio'!$B$6:$F$6,0)),"Calcula en hoja"))</f>
        <v/>
      </c>
      <c r="L35" s="16"/>
      <c r="M35" s="16"/>
      <c r="N35" s="17" t="str">
        <f aca="false">IF(A35="","",_xlfn.MAXIFS('Uso diario'!$F$7:$F$1006,'Uso diario'!$B$7:$B$1006,A35))</f>
        <v/>
      </c>
      <c r="O35" s="18" t="str">
        <f aca="false">IF(A35="","",IF(M35&lt;&gt;"","Fuera de obra","En obra"))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3"/>
      <c r="I36" s="12"/>
      <c r="J36" s="14"/>
      <c r="K36" s="15" t="str">
        <f aca="false">IF(C36&lt;&gt;"Propio","",IFERROR(INDEX('Costo horario propio'!$B$29:$F$29,MATCH(A36,'Costo horario propio'!$B$6:$F$6,0)),"Calcula en hoja"))</f>
        <v/>
      </c>
      <c r="L36" s="16"/>
      <c r="M36" s="16"/>
      <c r="N36" s="17" t="str">
        <f aca="false">IF(A36="","",_xlfn.MAXIFS('Uso diario'!$F$7:$F$1006,'Uso diario'!$B$7:$B$1006,A36))</f>
        <v/>
      </c>
      <c r="O36" s="18" t="str">
        <f aca="false">IF(A36="","",IF(M36&lt;&gt;"","Fuera de obra","En obra"))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3"/>
      <c r="I37" s="12"/>
      <c r="J37" s="14"/>
      <c r="K37" s="15" t="str">
        <f aca="false">IF(C37&lt;&gt;"Propio","",IFERROR(INDEX('Costo horario propio'!$B$29:$F$29,MATCH(A37,'Costo horario propio'!$B$6:$F$6,0)),"Calcula en hoja"))</f>
        <v/>
      </c>
      <c r="L37" s="16"/>
      <c r="M37" s="16"/>
      <c r="N37" s="17" t="str">
        <f aca="false">IF(A37="","",_xlfn.MAXIFS('Uso diario'!$F$7:$F$1006,'Uso diario'!$B$7:$B$1006,A37))</f>
        <v/>
      </c>
      <c r="O37" s="18" t="str">
        <f aca="false">IF(A37="","",IF(M37&lt;&gt;"","Fuera de obra","En obra"))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3"/>
      <c r="I38" s="12"/>
      <c r="J38" s="14"/>
      <c r="K38" s="15" t="str">
        <f aca="false">IF(C38&lt;&gt;"Propio","",IFERROR(INDEX('Costo horario propio'!$B$29:$F$29,MATCH(A38,'Costo horario propio'!$B$6:$F$6,0)),"Calcula en hoja"))</f>
        <v/>
      </c>
      <c r="L38" s="16"/>
      <c r="M38" s="16"/>
      <c r="N38" s="17" t="str">
        <f aca="false">IF(A38="","",_xlfn.MAXIFS('Uso diario'!$F$7:$F$1006,'Uso diario'!$B$7:$B$1006,A38))</f>
        <v/>
      </c>
      <c r="O38" s="18" t="str">
        <f aca="false">IF(A38="","",IF(M38&lt;&gt;"","Fuera de obra","En obra"))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3"/>
      <c r="I39" s="12"/>
      <c r="J39" s="14"/>
      <c r="K39" s="15" t="str">
        <f aca="false">IF(C39&lt;&gt;"Propio","",IFERROR(INDEX('Costo horario propio'!$B$29:$F$29,MATCH(A39,'Costo horario propio'!$B$6:$F$6,0)),"Calcula en hoja"))</f>
        <v/>
      </c>
      <c r="L39" s="16"/>
      <c r="M39" s="16"/>
      <c r="N39" s="17" t="str">
        <f aca="false">IF(A39="","",_xlfn.MAXIFS('Uso diario'!$F$7:$F$1006,'Uso diario'!$B$7:$B$1006,A39))</f>
        <v/>
      </c>
      <c r="O39" s="18" t="str">
        <f aca="false">IF(A39="","",IF(M39&lt;&gt;"","Fuera de obra","En obra"))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3"/>
      <c r="I40" s="12"/>
      <c r="J40" s="14"/>
      <c r="K40" s="15" t="str">
        <f aca="false">IF(C40&lt;&gt;"Propio","",IFERROR(INDEX('Costo horario propio'!$B$29:$F$29,MATCH(A40,'Costo horario propio'!$B$6:$F$6,0)),"Calcula en hoja"))</f>
        <v/>
      </c>
      <c r="L40" s="16"/>
      <c r="M40" s="16"/>
      <c r="N40" s="17" t="str">
        <f aca="false">IF(A40="","",_xlfn.MAXIFS('Uso diario'!$F$7:$F$1006,'Uso diario'!$B$7:$B$1006,A40))</f>
        <v/>
      </c>
      <c r="O40" s="18" t="str">
        <f aca="false">IF(A40="","",IF(M40&lt;&gt;"","Fuera de obra","En obra"))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3"/>
      <c r="I41" s="12"/>
      <c r="J41" s="14"/>
      <c r="K41" s="15" t="str">
        <f aca="false">IF(C41&lt;&gt;"Propio","",IFERROR(INDEX('Costo horario propio'!$B$29:$F$29,MATCH(A41,'Costo horario propio'!$B$6:$F$6,0)),"Calcula en hoja"))</f>
        <v/>
      </c>
      <c r="L41" s="16"/>
      <c r="M41" s="16"/>
      <c r="N41" s="17" t="str">
        <f aca="false">IF(A41="","",_xlfn.MAXIFS('Uso diario'!$F$7:$F$1006,'Uso diario'!$B$7:$B$1006,A41))</f>
        <v/>
      </c>
      <c r="O41" s="18" t="str">
        <f aca="false">IF(A41="","",IF(M41&lt;&gt;"","Fuera de obra","En obra"))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3"/>
      <c r="I42" s="12"/>
      <c r="J42" s="14"/>
      <c r="K42" s="15" t="str">
        <f aca="false">IF(C42&lt;&gt;"Propio","",IFERROR(INDEX('Costo horario propio'!$B$29:$F$29,MATCH(A42,'Costo horario propio'!$B$6:$F$6,0)),"Calcula en hoja"))</f>
        <v/>
      </c>
      <c r="L42" s="16"/>
      <c r="M42" s="16"/>
      <c r="N42" s="17" t="str">
        <f aca="false">IF(A42="","",_xlfn.MAXIFS('Uso diario'!$F$7:$F$1006,'Uso diario'!$B$7:$B$1006,A42))</f>
        <v/>
      </c>
      <c r="O42" s="18" t="str">
        <f aca="false">IF(A42="","",IF(M42&lt;&gt;"","Fuera de obra","En obra"))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3"/>
      <c r="I43" s="12"/>
      <c r="J43" s="14"/>
      <c r="K43" s="15" t="str">
        <f aca="false">IF(C43&lt;&gt;"Propio","",IFERROR(INDEX('Costo horario propio'!$B$29:$F$29,MATCH(A43,'Costo horario propio'!$B$6:$F$6,0)),"Calcula en hoja"))</f>
        <v/>
      </c>
      <c r="L43" s="16"/>
      <c r="M43" s="16"/>
      <c r="N43" s="17" t="str">
        <f aca="false">IF(A43="","",_xlfn.MAXIFS('Uso diario'!$F$7:$F$1006,'Uso diario'!$B$7:$B$1006,A43))</f>
        <v/>
      </c>
      <c r="O43" s="18" t="str">
        <f aca="false">IF(A43="","",IF(M43&lt;&gt;"","Fuera de obra","En obra"))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3"/>
      <c r="I44" s="12"/>
      <c r="J44" s="14"/>
      <c r="K44" s="15" t="str">
        <f aca="false">IF(C44&lt;&gt;"Propio","",IFERROR(INDEX('Costo horario propio'!$B$29:$F$29,MATCH(A44,'Costo horario propio'!$B$6:$F$6,0)),"Calcula en hoja"))</f>
        <v/>
      </c>
      <c r="L44" s="16"/>
      <c r="M44" s="16"/>
      <c r="N44" s="17" t="str">
        <f aca="false">IF(A44="","",_xlfn.MAXIFS('Uso diario'!$F$7:$F$1006,'Uso diario'!$B$7:$B$1006,A44))</f>
        <v/>
      </c>
      <c r="O44" s="18" t="str">
        <f aca="false">IF(A44="","",IF(M44&lt;&gt;"","Fuera de obra","En obra"))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3"/>
      <c r="I45" s="12"/>
      <c r="J45" s="14"/>
      <c r="K45" s="15" t="str">
        <f aca="false">IF(C45&lt;&gt;"Propio","",IFERROR(INDEX('Costo horario propio'!$B$29:$F$29,MATCH(A45,'Costo horario propio'!$B$6:$F$6,0)),"Calcula en hoja"))</f>
        <v/>
      </c>
      <c r="L45" s="16"/>
      <c r="M45" s="16"/>
      <c r="N45" s="17" t="str">
        <f aca="false">IF(A45="","",_xlfn.MAXIFS('Uso diario'!$F$7:$F$1006,'Uso diario'!$B$7:$B$1006,A45))</f>
        <v/>
      </c>
      <c r="O45" s="18" t="str">
        <f aca="false">IF(A45="","",IF(M45&lt;&gt;"","Fuera de obra","En obra"))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3"/>
      <c r="I46" s="12"/>
      <c r="J46" s="14"/>
      <c r="K46" s="15" t="str">
        <f aca="false">IF(C46&lt;&gt;"Propio","",IFERROR(INDEX('Costo horario propio'!$B$29:$F$29,MATCH(A46,'Costo horario propio'!$B$6:$F$6,0)),"Calcula en hoja"))</f>
        <v/>
      </c>
      <c r="L46" s="16"/>
      <c r="M46" s="16"/>
      <c r="N46" s="17" t="str">
        <f aca="false">IF(A46="","",_xlfn.MAXIFS('Uso diario'!$F$7:$F$1006,'Uso diario'!$B$7:$B$1006,A46))</f>
        <v/>
      </c>
      <c r="O46" s="18" t="str">
        <f aca="false">IF(A46="","",IF(M46&lt;&gt;"","Fuera de obra","En obra"))</f>
        <v/>
      </c>
    </row>
  </sheetData>
  <mergeCells count="2">
    <mergeCell ref="A1:O1"/>
    <mergeCell ref="A2:O2"/>
  </mergeCells>
  <dataValidations count="2">
    <dataValidation allowBlank="true" errorStyle="stop" operator="between" showDropDown="false" showErrorMessage="false" showInputMessage="false" sqref="C7:C46" type="list">
      <formula1>"Propio,Rentado"</formula1>
      <formula2>0</formula2>
    </dataValidation>
    <dataValidation allowBlank="true" errorStyle="stop" operator="between" showDropDown="false" showErrorMessage="false" showInputMessage="false" sqref="I7:I46" type="list">
      <formula1>"hora,jornada,semana,mes"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8" min="7" style="0" width="9"/>
    <col collapsed="false" customWidth="true" hidden="false" outlineLevel="0" max="9" min="9" style="0" width="20"/>
    <col collapsed="false" customWidth="true" hidden="false" outlineLevel="0" max="11" min="10" style="0" width="9"/>
    <col collapsed="false" customWidth="true" hidden="false" outlineLevel="0" max="12" min="12" style="0" width="24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" hidden="false" customHeight="false" outlineLevel="0" collapsed="false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40</v>
      </c>
      <c r="B6" s="11" t="s">
        <v>15</v>
      </c>
      <c r="C6" s="11" t="s">
        <v>16</v>
      </c>
      <c r="D6" s="11" t="s">
        <v>17</v>
      </c>
      <c r="E6" s="11" t="s">
        <v>41</v>
      </c>
      <c r="F6" s="11" t="s">
        <v>42</v>
      </c>
      <c r="G6" s="11" t="s">
        <v>43</v>
      </c>
      <c r="H6" s="11" t="s">
        <v>44</v>
      </c>
      <c r="I6" s="11" t="s">
        <v>45</v>
      </c>
      <c r="J6" s="11" t="s">
        <v>46</v>
      </c>
      <c r="K6" s="11" t="s">
        <v>47</v>
      </c>
      <c r="L6" s="11" t="s">
        <v>48</v>
      </c>
      <c r="M6" s="11" t="s">
        <v>49</v>
      </c>
      <c r="N6" s="11" t="s">
        <v>50</v>
      </c>
    </row>
    <row r="7" customFormat="false" ht="15" hidden="false" customHeight="false" outlineLevel="0" collapsed="false">
      <c r="A7" s="16" t="n">
        <v>46314</v>
      </c>
      <c r="B7" s="12" t="s">
        <v>36</v>
      </c>
      <c r="C7" s="18" t="n">
        <f aca="false">IF(B7="","",IFERROR(INDEX(Inventario!$B$7:$B$46,MATCH(B7,Inventario!$A$7:$A$46,0)),"Clave no existe"))</f>
        <v>0</v>
      </c>
      <c r="D7" s="18" t="str">
        <f aca="false">IF(B7="","",IFERROR(INDEX(Inventario!$C$7:$C$46,MATCH(B7,Inventario!$A$7:$A$46,0)),""))</f>
        <v>Rentado</v>
      </c>
      <c r="E7" s="19" t="n">
        <v>1250</v>
      </c>
      <c r="F7" s="19" t="n">
        <v>1258.5</v>
      </c>
      <c r="G7" s="20" t="n">
        <f aca="false">IF(OR(E7="",F7=""),IF(B7="","",IF(A7="","",8)),F7-E7)</f>
        <v>8.5</v>
      </c>
      <c r="H7" s="14" t="n">
        <v>0</v>
      </c>
      <c r="I7" s="12"/>
      <c r="J7" s="14" t="n">
        <v>72</v>
      </c>
      <c r="K7" s="20" t="n">
        <f aca="false">IF(OR(J7="",N(G7)=0),"",J7/G7)</f>
        <v>8.47058823529412</v>
      </c>
      <c r="L7" s="12" t="s">
        <v>51</v>
      </c>
      <c r="M7" s="12"/>
      <c r="N7" s="12"/>
    </row>
    <row r="8" customFormat="false" ht="15" hidden="false" customHeight="false" outlineLevel="0" collapsed="false">
      <c r="A8" s="16" t="n">
        <v>46314</v>
      </c>
      <c r="B8" s="12" t="s">
        <v>52</v>
      </c>
      <c r="C8" s="18" t="str">
        <f aca="false">IF(B8="","",IFERROR(INDEX(Inventario!$B$7:$B$46,MATCH(B8,Inventario!$A$7:$A$46,0)),"Clave no existe"))</f>
        <v>Clave no existe</v>
      </c>
      <c r="D8" s="18" t="str">
        <f aca="false">IF(B8="","",IFERROR(INDEX(Inventario!$C$7:$C$46,MATCH(B8,Inventario!$A$7:$A$46,0)),""))</f>
        <v/>
      </c>
      <c r="E8" s="19"/>
      <c r="F8" s="19"/>
      <c r="G8" s="20" t="n">
        <f aca="false">IF(OR(E8="",F8=""),IF(B8="","",IF(A8="","",8)),F8-E8)</f>
        <v>8</v>
      </c>
      <c r="H8" s="14" t="n">
        <v>0</v>
      </c>
      <c r="I8" s="12"/>
      <c r="J8" s="14" t="n">
        <v>4</v>
      </c>
      <c r="K8" s="20" t="n">
        <f aca="false">IF(OR(J8="",N(G8)=0),"",J8/G8)</f>
        <v>0.5</v>
      </c>
      <c r="L8" s="12" t="s">
        <v>53</v>
      </c>
      <c r="M8" s="12"/>
      <c r="N8" s="12"/>
    </row>
    <row r="9" customFormat="false" ht="15" hidden="false" customHeight="false" outlineLevel="0" collapsed="false">
      <c r="A9" s="16" t="n">
        <v>46315</v>
      </c>
      <c r="B9" s="12" t="s">
        <v>36</v>
      </c>
      <c r="C9" s="18" t="n">
        <f aca="false">IF(B9="","",IFERROR(INDEX(Inventario!$B$7:$B$46,MATCH(B9,Inventario!$A$7:$A$46,0)),"Clave no existe"))</f>
        <v>0</v>
      </c>
      <c r="D9" s="18" t="str">
        <f aca="false">IF(B9="","",IFERROR(INDEX(Inventario!$C$7:$C$46,MATCH(B9,Inventario!$A$7:$A$46,0)),""))</f>
        <v>Rentado</v>
      </c>
      <c r="E9" s="19" t="n">
        <v>1258.5</v>
      </c>
      <c r="F9" s="19" t="n">
        <v>1264</v>
      </c>
      <c r="G9" s="20" t="n">
        <f aca="false">IF(OR(E9="",F9=""),IF(B9="","",IF(A9="","",8)),F9-E9)</f>
        <v>5.5</v>
      </c>
      <c r="H9" s="14" t="n">
        <v>2.5</v>
      </c>
      <c r="I9" s="12" t="s">
        <v>54</v>
      </c>
      <c r="J9" s="14" t="n">
        <v>48</v>
      </c>
      <c r="K9" s="20" t="n">
        <f aca="false">IF(OR(J9="",N(G9)=0),"",J9/G9)</f>
        <v>8.72727272727273</v>
      </c>
      <c r="L9" s="12" t="s">
        <v>55</v>
      </c>
      <c r="M9" s="12"/>
      <c r="N9" s="12"/>
    </row>
    <row r="10" customFormat="false" ht="15" hidden="false" customHeight="false" outlineLevel="0" collapsed="false">
      <c r="A10" s="16" t="n">
        <v>46315</v>
      </c>
      <c r="B10" s="12" t="s">
        <v>30</v>
      </c>
      <c r="C10" s="18" t="str">
        <f aca="false">IF(B10="","",IFERROR(INDEX(Inventario!$B$7:$B$46,MATCH(B10,Inventario!$A$7:$A$46,0)),"Clave no existe"))</f>
        <v>Revolvedora de 1 saco</v>
      </c>
      <c r="D10" s="18" t="str">
        <f aca="false">IF(B10="","",IFERROR(INDEX(Inventario!$C$7:$C$46,MATCH(B10,Inventario!$A$7:$A$46,0)),""))</f>
        <v>Propio</v>
      </c>
      <c r="E10" s="19"/>
      <c r="F10" s="19"/>
      <c r="G10" s="20" t="n">
        <f aca="false">IF(OR(E10="",F10=""),IF(B10="","",IF(A10="","",8)),F10-E10)</f>
        <v>8</v>
      </c>
      <c r="H10" s="14" t="n">
        <v>0</v>
      </c>
      <c r="I10" s="12"/>
      <c r="J10" s="14" t="n">
        <v>6</v>
      </c>
      <c r="K10" s="20" t="n">
        <f aca="false">IF(OR(J10="",N(G10)=0),"",J10/G10)</f>
        <v>0.75</v>
      </c>
      <c r="L10" s="12" t="s">
        <v>56</v>
      </c>
      <c r="M10" s="12"/>
      <c r="N10" s="12"/>
    </row>
    <row r="11" customFormat="false" ht="15" hidden="false" customHeight="false" outlineLevel="0" collapsed="false">
      <c r="A11" s="16"/>
      <c r="B11" s="12"/>
      <c r="C11" s="18" t="str">
        <f aca="false">IF(B11="","",IFERROR(INDEX(Inventario!$B$7:$B$46,MATCH(B11,Inventario!$A$7:$A$46,0)),"Clave no existe"))</f>
        <v/>
      </c>
      <c r="D11" s="18" t="str">
        <f aca="false">IF(B11="","",IFERROR(INDEX(Inventario!$C$7:$C$46,MATCH(B11,Inventario!$A$7:$A$46,0)),""))</f>
        <v/>
      </c>
      <c r="E11" s="19"/>
      <c r="F11" s="19"/>
      <c r="G11" s="20" t="str">
        <f aca="false">IF(OR(E11="",F11=""),IF(B11="","",IF(A11="","",8)),F11-E11)</f>
        <v/>
      </c>
      <c r="H11" s="14"/>
      <c r="I11" s="12"/>
      <c r="J11" s="14"/>
      <c r="K11" s="20" t="str">
        <f aca="false">IF(OR(J11="",N(G11)=0),"",J11/G11)</f>
        <v/>
      </c>
      <c r="L11" s="12"/>
      <c r="M11" s="12"/>
      <c r="N11" s="12"/>
    </row>
    <row r="12" customFormat="false" ht="15" hidden="false" customHeight="false" outlineLevel="0" collapsed="false">
      <c r="A12" s="16"/>
      <c r="B12" s="12"/>
      <c r="C12" s="18" t="str">
        <f aca="false">IF(B12="","",IFERROR(INDEX(Inventario!$B$7:$B$46,MATCH(B12,Inventario!$A$7:$A$46,0)),"Clave no existe"))</f>
        <v/>
      </c>
      <c r="D12" s="18" t="str">
        <f aca="false">IF(B12="","",IFERROR(INDEX(Inventario!$C$7:$C$46,MATCH(B12,Inventario!$A$7:$A$46,0)),""))</f>
        <v/>
      </c>
      <c r="E12" s="19"/>
      <c r="F12" s="19"/>
      <c r="G12" s="20" t="str">
        <f aca="false">IF(OR(E12="",F12=""),IF(B12="","",IF(A12="","",8)),F12-E12)</f>
        <v/>
      </c>
      <c r="H12" s="14"/>
      <c r="I12" s="12"/>
      <c r="J12" s="14"/>
      <c r="K12" s="20" t="str">
        <f aca="false">IF(OR(J12="",N(G12)=0),"",J12/G12)</f>
        <v/>
      </c>
      <c r="L12" s="12"/>
      <c r="M12" s="12"/>
      <c r="N12" s="12"/>
    </row>
    <row r="13" customFormat="false" ht="15" hidden="false" customHeight="false" outlineLevel="0" collapsed="false">
      <c r="A13" s="16"/>
      <c r="B13" s="12"/>
      <c r="C13" s="18" t="str">
        <f aca="false">IF(B13="","",IFERROR(INDEX(Inventario!$B$7:$B$46,MATCH(B13,Inventario!$A$7:$A$46,0)),"Clave no existe"))</f>
        <v/>
      </c>
      <c r="D13" s="18" t="str">
        <f aca="false">IF(B13="","",IFERROR(INDEX(Inventario!$C$7:$C$46,MATCH(B13,Inventario!$A$7:$A$46,0)),""))</f>
        <v/>
      </c>
      <c r="E13" s="19"/>
      <c r="F13" s="19"/>
      <c r="G13" s="20" t="str">
        <f aca="false">IF(OR(E13="",F13=""),IF(B13="","",IF(A13="","",8)),F13-E13)</f>
        <v/>
      </c>
      <c r="H13" s="14"/>
      <c r="I13" s="12"/>
      <c r="J13" s="14"/>
      <c r="K13" s="20" t="str">
        <f aca="false">IF(OR(J13="",N(G13)=0),"",J13/G13)</f>
        <v/>
      </c>
      <c r="L13" s="12"/>
      <c r="M13" s="12"/>
      <c r="N13" s="12"/>
    </row>
    <row r="14" customFormat="false" ht="15" hidden="false" customHeight="false" outlineLevel="0" collapsed="false">
      <c r="A14" s="16"/>
      <c r="B14" s="12"/>
      <c r="C14" s="18" t="str">
        <f aca="false">IF(B14="","",IFERROR(INDEX(Inventario!$B$7:$B$46,MATCH(B14,Inventario!$A$7:$A$46,0)),"Clave no existe"))</f>
        <v/>
      </c>
      <c r="D14" s="18" t="str">
        <f aca="false">IF(B14="","",IFERROR(INDEX(Inventario!$C$7:$C$46,MATCH(B14,Inventario!$A$7:$A$46,0)),""))</f>
        <v/>
      </c>
      <c r="E14" s="19"/>
      <c r="F14" s="19"/>
      <c r="G14" s="20" t="str">
        <f aca="false">IF(OR(E14="",F14=""),IF(B14="","",IF(A14="","",8)),F14-E14)</f>
        <v/>
      </c>
      <c r="H14" s="14"/>
      <c r="I14" s="12"/>
      <c r="J14" s="14"/>
      <c r="K14" s="20" t="str">
        <f aca="false">IF(OR(J14="",N(G14)=0),"",J14/G14)</f>
        <v/>
      </c>
      <c r="L14" s="12"/>
      <c r="M14" s="12"/>
      <c r="N14" s="12"/>
    </row>
    <row r="15" customFormat="false" ht="15" hidden="false" customHeight="false" outlineLevel="0" collapsed="false">
      <c r="A15" s="16"/>
      <c r="B15" s="12"/>
      <c r="C15" s="18" t="str">
        <f aca="false">IF(B15="","",IFERROR(INDEX(Inventario!$B$7:$B$46,MATCH(B15,Inventario!$A$7:$A$46,0)),"Clave no existe"))</f>
        <v/>
      </c>
      <c r="D15" s="18" t="str">
        <f aca="false">IF(B15="","",IFERROR(INDEX(Inventario!$C$7:$C$46,MATCH(B15,Inventario!$A$7:$A$46,0)),""))</f>
        <v/>
      </c>
      <c r="E15" s="19"/>
      <c r="F15" s="19"/>
      <c r="G15" s="20" t="str">
        <f aca="false">IF(OR(E15="",F15=""),IF(B15="","",IF(A15="","",8)),F15-E15)</f>
        <v/>
      </c>
      <c r="H15" s="14"/>
      <c r="I15" s="12"/>
      <c r="J15" s="14"/>
      <c r="K15" s="20" t="str">
        <f aca="false">IF(OR(J15="",N(G15)=0),"",J15/G15)</f>
        <v/>
      </c>
      <c r="L15" s="12"/>
      <c r="M15" s="12"/>
      <c r="N15" s="12"/>
    </row>
    <row r="16" customFormat="false" ht="15" hidden="false" customHeight="false" outlineLevel="0" collapsed="false">
      <c r="A16" s="16"/>
      <c r="B16" s="12"/>
      <c r="C16" s="18" t="str">
        <f aca="false">IF(B16="","",IFERROR(INDEX(Inventario!$B$7:$B$46,MATCH(B16,Inventario!$A$7:$A$46,0)),"Clave no existe"))</f>
        <v/>
      </c>
      <c r="D16" s="18" t="str">
        <f aca="false">IF(B16="","",IFERROR(INDEX(Inventario!$C$7:$C$46,MATCH(B16,Inventario!$A$7:$A$46,0)),""))</f>
        <v/>
      </c>
      <c r="E16" s="19"/>
      <c r="F16" s="19"/>
      <c r="G16" s="20" t="str">
        <f aca="false">IF(OR(E16="",F16=""),IF(B16="","",IF(A16="","",8)),F16-E16)</f>
        <v/>
      </c>
      <c r="H16" s="14"/>
      <c r="I16" s="12"/>
      <c r="J16" s="14"/>
      <c r="K16" s="20" t="str">
        <f aca="false">IF(OR(J16="",N(G16)=0),"",J16/G16)</f>
        <v/>
      </c>
      <c r="L16" s="12"/>
      <c r="M16" s="12"/>
      <c r="N16" s="12"/>
    </row>
    <row r="17" customFormat="false" ht="15" hidden="false" customHeight="false" outlineLevel="0" collapsed="false">
      <c r="A17" s="16"/>
      <c r="B17" s="12"/>
      <c r="C17" s="18" t="str">
        <f aca="false">IF(B17="","",IFERROR(INDEX(Inventario!$B$7:$B$46,MATCH(B17,Inventario!$A$7:$A$46,0)),"Clave no existe"))</f>
        <v/>
      </c>
      <c r="D17" s="18" t="str">
        <f aca="false">IF(B17="","",IFERROR(INDEX(Inventario!$C$7:$C$46,MATCH(B17,Inventario!$A$7:$A$46,0)),""))</f>
        <v/>
      </c>
      <c r="E17" s="19"/>
      <c r="F17" s="19"/>
      <c r="G17" s="20" t="str">
        <f aca="false">IF(OR(E17="",F17=""),IF(B17="","",IF(A17="","",8)),F17-E17)</f>
        <v/>
      </c>
      <c r="H17" s="14"/>
      <c r="I17" s="12"/>
      <c r="J17" s="14"/>
      <c r="K17" s="20" t="str">
        <f aca="false">IF(OR(J17="",N(G17)=0),"",J17/G17)</f>
        <v/>
      </c>
      <c r="L17" s="12"/>
      <c r="M17" s="12"/>
      <c r="N17" s="12"/>
    </row>
    <row r="18" customFormat="false" ht="15" hidden="false" customHeight="false" outlineLevel="0" collapsed="false">
      <c r="A18" s="16"/>
      <c r="B18" s="12"/>
      <c r="C18" s="18" t="str">
        <f aca="false">IF(B18="","",IFERROR(INDEX(Inventario!$B$7:$B$46,MATCH(B18,Inventario!$A$7:$A$46,0)),"Clave no existe"))</f>
        <v/>
      </c>
      <c r="D18" s="18" t="str">
        <f aca="false">IF(B18="","",IFERROR(INDEX(Inventario!$C$7:$C$46,MATCH(B18,Inventario!$A$7:$A$46,0)),""))</f>
        <v/>
      </c>
      <c r="E18" s="19"/>
      <c r="F18" s="19"/>
      <c r="G18" s="20" t="str">
        <f aca="false">IF(OR(E18="",F18=""),IF(B18="","",IF(A18="","",8)),F18-E18)</f>
        <v/>
      </c>
      <c r="H18" s="14"/>
      <c r="I18" s="12"/>
      <c r="J18" s="14"/>
      <c r="K18" s="20" t="str">
        <f aca="false">IF(OR(J18="",N(G18)=0),"",J18/G18)</f>
        <v/>
      </c>
      <c r="L18" s="12"/>
      <c r="M18" s="12"/>
      <c r="N18" s="12"/>
    </row>
    <row r="19" customFormat="false" ht="15" hidden="false" customHeight="false" outlineLevel="0" collapsed="false">
      <c r="A19" s="16"/>
      <c r="B19" s="12"/>
      <c r="C19" s="18" t="str">
        <f aca="false">IF(B19="","",IFERROR(INDEX(Inventario!$B$7:$B$46,MATCH(B19,Inventario!$A$7:$A$46,0)),"Clave no existe"))</f>
        <v/>
      </c>
      <c r="D19" s="18" t="str">
        <f aca="false">IF(B19="","",IFERROR(INDEX(Inventario!$C$7:$C$46,MATCH(B19,Inventario!$A$7:$A$46,0)),""))</f>
        <v/>
      </c>
      <c r="E19" s="19"/>
      <c r="F19" s="19"/>
      <c r="G19" s="20" t="str">
        <f aca="false">IF(OR(E19="",F19=""),IF(B19="","",IF(A19="","",8)),F19-E19)</f>
        <v/>
      </c>
      <c r="H19" s="14"/>
      <c r="I19" s="12"/>
      <c r="J19" s="14"/>
      <c r="K19" s="20" t="str">
        <f aca="false">IF(OR(J19="",N(G19)=0),"",J19/G19)</f>
        <v/>
      </c>
      <c r="L19" s="12"/>
      <c r="M19" s="12"/>
      <c r="N19" s="12"/>
    </row>
    <row r="20" customFormat="false" ht="15" hidden="false" customHeight="false" outlineLevel="0" collapsed="false">
      <c r="A20" s="16"/>
      <c r="B20" s="12"/>
      <c r="C20" s="18" t="str">
        <f aca="false">IF(B20="","",IFERROR(INDEX(Inventario!$B$7:$B$46,MATCH(B20,Inventario!$A$7:$A$46,0)),"Clave no existe"))</f>
        <v/>
      </c>
      <c r="D20" s="18" t="str">
        <f aca="false">IF(B20="","",IFERROR(INDEX(Inventario!$C$7:$C$46,MATCH(B20,Inventario!$A$7:$A$46,0)),""))</f>
        <v/>
      </c>
      <c r="E20" s="19"/>
      <c r="F20" s="19"/>
      <c r="G20" s="20" t="str">
        <f aca="false">IF(OR(E20="",F20=""),IF(B20="","",IF(A20="","",8)),F20-E20)</f>
        <v/>
      </c>
      <c r="H20" s="14"/>
      <c r="I20" s="12"/>
      <c r="J20" s="14"/>
      <c r="K20" s="20" t="str">
        <f aca="false">IF(OR(J20="",N(G20)=0),"",J20/G20)</f>
        <v/>
      </c>
      <c r="L20" s="12"/>
      <c r="M20" s="12"/>
      <c r="N20" s="12"/>
    </row>
    <row r="21" customFormat="false" ht="15" hidden="false" customHeight="false" outlineLevel="0" collapsed="false">
      <c r="A21" s="16"/>
      <c r="B21" s="12"/>
      <c r="C21" s="18" t="str">
        <f aca="false">IF(B21="","",IFERROR(INDEX(Inventario!$B$7:$B$46,MATCH(B21,Inventario!$A$7:$A$46,0)),"Clave no existe"))</f>
        <v/>
      </c>
      <c r="D21" s="18" t="str">
        <f aca="false">IF(B21="","",IFERROR(INDEX(Inventario!$C$7:$C$46,MATCH(B21,Inventario!$A$7:$A$46,0)),""))</f>
        <v/>
      </c>
      <c r="E21" s="19"/>
      <c r="F21" s="19"/>
      <c r="G21" s="20" t="str">
        <f aca="false">IF(OR(E21="",F21=""),IF(B21="","",IF(A21="","",8)),F21-E21)</f>
        <v/>
      </c>
      <c r="H21" s="14"/>
      <c r="I21" s="12"/>
      <c r="J21" s="14"/>
      <c r="K21" s="20" t="str">
        <f aca="false">IF(OR(J21="",N(G21)=0),"",J21/G21)</f>
        <v/>
      </c>
      <c r="L21" s="12"/>
      <c r="M21" s="12"/>
      <c r="N21" s="12"/>
    </row>
    <row r="22" customFormat="false" ht="15" hidden="false" customHeight="false" outlineLevel="0" collapsed="false">
      <c r="A22" s="16"/>
      <c r="B22" s="12"/>
      <c r="C22" s="18" t="str">
        <f aca="false">IF(B22="","",IFERROR(INDEX(Inventario!$B$7:$B$46,MATCH(B22,Inventario!$A$7:$A$46,0)),"Clave no existe"))</f>
        <v/>
      </c>
      <c r="D22" s="18" t="str">
        <f aca="false">IF(B22="","",IFERROR(INDEX(Inventario!$C$7:$C$46,MATCH(B22,Inventario!$A$7:$A$46,0)),""))</f>
        <v/>
      </c>
      <c r="E22" s="19"/>
      <c r="F22" s="19"/>
      <c r="G22" s="20" t="str">
        <f aca="false">IF(OR(E22="",F22=""),IF(B22="","",IF(A22="","",8)),F22-E22)</f>
        <v/>
      </c>
      <c r="H22" s="14"/>
      <c r="I22" s="12"/>
      <c r="J22" s="14"/>
      <c r="K22" s="20" t="str">
        <f aca="false">IF(OR(J22="",N(G22)=0),"",J22/G22)</f>
        <v/>
      </c>
      <c r="L22" s="12"/>
      <c r="M22" s="12"/>
      <c r="N22" s="12"/>
    </row>
    <row r="23" customFormat="false" ht="15" hidden="false" customHeight="false" outlineLevel="0" collapsed="false">
      <c r="A23" s="16"/>
      <c r="B23" s="12"/>
      <c r="C23" s="18" t="str">
        <f aca="false">IF(B23="","",IFERROR(INDEX(Inventario!$B$7:$B$46,MATCH(B23,Inventario!$A$7:$A$46,0)),"Clave no existe"))</f>
        <v/>
      </c>
      <c r="D23" s="18" t="str">
        <f aca="false">IF(B23="","",IFERROR(INDEX(Inventario!$C$7:$C$46,MATCH(B23,Inventario!$A$7:$A$46,0)),""))</f>
        <v/>
      </c>
      <c r="E23" s="19"/>
      <c r="F23" s="19"/>
      <c r="G23" s="20" t="str">
        <f aca="false">IF(OR(E23="",F23=""),IF(B23="","",IF(A23="","",8)),F23-E23)</f>
        <v/>
      </c>
      <c r="H23" s="14"/>
      <c r="I23" s="12"/>
      <c r="J23" s="14"/>
      <c r="K23" s="20" t="str">
        <f aca="false">IF(OR(J23="",N(G23)=0),"",J23/G23)</f>
        <v/>
      </c>
      <c r="L23" s="12"/>
      <c r="M23" s="12"/>
      <c r="N23" s="12"/>
    </row>
    <row r="24" customFormat="false" ht="15" hidden="false" customHeight="false" outlineLevel="0" collapsed="false">
      <c r="A24" s="16"/>
      <c r="B24" s="12"/>
      <c r="C24" s="18" t="str">
        <f aca="false">IF(B24="","",IFERROR(INDEX(Inventario!$B$7:$B$46,MATCH(B24,Inventario!$A$7:$A$46,0)),"Clave no existe"))</f>
        <v/>
      </c>
      <c r="D24" s="18" t="str">
        <f aca="false">IF(B24="","",IFERROR(INDEX(Inventario!$C$7:$C$46,MATCH(B24,Inventario!$A$7:$A$46,0)),""))</f>
        <v/>
      </c>
      <c r="E24" s="19"/>
      <c r="F24" s="19"/>
      <c r="G24" s="20" t="str">
        <f aca="false">IF(OR(E24="",F24=""),IF(B24="","",IF(A24="","",8)),F24-E24)</f>
        <v/>
      </c>
      <c r="H24" s="14"/>
      <c r="I24" s="12"/>
      <c r="J24" s="14"/>
      <c r="K24" s="20" t="str">
        <f aca="false">IF(OR(J24="",N(G24)=0),"",J24/G24)</f>
        <v/>
      </c>
      <c r="L24" s="12"/>
      <c r="M24" s="12"/>
      <c r="N24" s="12"/>
    </row>
    <row r="25" customFormat="false" ht="15" hidden="false" customHeight="false" outlineLevel="0" collapsed="false">
      <c r="A25" s="16"/>
      <c r="B25" s="12"/>
      <c r="C25" s="18" t="str">
        <f aca="false">IF(B25="","",IFERROR(INDEX(Inventario!$B$7:$B$46,MATCH(B25,Inventario!$A$7:$A$46,0)),"Clave no existe"))</f>
        <v/>
      </c>
      <c r="D25" s="18" t="str">
        <f aca="false">IF(B25="","",IFERROR(INDEX(Inventario!$C$7:$C$46,MATCH(B25,Inventario!$A$7:$A$46,0)),""))</f>
        <v/>
      </c>
      <c r="E25" s="19"/>
      <c r="F25" s="19"/>
      <c r="G25" s="20" t="str">
        <f aca="false">IF(OR(E25="",F25=""),IF(B25="","",IF(A25="","",8)),F25-E25)</f>
        <v/>
      </c>
      <c r="H25" s="14"/>
      <c r="I25" s="12"/>
      <c r="J25" s="14"/>
      <c r="K25" s="20" t="str">
        <f aca="false">IF(OR(J25="",N(G25)=0),"",J25/G25)</f>
        <v/>
      </c>
      <c r="L25" s="12"/>
      <c r="M25" s="12"/>
      <c r="N25" s="12"/>
    </row>
    <row r="26" customFormat="false" ht="15" hidden="false" customHeight="false" outlineLevel="0" collapsed="false">
      <c r="A26" s="16"/>
      <c r="B26" s="12"/>
      <c r="C26" s="18" t="str">
        <f aca="false">IF(B26="","",IFERROR(INDEX(Inventario!$B$7:$B$46,MATCH(B26,Inventario!$A$7:$A$46,0)),"Clave no existe"))</f>
        <v/>
      </c>
      <c r="D26" s="18" t="str">
        <f aca="false">IF(B26="","",IFERROR(INDEX(Inventario!$C$7:$C$46,MATCH(B26,Inventario!$A$7:$A$46,0)),""))</f>
        <v/>
      </c>
      <c r="E26" s="19"/>
      <c r="F26" s="19"/>
      <c r="G26" s="20" t="str">
        <f aca="false">IF(OR(E26="",F26=""),IF(B26="","",IF(A26="","",8)),F26-E26)</f>
        <v/>
      </c>
      <c r="H26" s="14"/>
      <c r="I26" s="12"/>
      <c r="J26" s="14"/>
      <c r="K26" s="20" t="str">
        <f aca="false">IF(OR(J26="",N(G26)=0),"",J26/G26)</f>
        <v/>
      </c>
      <c r="L26" s="12"/>
      <c r="M26" s="12"/>
      <c r="N26" s="12"/>
    </row>
    <row r="27" customFormat="false" ht="15" hidden="false" customHeight="false" outlineLevel="0" collapsed="false">
      <c r="A27" s="16"/>
      <c r="B27" s="12"/>
      <c r="C27" s="18" t="str">
        <f aca="false">IF(B27="","",IFERROR(INDEX(Inventario!$B$7:$B$46,MATCH(B27,Inventario!$A$7:$A$46,0)),"Clave no existe"))</f>
        <v/>
      </c>
      <c r="D27" s="18" t="str">
        <f aca="false">IF(B27="","",IFERROR(INDEX(Inventario!$C$7:$C$46,MATCH(B27,Inventario!$A$7:$A$46,0)),""))</f>
        <v/>
      </c>
      <c r="E27" s="19"/>
      <c r="F27" s="19"/>
      <c r="G27" s="20" t="str">
        <f aca="false">IF(OR(E27="",F27=""),IF(B27="","",IF(A27="","",8)),F27-E27)</f>
        <v/>
      </c>
      <c r="H27" s="14"/>
      <c r="I27" s="12"/>
      <c r="J27" s="14"/>
      <c r="K27" s="20" t="str">
        <f aca="false">IF(OR(J27="",N(G27)=0),"",J27/G27)</f>
        <v/>
      </c>
      <c r="L27" s="12"/>
      <c r="M27" s="12"/>
      <c r="N27" s="12"/>
    </row>
    <row r="28" customFormat="false" ht="15" hidden="false" customHeight="false" outlineLevel="0" collapsed="false">
      <c r="A28" s="16"/>
      <c r="B28" s="12"/>
      <c r="C28" s="18" t="str">
        <f aca="false">IF(B28="","",IFERROR(INDEX(Inventario!$B$7:$B$46,MATCH(B28,Inventario!$A$7:$A$46,0)),"Clave no existe"))</f>
        <v/>
      </c>
      <c r="D28" s="18" t="str">
        <f aca="false">IF(B28="","",IFERROR(INDEX(Inventario!$C$7:$C$46,MATCH(B28,Inventario!$A$7:$A$46,0)),""))</f>
        <v/>
      </c>
      <c r="E28" s="19"/>
      <c r="F28" s="19"/>
      <c r="G28" s="20" t="str">
        <f aca="false">IF(OR(E28="",F28=""),IF(B28="","",IF(A28="","",8)),F28-E28)</f>
        <v/>
      </c>
      <c r="H28" s="14"/>
      <c r="I28" s="12"/>
      <c r="J28" s="14"/>
      <c r="K28" s="20" t="str">
        <f aca="false">IF(OR(J28="",N(G28)=0),"",J28/G28)</f>
        <v/>
      </c>
      <c r="L28" s="12"/>
      <c r="M28" s="12"/>
      <c r="N28" s="12"/>
    </row>
    <row r="29" customFormat="false" ht="15" hidden="false" customHeight="false" outlineLevel="0" collapsed="false">
      <c r="A29" s="16"/>
      <c r="B29" s="12"/>
      <c r="C29" s="18" t="str">
        <f aca="false">IF(B29="","",IFERROR(INDEX(Inventario!$B$7:$B$46,MATCH(B29,Inventario!$A$7:$A$46,0)),"Clave no existe"))</f>
        <v/>
      </c>
      <c r="D29" s="18" t="str">
        <f aca="false">IF(B29="","",IFERROR(INDEX(Inventario!$C$7:$C$46,MATCH(B29,Inventario!$A$7:$A$46,0)),""))</f>
        <v/>
      </c>
      <c r="E29" s="19"/>
      <c r="F29" s="19"/>
      <c r="G29" s="20" t="str">
        <f aca="false">IF(OR(E29="",F29=""),IF(B29="","",IF(A29="","",8)),F29-E29)</f>
        <v/>
      </c>
      <c r="H29" s="14"/>
      <c r="I29" s="12"/>
      <c r="J29" s="14"/>
      <c r="K29" s="20" t="str">
        <f aca="false">IF(OR(J29="",N(G29)=0),"",J29/G29)</f>
        <v/>
      </c>
      <c r="L29" s="12"/>
      <c r="M29" s="12"/>
      <c r="N29" s="12"/>
    </row>
    <row r="30" customFormat="false" ht="15" hidden="false" customHeight="false" outlineLevel="0" collapsed="false">
      <c r="A30" s="16"/>
      <c r="B30" s="12"/>
      <c r="C30" s="18" t="str">
        <f aca="false">IF(B30="","",IFERROR(INDEX(Inventario!$B$7:$B$46,MATCH(B30,Inventario!$A$7:$A$46,0)),"Clave no existe"))</f>
        <v/>
      </c>
      <c r="D30" s="18" t="str">
        <f aca="false">IF(B30="","",IFERROR(INDEX(Inventario!$C$7:$C$46,MATCH(B30,Inventario!$A$7:$A$46,0)),""))</f>
        <v/>
      </c>
      <c r="E30" s="19"/>
      <c r="F30" s="19"/>
      <c r="G30" s="20" t="str">
        <f aca="false">IF(OR(E30="",F30=""),IF(B30="","",IF(A30="","",8)),F30-E30)</f>
        <v/>
      </c>
      <c r="H30" s="14"/>
      <c r="I30" s="12"/>
      <c r="J30" s="14"/>
      <c r="K30" s="20" t="str">
        <f aca="false">IF(OR(J30="",N(G30)=0),"",J30/G30)</f>
        <v/>
      </c>
      <c r="L30" s="12"/>
      <c r="M30" s="12"/>
      <c r="N30" s="12"/>
    </row>
    <row r="31" customFormat="false" ht="15" hidden="false" customHeight="false" outlineLevel="0" collapsed="false">
      <c r="A31" s="16"/>
      <c r="B31" s="12"/>
      <c r="C31" s="18" t="str">
        <f aca="false">IF(B31="","",IFERROR(INDEX(Inventario!$B$7:$B$46,MATCH(B31,Inventario!$A$7:$A$46,0)),"Clave no existe"))</f>
        <v/>
      </c>
      <c r="D31" s="18" t="str">
        <f aca="false">IF(B31="","",IFERROR(INDEX(Inventario!$C$7:$C$46,MATCH(B31,Inventario!$A$7:$A$46,0)),""))</f>
        <v/>
      </c>
      <c r="E31" s="19"/>
      <c r="F31" s="19"/>
      <c r="G31" s="20" t="str">
        <f aca="false">IF(OR(E31="",F31=""),IF(B31="","",IF(A31="","",8)),F31-E31)</f>
        <v/>
      </c>
      <c r="H31" s="14"/>
      <c r="I31" s="12"/>
      <c r="J31" s="14"/>
      <c r="K31" s="20" t="str">
        <f aca="false">IF(OR(J31="",N(G31)=0),"",J31/G31)</f>
        <v/>
      </c>
      <c r="L31" s="12"/>
      <c r="M31" s="12"/>
      <c r="N31" s="12"/>
    </row>
    <row r="32" customFormat="false" ht="15" hidden="false" customHeight="false" outlineLevel="0" collapsed="false">
      <c r="A32" s="16"/>
      <c r="B32" s="12"/>
      <c r="C32" s="18" t="str">
        <f aca="false">IF(B32="","",IFERROR(INDEX(Inventario!$B$7:$B$46,MATCH(B32,Inventario!$A$7:$A$46,0)),"Clave no existe"))</f>
        <v/>
      </c>
      <c r="D32" s="18" t="str">
        <f aca="false">IF(B32="","",IFERROR(INDEX(Inventario!$C$7:$C$46,MATCH(B32,Inventario!$A$7:$A$46,0)),""))</f>
        <v/>
      </c>
      <c r="E32" s="19"/>
      <c r="F32" s="19"/>
      <c r="G32" s="20" t="str">
        <f aca="false">IF(OR(E32="",F32=""),IF(B32="","",IF(A32="","",8)),F32-E32)</f>
        <v/>
      </c>
      <c r="H32" s="14"/>
      <c r="I32" s="12"/>
      <c r="J32" s="14"/>
      <c r="K32" s="20" t="str">
        <f aca="false">IF(OR(J32="",N(G32)=0),"",J32/G32)</f>
        <v/>
      </c>
      <c r="L32" s="12"/>
      <c r="M32" s="12"/>
      <c r="N32" s="12"/>
    </row>
    <row r="33" customFormat="false" ht="15" hidden="false" customHeight="false" outlineLevel="0" collapsed="false">
      <c r="A33" s="16"/>
      <c r="B33" s="12"/>
      <c r="C33" s="18" t="str">
        <f aca="false">IF(B33="","",IFERROR(INDEX(Inventario!$B$7:$B$46,MATCH(B33,Inventario!$A$7:$A$46,0)),"Clave no existe"))</f>
        <v/>
      </c>
      <c r="D33" s="18" t="str">
        <f aca="false">IF(B33="","",IFERROR(INDEX(Inventario!$C$7:$C$46,MATCH(B33,Inventario!$A$7:$A$46,0)),""))</f>
        <v/>
      </c>
      <c r="E33" s="19"/>
      <c r="F33" s="19"/>
      <c r="G33" s="20" t="str">
        <f aca="false">IF(OR(E33="",F33=""),IF(B33="","",IF(A33="","",8)),F33-E33)</f>
        <v/>
      </c>
      <c r="H33" s="14"/>
      <c r="I33" s="12"/>
      <c r="J33" s="14"/>
      <c r="K33" s="20" t="str">
        <f aca="false">IF(OR(J33="",N(G33)=0),"",J33/G33)</f>
        <v/>
      </c>
      <c r="L33" s="12"/>
      <c r="M33" s="12"/>
      <c r="N33" s="12"/>
    </row>
    <row r="34" customFormat="false" ht="15" hidden="false" customHeight="false" outlineLevel="0" collapsed="false">
      <c r="A34" s="16"/>
      <c r="B34" s="12"/>
      <c r="C34" s="18" t="str">
        <f aca="false">IF(B34="","",IFERROR(INDEX(Inventario!$B$7:$B$46,MATCH(B34,Inventario!$A$7:$A$46,0)),"Clave no existe"))</f>
        <v/>
      </c>
      <c r="D34" s="18" t="str">
        <f aca="false">IF(B34="","",IFERROR(INDEX(Inventario!$C$7:$C$46,MATCH(B34,Inventario!$A$7:$A$46,0)),""))</f>
        <v/>
      </c>
      <c r="E34" s="19"/>
      <c r="F34" s="19"/>
      <c r="G34" s="20" t="str">
        <f aca="false">IF(OR(E34="",F34=""),IF(B34="","",IF(A34="","",8)),F34-E34)</f>
        <v/>
      </c>
      <c r="H34" s="14"/>
      <c r="I34" s="12"/>
      <c r="J34" s="14"/>
      <c r="K34" s="20" t="str">
        <f aca="false">IF(OR(J34="",N(G34)=0),"",J34/G34)</f>
        <v/>
      </c>
      <c r="L34" s="12"/>
      <c r="M34" s="12"/>
      <c r="N34" s="12"/>
    </row>
    <row r="35" customFormat="false" ht="15" hidden="false" customHeight="false" outlineLevel="0" collapsed="false">
      <c r="A35" s="16"/>
      <c r="B35" s="12"/>
      <c r="C35" s="18" t="str">
        <f aca="false">IF(B35="","",IFERROR(INDEX(Inventario!$B$7:$B$46,MATCH(B35,Inventario!$A$7:$A$46,0)),"Clave no existe"))</f>
        <v/>
      </c>
      <c r="D35" s="18" t="str">
        <f aca="false">IF(B35="","",IFERROR(INDEX(Inventario!$C$7:$C$46,MATCH(B35,Inventario!$A$7:$A$46,0)),""))</f>
        <v/>
      </c>
      <c r="E35" s="19"/>
      <c r="F35" s="19"/>
      <c r="G35" s="20" t="str">
        <f aca="false">IF(OR(E35="",F35=""),IF(B35="","",IF(A35="","",8)),F35-E35)</f>
        <v/>
      </c>
      <c r="H35" s="14"/>
      <c r="I35" s="12"/>
      <c r="J35" s="14"/>
      <c r="K35" s="20" t="str">
        <f aca="false">IF(OR(J35="",N(G35)=0),"",J35/G35)</f>
        <v/>
      </c>
      <c r="L35" s="12"/>
      <c r="M35" s="12"/>
      <c r="N35" s="12"/>
    </row>
    <row r="36" customFormat="false" ht="15" hidden="false" customHeight="false" outlineLevel="0" collapsed="false">
      <c r="A36" s="16"/>
      <c r="B36" s="12"/>
      <c r="C36" s="18" t="str">
        <f aca="false">IF(B36="","",IFERROR(INDEX(Inventario!$B$7:$B$46,MATCH(B36,Inventario!$A$7:$A$46,0)),"Clave no existe"))</f>
        <v/>
      </c>
      <c r="D36" s="18" t="str">
        <f aca="false">IF(B36="","",IFERROR(INDEX(Inventario!$C$7:$C$46,MATCH(B36,Inventario!$A$7:$A$46,0)),""))</f>
        <v/>
      </c>
      <c r="E36" s="19"/>
      <c r="F36" s="19"/>
      <c r="G36" s="20" t="str">
        <f aca="false">IF(OR(E36="",F36=""),IF(B36="","",IF(A36="","",8)),F36-E36)</f>
        <v/>
      </c>
      <c r="H36" s="14"/>
      <c r="I36" s="12"/>
      <c r="J36" s="14"/>
      <c r="K36" s="20" t="str">
        <f aca="false">IF(OR(J36="",N(G36)=0),"",J36/G36)</f>
        <v/>
      </c>
      <c r="L36" s="12"/>
      <c r="M36" s="12"/>
      <c r="N36" s="12"/>
    </row>
    <row r="37" customFormat="false" ht="15" hidden="false" customHeight="false" outlineLevel="0" collapsed="false">
      <c r="A37" s="16"/>
      <c r="B37" s="12"/>
      <c r="C37" s="18" t="str">
        <f aca="false">IF(B37="","",IFERROR(INDEX(Inventario!$B$7:$B$46,MATCH(B37,Inventario!$A$7:$A$46,0)),"Clave no existe"))</f>
        <v/>
      </c>
      <c r="D37" s="18" t="str">
        <f aca="false">IF(B37="","",IFERROR(INDEX(Inventario!$C$7:$C$46,MATCH(B37,Inventario!$A$7:$A$46,0)),""))</f>
        <v/>
      </c>
      <c r="E37" s="19"/>
      <c r="F37" s="19"/>
      <c r="G37" s="20" t="str">
        <f aca="false">IF(OR(E37="",F37=""),IF(B37="","",IF(A37="","",8)),F37-E37)</f>
        <v/>
      </c>
      <c r="H37" s="14"/>
      <c r="I37" s="12"/>
      <c r="J37" s="14"/>
      <c r="K37" s="20" t="str">
        <f aca="false">IF(OR(J37="",N(G37)=0),"",J37/G37)</f>
        <v/>
      </c>
      <c r="L37" s="12"/>
      <c r="M37" s="12"/>
      <c r="N37" s="12"/>
    </row>
    <row r="38" customFormat="false" ht="15" hidden="false" customHeight="false" outlineLevel="0" collapsed="false">
      <c r="A38" s="16"/>
      <c r="B38" s="12"/>
      <c r="C38" s="18" t="str">
        <f aca="false">IF(B38="","",IFERROR(INDEX(Inventario!$B$7:$B$46,MATCH(B38,Inventario!$A$7:$A$46,0)),"Clave no existe"))</f>
        <v/>
      </c>
      <c r="D38" s="18" t="str">
        <f aca="false">IF(B38="","",IFERROR(INDEX(Inventario!$C$7:$C$46,MATCH(B38,Inventario!$A$7:$A$46,0)),""))</f>
        <v/>
      </c>
      <c r="E38" s="19"/>
      <c r="F38" s="19"/>
      <c r="G38" s="20" t="str">
        <f aca="false">IF(OR(E38="",F38=""),IF(B38="","",IF(A38="","",8)),F38-E38)</f>
        <v/>
      </c>
      <c r="H38" s="14"/>
      <c r="I38" s="12"/>
      <c r="J38" s="14"/>
      <c r="K38" s="20" t="str">
        <f aca="false">IF(OR(J38="",N(G38)=0),"",J38/G38)</f>
        <v/>
      </c>
      <c r="L38" s="12"/>
      <c r="M38" s="12"/>
      <c r="N38" s="12"/>
    </row>
    <row r="39" customFormat="false" ht="15" hidden="false" customHeight="false" outlineLevel="0" collapsed="false">
      <c r="A39" s="16"/>
      <c r="B39" s="12"/>
      <c r="C39" s="18" t="str">
        <f aca="false">IF(B39="","",IFERROR(INDEX(Inventario!$B$7:$B$46,MATCH(B39,Inventario!$A$7:$A$46,0)),"Clave no existe"))</f>
        <v/>
      </c>
      <c r="D39" s="18" t="str">
        <f aca="false">IF(B39="","",IFERROR(INDEX(Inventario!$C$7:$C$46,MATCH(B39,Inventario!$A$7:$A$46,0)),""))</f>
        <v/>
      </c>
      <c r="E39" s="19"/>
      <c r="F39" s="19"/>
      <c r="G39" s="20" t="str">
        <f aca="false">IF(OR(E39="",F39=""),IF(B39="","",IF(A39="","",8)),F39-E39)</f>
        <v/>
      </c>
      <c r="H39" s="14"/>
      <c r="I39" s="12"/>
      <c r="J39" s="14"/>
      <c r="K39" s="20" t="str">
        <f aca="false">IF(OR(J39="",N(G39)=0),"",J39/G39)</f>
        <v/>
      </c>
      <c r="L39" s="12"/>
      <c r="M39" s="12"/>
      <c r="N39" s="12"/>
    </row>
    <row r="40" customFormat="false" ht="15" hidden="false" customHeight="false" outlineLevel="0" collapsed="false">
      <c r="A40" s="16"/>
      <c r="B40" s="12"/>
      <c r="C40" s="18" t="str">
        <f aca="false">IF(B40="","",IFERROR(INDEX(Inventario!$B$7:$B$46,MATCH(B40,Inventario!$A$7:$A$46,0)),"Clave no existe"))</f>
        <v/>
      </c>
      <c r="D40" s="18" t="str">
        <f aca="false">IF(B40="","",IFERROR(INDEX(Inventario!$C$7:$C$46,MATCH(B40,Inventario!$A$7:$A$46,0)),""))</f>
        <v/>
      </c>
      <c r="E40" s="19"/>
      <c r="F40" s="19"/>
      <c r="G40" s="20" t="str">
        <f aca="false">IF(OR(E40="",F40=""),IF(B40="","",IF(A40="","",8)),F40-E40)</f>
        <v/>
      </c>
      <c r="H40" s="14"/>
      <c r="I40" s="12"/>
      <c r="J40" s="14"/>
      <c r="K40" s="20" t="str">
        <f aca="false">IF(OR(J40="",N(G40)=0),"",J40/G40)</f>
        <v/>
      </c>
      <c r="L40" s="12"/>
      <c r="M40" s="12"/>
      <c r="N40" s="12"/>
    </row>
    <row r="41" customFormat="false" ht="15" hidden="false" customHeight="false" outlineLevel="0" collapsed="false">
      <c r="A41" s="16"/>
      <c r="B41" s="12"/>
      <c r="C41" s="18" t="str">
        <f aca="false">IF(B41="","",IFERROR(INDEX(Inventario!$B$7:$B$46,MATCH(B41,Inventario!$A$7:$A$46,0)),"Clave no existe"))</f>
        <v/>
      </c>
      <c r="D41" s="18" t="str">
        <f aca="false">IF(B41="","",IFERROR(INDEX(Inventario!$C$7:$C$46,MATCH(B41,Inventario!$A$7:$A$46,0)),""))</f>
        <v/>
      </c>
      <c r="E41" s="19"/>
      <c r="F41" s="19"/>
      <c r="G41" s="20" t="str">
        <f aca="false">IF(OR(E41="",F41=""),IF(B41="","",IF(A41="","",8)),F41-E41)</f>
        <v/>
      </c>
      <c r="H41" s="14"/>
      <c r="I41" s="12"/>
      <c r="J41" s="14"/>
      <c r="K41" s="20" t="str">
        <f aca="false">IF(OR(J41="",N(G41)=0),"",J41/G41)</f>
        <v/>
      </c>
      <c r="L41" s="12"/>
      <c r="M41" s="12"/>
      <c r="N41" s="12"/>
    </row>
    <row r="42" customFormat="false" ht="15" hidden="false" customHeight="false" outlineLevel="0" collapsed="false">
      <c r="A42" s="16"/>
      <c r="B42" s="12"/>
      <c r="C42" s="18" t="str">
        <f aca="false">IF(B42="","",IFERROR(INDEX(Inventario!$B$7:$B$46,MATCH(B42,Inventario!$A$7:$A$46,0)),"Clave no existe"))</f>
        <v/>
      </c>
      <c r="D42" s="18" t="str">
        <f aca="false">IF(B42="","",IFERROR(INDEX(Inventario!$C$7:$C$46,MATCH(B42,Inventario!$A$7:$A$46,0)),""))</f>
        <v/>
      </c>
      <c r="E42" s="19"/>
      <c r="F42" s="19"/>
      <c r="G42" s="20" t="str">
        <f aca="false">IF(OR(E42="",F42=""),IF(B42="","",IF(A42="","",8)),F42-E42)</f>
        <v/>
      </c>
      <c r="H42" s="14"/>
      <c r="I42" s="12"/>
      <c r="J42" s="14"/>
      <c r="K42" s="20" t="str">
        <f aca="false">IF(OR(J42="",N(G42)=0),"",J42/G42)</f>
        <v/>
      </c>
      <c r="L42" s="12"/>
      <c r="M42" s="12"/>
      <c r="N42" s="12"/>
    </row>
    <row r="43" customFormat="false" ht="15" hidden="false" customHeight="false" outlineLevel="0" collapsed="false">
      <c r="A43" s="16"/>
      <c r="B43" s="12"/>
      <c r="C43" s="18" t="str">
        <f aca="false">IF(B43="","",IFERROR(INDEX(Inventario!$B$7:$B$46,MATCH(B43,Inventario!$A$7:$A$46,0)),"Clave no existe"))</f>
        <v/>
      </c>
      <c r="D43" s="18" t="str">
        <f aca="false">IF(B43="","",IFERROR(INDEX(Inventario!$C$7:$C$46,MATCH(B43,Inventario!$A$7:$A$46,0)),""))</f>
        <v/>
      </c>
      <c r="E43" s="19"/>
      <c r="F43" s="19"/>
      <c r="G43" s="20" t="str">
        <f aca="false">IF(OR(E43="",F43=""),IF(B43="","",IF(A43="","",8)),F43-E43)</f>
        <v/>
      </c>
      <c r="H43" s="14"/>
      <c r="I43" s="12"/>
      <c r="J43" s="14"/>
      <c r="K43" s="20" t="str">
        <f aca="false">IF(OR(J43="",N(G43)=0),"",J43/G43)</f>
        <v/>
      </c>
      <c r="L43" s="12"/>
      <c r="M43" s="12"/>
      <c r="N43" s="12"/>
    </row>
    <row r="44" customFormat="false" ht="15" hidden="false" customHeight="false" outlineLevel="0" collapsed="false">
      <c r="A44" s="16"/>
      <c r="B44" s="12"/>
      <c r="C44" s="18" t="str">
        <f aca="false">IF(B44="","",IFERROR(INDEX(Inventario!$B$7:$B$46,MATCH(B44,Inventario!$A$7:$A$46,0)),"Clave no existe"))</f>
        <v/>
      </c>
      <c r="D44" s="18" t="str">
        <f aca="false">IF(B44="","",IFERROR(INDEX(Inventario!$C$7:$C$46,MATCH(B44,Inventario!$A$7:$A$46,0)),""))</f>
        <v/>
      </c>
      <c r="E44" s="19"/>
      <c r="F44" s="19"/>
      <c r="G44" s="20" t="str">
        <f aca="false">IF(OR(E44="",F44=""),IF(B44="","",IF(A44="","",8)),F44-E44)</f>
        <v/>
      </c>
      <c r="H44" s="14"/>
      <c r="I44" s="12"/>
      <c r="J44" s="14"/>
      <c r="K44" s="20" t="str">
        <f aca="false">IF(OR(J44="",N(G44)=0),"",J44/G44)</f>
        <v/>
      </c>
      <c r="L44" s="12"/>
      <c r="M44" s="12"/>
      <c r="N44" s="12"/>
    </row>
    <row r="45" customFormat="false" ht="15" hidden="false" customHeight="false" outlineLevel="0" collapsed="false">
      <c r="A45" s="16"/>
      <c r="B45" s="12"/>
      <c r="C45" s="18" t="str">
        <f aca="false">IF(B45="","",IFERROR(INDEX(Inventario!$B$7:$B$46,MATCH(B45,Inventario!$A$7:$A$46,0)),"Clave no existe"))</f>
        <v/>
      </c>
      <c r="D45" s="18" t="str">
        <f aca="false">IF(B45="","",IFERROR(INDEX(Inventario!$C$7:$C$46,MATCH(B45,Inventario!$A$7:$A$46,0)),""))</f>
        <v/>
      </c>
      <c r="E45" s="19"/>
      <c r="F45" s="19"/>
      <c r="G45" s="20" t="str">
        <f aca="false">IF(OR(E45="",F45=""),IF(B45="","",IF(A45="","",8)),F45-E45)</f>
        <v/>
      </c>
      <c r="H45" s="14"/>
      <c r="I45" s="12"/>
      <c r="J45" s="14"/>
      <c r="K45" s="20" t="str">
        <f aca="false">IF(OR(J45="",N(G45)=0),"",J45/G45)</f>
        <v/>
      </c>
      <c r="L45" s="12"/>
      <c r="M45" s="12"/>
      <c r="N45" s="12"/>
    </row>
    <row r="46" customFormat="false" ht="15" hidden="false" customHeight="false" outlineLevel="0" collapsed="false">
      <c r="A46" s="16"/>
      <c r="B46" s="12"/>
      <c r="C46" s="18" t="str">
        <f aca="false">IF(B46="","",IFERROR(INDEX(Inventario!$B$7:$B$46,MATCH(B46,Inventario!$A$7:$A$46,0)),"Clave no existe"))</f>
        <v/>
      </c>
      <c r="D46" s="18" t="str">
        <f aca="false">IF(B46="","",IFERROR(INDEX(Inventario!$C$7:$C$46,MATCH(B46,Inventario!$A$7:$A$46,0)),""))</f>
        <v/>
      </c>
      <c r="E46" s="19"/>
      <c r="F46" s="19"/>
      <c r="G46" s="20" t="str">
        <f aca="false">IF(OR(E46="",F46=""),IF(B46="","",IF(A46="","",8)),F46-E46)</f>
        <v/>
      </c>
      <c r="H46" s="14"/>
      <c r="I46" s="12"/>
      <c r="J46" s="14"/>
      <c r="K46" s="20" t="str">
        <f aca="false">IF(OR(J46="",N(G46)=0),"",J46/G46)</f>
        <v/>
      </c>
      <c r="L46" s="12"/>
      <c r="M46" s="12"/>
      <c r="N46" s="12"/>
    </row>
    <row r="47" customFormat="false" ht="15" hidden="false" customHeight="false" outlineLevel="0" collapsed="false">
      <c r="A47" s="16"/>
      <c r="B47" s="12"/>
      <c r="C47" s="18" t="str">
        <f aca="false">IF(B47="","",IFERROR(INDEX(Inventario!$B$7:$B$46,MATCH(B47,Inventario!$A$7:$A$46,0)),"Clave no existe"))</f>
        <v/>
      </c>
      <c r="D47" s="18" t="str">
        <f aca="false">IF(B47="","",IFERROR(INDEX(Inventario!$C$7:$C$46,MATCH(B47,Inventario!$A$7:$A$46,0)),""))</f>
        <v/>
      </c>
      <c r="E47" s="19"/>
      <c r="F47" s="19"/>
      <c r="G47" s="20" t="str">
        <f aca="false">IF(OR(E47="",F47=""),IF(B47="","",IF(A47="","",8)),F47-E47)</f>
        <v/>
      </c>
      <c r="H47" s="14"/>
      <c r="I47" s="12"/>
      <c r="J47" s="14"/>
      <c r="K47" s="20" t="str">
        <f aca="false">IF(OR(J47="",N(G47)=0),"",J47/G47)</f>
        <v/>
      </c>
      <c r="L47" s="12"/>
      <c r="M47" s="12"/>
      <c r="N47" s="12"/>
    </row>
    <row r="48" customFormat="false" ht="15" hidden="false" customHeight="false" outlineLevel="0" collapsed="false">
      <c r="A48" s="16"/>
      <c r="B48" s="12"/>
      <c r="C48" s="18" t="str">
        <f aca="false">IF(B48="","",IFERROR(INDEX(Inventario!$B$7:$B$46,MATCH(B48,Inventario!$A$7:$A$46,0)),"Clave no existe"))</f>
        <v/>
      </c>
      <c r="D48" s="18" t="str">
        <f aca="false">IF(B48="","",IFERROR(INDEX(Inventario!$C$7:$C$46,MATCH(B48,Inventario!$A$7:$A$46,0)),""))</f>
        <v/>
      </c>
      <c r="E48" s="19"/>
      <c r="F48" s="19"/>
      <c r="G48" s="20" t="str">
        <f aca="false">IF(OR(E48="",F48=""),IF(B48="","",IF(A48="","",8)),F48-E48)</f>
        <v/>
      </c>
      <c r="H48" s="14"/>
      <c r="I48" s="12"/>
      <c r="J48" s="14"/>
      <c r="K48" s="20" t="str">
        <f aca="false">IF(OR(J48="",N(G48)=0),"",J48/G48)</f>
        <v/>
      </c>
      <c r="L48" s="12"/>
      <c r="M48" s="12"/>
      <c r="N48" s="12"/>
    </row>
    <row r="49" customFormat="false" ht="15" hidden="false" customHeight="false" outlineLevel="0" collapsed="false">
      <c r="A49" s="16"/>
      <c r="B49" s="12"/>
      <c r="C49" s="18" t="str">
        <f aca="false">IF(B49="","",IFERROR(INDEX(Inventario!$B$7:$B$46,MATCH(B49,Inventario!$A$7:$A$46,0)),"Clave no existe"))</f>
        <v/>
      </c>
      <c r="D49" s="18" t="str">
        <f aca="false">IF(B49="","",IFERROR(INDEX(Inventario!$C$7:$C$46,MATCH(B49,Inventario!$A$7:$A$46,0)),""))</f>
        <v/>
      </c>
      <c r="E49" s="19"/>
      <c r="F49" s="19"/>
      <c r="G49" s="20" t="str">
        <f aca="false">IF(OR(E49="",F49=""),IF(B49="","",IF(A49="","",8)),F49-E49)</f>
        <v/>
      </c>
      <c r="H49" s="14"/>
      <c r="I49" s="12"/>
      <c r="J49" s="14"/>
      <c r="K49" s="20" t="str">
        <f aca="false">IF(OR(J49="",N(G49)=0),"",J49/G49)</f>
        <v/>
      </c>
      <c r="L49" s="12"/>
      <c r="M49" s="12"/>
      <c r="N49" s="12"/>
    </row>
    <row r="50" customFormat="false" ht="15" hidden="false" customHeight="false" outlineLevel="0" collapsed="false">
      <c r="A50" s="16"/>
      <c r="B50" s="12"/>
      <c r="C50" s="18" t="str">
        <f aca="false">IF(B50="","",IFERROR(INDEX(Inventario!$B$7:$B$46,MATCH(B50,Inventario!$A$7:$A$46,0)),"Clave no existe"))</f>
        <v/>
      </c>
      <c r="D50" s="18" t="str">
        <f aca="false">IF(B50="","",IFERROR(INDEX(Inventario!$C$7:$C$46,MATCH(B50,Inventario!$A$7:$A$46,0)),""))</f>
        <v/>
      </c>
      <c r="E50" s="19"/>
      <c r="F50" s="19"/>
      <c r="G50" s="20" t="str">
        <f aca="false">IF(OR(E50="",F50=""),IF(B50="","",IF(A50="","",8)),F50-E50)</f>
        <v/>
      </c>
      <c r="H50" s="14"/>
      <c r="I50" s="12"/>
      <c r="J50" s="14"/>
      <c r="K50" s="20" t="str">
        <f aca="false">IF(OR(J50="",N(G50)=0),"",J50/G50)</f>
        <v/>
      </c>
      <c r="L50" s="12"/>
      <c r="M50" s="12"/>
      <c r="N50" s="12"/>
    </row>
    <row r="51" customFormat="false" ht="15" hidden="false" customHeight="false" outlineLevel="0" collapsed="false">
      <c r="A51" s="16"/>
      <c r="B51" s="12"/>
      <c r="C51" s="18" t="str">
        <f aca="false">IF(B51="","",IFERROR(INDEX(Inventario!$B$7:$B$46,MATCH(B51,Inventario!$A$7:$A$46,0)),"Clave no existe"))</f>
        <v/>
      </c>
      <c r="D51" s="18" t="str">
        <f aca="false">IF(B51="","",IFERROR(INDEX(Inventario!$C$7:$C$46,MATCH(B51,Inventario!$A$7:$A$46,0)),""))</f>
        <v/>
      </c>
      <c r="E51" s="19"/>
      <c r="F51" s="19"/>
      <c r="G51" s="20" t="str">
        <f aca="false">IF(OR(E51="",F51=""),IF(B51="","",IF(A51="","",8)),F51-E51)</f>
        <v/>
      </c>
      <c r="H51" s="14"/>
      <c r="I51" s="12"/>
      <c r="J51" s="14"/>
      <c r="K51" s="20" t="str">
        <f aca="false">IF(OR(J51="",N(G51)=0),"",J51/G51)</f>
        <v/>
      </c>
      <c r="L51" s="12"/>
      <c r="M51" s="12"/>
      <c r="N51" s="12"/>
    </row>
    <row r="52" customFormat="false" ht="15" hidden="false" customHeight="false" outlineLevel="0" collapsed="false">
      <c r="A52" s="16"/>
      <c r="B52" s="12"/>
      <c r="C52" s="18" t="str">
        <f aca="false">IF(B52="","",IFERROR(INDEX(Inventario!$B$7:$B$46,MATCH(B52,Inventario!$A$7:$A$46,0)),"Clave no existe"))</f>
        <v/>
      </c>
      <c r="D52" s="18" t="str">
        <f aca="false">IF(B52="","",IFERROR(INDEX(Inventario!$C$7:$C$46,MATCH(B52,Inventario!$A$7:$A$46,0)),""))</f>
        <v/>
      </c>
      <c r="E52" s="19"/>
      <c r="F52" s="19"/>
      <c r="G52" s="20" t="str">
        <f aca="false">IF(OR(E52="",F52=""),IF(B52="","",IF(A52="","",8)),F52-E52)</f>
        <v/>
      </c>
      <c r="H52" s="14"/>
      <c r="I52" s="12"/>
      <c r="J52" s="14"/>
      <c r="K52" s="20" t="str">
        <f aca="false">IF(OR(J52="",N(G52)=0),"",J52/G52)</f>
        <v/>
      </c>
      <c r="L52" s="12"/>
      <c r="M52" s="12"/>
      <c r="N52" s="12"/>
    </row>
    <row r="53" customFormat="false" ht="15" hidden="false" customHeight="false" outlineLevel="0" collapsed="false">
      <c r="A53" s="16"/>
      <c r="B53" s="12"/>
      <c r="C53" s="18" t="str">
        <f aca="false">IF(B53="","",IFERROR(INDEX(Inventario!$B$7:$B$46,MATCH(B53,Inventario!$A$7:$A$46,0)),"Clave no existe"))</f>
        <v/>
      </c>
      <c r="D53" s="18" t="str">
        <f aca="false">IF(B53="","",IFERROR(INDEX(Inventario!$C$7:$C$46,MATCH(B53,Inventario!$A$7:$A$46,0)),""))</f>
        <v/>
      </c>
      <c r="E53" s="19"/>
      <c r="F53" s="19"/>
      <c r="G53" s="20" t="str">
        <f aca="false">IF(OR(E53="",F53=""),IF(B53="","",IF(A53="","",8)),F53-E53)</f>
        <v/>
      </c>
      <c r="H53" s="14"/>
      <c r="I53" s="12"/>
      <c r="J53" s="14"/>
      <c r="K53" s="20" t="str">
        <f aca="false">IF(OR(J53="",N(G53)=0),"",J53/G53)</f>
        <v/>
      </c>
      <c r="L53" s="12"/>
      <c r="M53" s="12"/>
      <c r="N53" s="12"/>
    </row>
    <row r="54" customFormat="false" ht="15" hidden="false" customHeight="false" outlineLevel="0" collapsed="false">
      <c r="A54" s="16"/>
      <c r="B54" s="12"/>
      <c r="C54" s="18" t="str">
        <f aca="false">IF(B54="","",IFERROR(INDEX(Inventario!$B$7:$B$46,MATCH(B54,Inventario!$A$7:$A$46,0)),"Clave no existe"))</f>
        <v/>
      </c>
      <c r="D54" s="18" t="str">
        <f aca="false">IF(B54="","",IFERROR(INDEX(Inventario!$C$7:$C$46,MATCH(B54,Inventario!$A$7:$A$46,0)),""))</f>
        <v/>
      </c>
      <c r="E54" s="19"/>
      <c r="F54" s="19"/>
      <c r="G54" s="20" t="str">
        <f aca="false">IF(OR(E54="",F54=""),IF(B54="","",IF(A54="","",8)),F54-E54)</f>
        <v/>
      </c>
      <c r="H54" s="14"/>
      <c r="I54" s="12"/>
      <c r="J54" s="14"/>
      <c r="K54" s="20" t="str">
        <f aca="false">IF(OR(J54="",N(G54)=0),"",J54/G54)</f>
        <v/>
      </c>
      <c r="L54" s="12"/>
      <c r="M54" s="12"/>
      <c r="N54" s="12"/>
    </row>
    <row r="55" customFormat="false" ht="15" hidden="false" customHeight="false" outlineLevel="0" collapsed="false">
      <c r="A55" s="16"/>
      <c r="B55" s="12"/>
      <c r="C55" s="18" t="str">
        <f aca="false">IF(B55="","",IFERROR(INDEX(Inventario!$B$7:$B$46,MATCH(B55,Inventario!$A$7:$A$46,0)),"Clave no existe"))</f>
        <v/>
      </c>
      <c r="D55" s="18" t="str">
        <f aca="false">IF(B55="","",IFERROR(INDEX(Inventario!$C$7:$C$46,MATCH(B55,Inventario!$A$7:$A$46,0)),""))</f>
        <v/>
      </c>
      <c r="E55" s="19"/>
      <c r="F55" s="19"/>
      <c r="G55" s="20" t="str">
        <f aca="false">IF(OR(E55="",F55=""),IF(B55="","",IF(A55="","",8)),F55-E55)</f>
        <v/>
      </c>
      <c r="H55" s="14"/>
      <c r="I55" s="12"/>
      <c r="J55" s="14"/>
      <c r="K55" s="20" t="str">
        <f aca="false">IF(OR(J55="",N(G55)=0),"",J55/G55)</f>
        <v/>
      </c>
      <c r="L55" s="12"/>
      <c r="M55" s="12"/>
      <c r="N55" s="12"/>
    </row>
    <row r="56" customFormat="false" ht="15" hidden="false" customHeight="false" outlineLevel="0" collapsed="false">
      <c r="A56" s="16"/>
      <c r="B56" s="12"/>
      <c r="C56" s="18" t="str">
        <f aca="false">IF(B56="","",IFERROR(INDEX(Inventario!$B$7:$B$46,MATCH(B56,Inventario!$A$7:$A$46,0)),"Clave no existe"))</f>
        <v/>
      </c>
      <c r="D56" s="18" t="str">
        <f aca="false">IF(B56="","",IFERROR(INDEX(Inventario!$C$7:$C$46,MATCH(B56,Inventario!$A$7:$A$46,0)),""))</f>
        <v/>
      </c>
      <c r="E56" s="19"/>
      <c r="F56" s="19"/>
      <c r="G56" s="20" t="str">
        <f aca="false">IF(OR(E56="",F56=""),IF(B56="","",IF(A56="","",8)),F56-E56)</f>
        <v/>
      </c>
      <c r="H56" s="14"/>
      <c r="I56" s="12"/>
      <c r="J56" s="14"/>
      <c r="K56" s="20" t="str">
        <f aca="false">IF(OR(J56="",N(G56)=0),"",J56/G56)</f>
        <v/>
      </c>
      <c r="L56" s="12"/>
      <c r="M56" s="12"/>
      <c r="N56" s="12"/>
    </row>
    <row r="57" customFormat="false" ht="15" hidden="false" customHeight="false" outlineLevel="0" collapsed="false">
      <c r="A57" s="16"/>
      <c r="B57" s="12"/>
      <c r="C57" s="18" t="str">
        <f aca="false">IF(B57="","",IFERROR(INDEX(Inventario!$B$7:$B$46,MATCH(B57,Inventario!$A$7:$A$46,0)),"Clave no existe"))</f>
        <v/>
      </c>
      <c r="D57" s="18" t="str">
        <f aca="false">IF(B57="","",IFERROR(INDEX(Inventario!$C$7:$C$46,MATCH(B57,Inventario!$A$7:$A$46,0)),""))</f>
        <v/>
      </c>
      <c r="E57" s="19"/>
      <c r="F57" s="19"/>
      <c r="G57" s="20" t="str">
        <f aca="false">IF(OR(E57="",F57=""),IF(B57="","",IF(A57="","",8)),F57-E57)</f>
        <v/>
      </c>
      <c r="H57" s="14"/>
      <c r="I57" s="12"/>
      <c r="J57" s="14"/>
      <c r="K57" s="20" t="str">
        <f aca="false">IF(OR(J57="",N(G57)=0),"",J57/G57)</f>
        <v/>
      </c>
      <c r="L57" s="12"/>
      <c r="M57" s="12"/>
      <c r="N57" s="12"/>
    </row>
    <row r="58" customFormat="false" ht="15" hidden="false" customHeight="false" outlineLevel="0" collapsed="false">
      <c r="A58" s="16"/>
      <c r="B58" s="12"/>
      <c r="C58" s="18" t="str">
        <f aca="false">IF(B58="","",IFERROR(INDEX(Inventario!$B$7:$B$46,MATCH(B58,Inventario!$A$7:$A$46,0)),"Clave no existe"))</f>
        <v/>
      </c>
      <c r="D58" s="18" t="str">
        <f aca="false">IF(B58="","",IFERROR(INDEX(Inventario!$C$7:$C$46,MATCH(B58,Inventario!$A$7:$A$46,0)),""))</f>
        <v/>
      </c>
      <c r="E58" s="19"/>
      <c r="F58" s="19"/>
      <c r="G58" s="20" t="str">
        <f aca="false">IF(OR(E58="",F58=""),IF(B58="","",IF(A58="","",8)),F58-E58)</f>
        <v/>
      </c>
      <c r="H58" s="14"/>
      <c r="I58" s="12"/>
      <c r="J58" s="14"/>
      <c r="K58" s="20" t="str">
        <f aca="false">IF(OR(J58="",N(G58)=0),"",J58/G58)</f>
        <v/>
      </c>
      <c r="L58" s="12"/>
      <c r="M58" s="12"/>
      <c r="N58" s="12"/>
    </row>
    <row r="59" customFormat="false" ht="15" hidden="false" customHeight="false" outlineLevel="0" collapsed="false">
      <c r="A59" s="16"/>
      <c r="B59" s="12"/>
      <c r="C59" s="18" t="str">
        <f aca="false">IF(B59="","",IFERROR(INDEX(Inventario!$B$7:$B$46,MATCH(B59,Inventario!$A$7:$A$46,0)),"Clave no existe"))</f>
        <v/>
      </c>
      <c r="D59" s="18" t="str">
        <f aca="false">IF(B59="","",IFERROR(INDEX(Inventario!$C$7:$C$46,MATCH(B59,Inventario!$A$7:$A$46,0)),""))</f>
        <v/>
      </c>
      <c r="E59" s="19"/>
      <c r="F59" s="19"/>
      <c r="G59" s="20" t="str">
        <f aca="false">IF(OR(E59="",F59=""),IF(B59="","",IF(A59="","",8)),F59-E59)</f>
        <v/>
      </c>
      <c r="H59" s="14"/>
      <c r="I59" s="12"/>
      <c r="J59" s="14"/>
      <c r="K59" s="20" t="str">
        <f aca="false">IF(OR(J59="",N(G59)=0),"",J59/G59)</f>
        <v/>
      </c>
      <c r="L59" s="12"/>
      <c r="M59" s="12"/>
      <c r="N59" s="12"/>
    </row>
    <row r="60" customFormat="false" ht="15" hidden="false" customHeight="false" outlineLevel="0" collapsed="false">
      <c r="A60" s="16"/>
      <c r="B60" s="12"/>
      <c r="C60" s="18" t="str">
        <f aca="false">IF(B60="","",IFERROR(INDEX(Inventario!$B$7:$B$46,MATCH(B60,Inventario!$A$7:$A$46,0)),"Clave no existe"))</f>
        <v/>
      </c>
      <c r="D60" s="18" t="str">
        <f aca="false">IF(B60="","",IFERROR(INDEX(Inventario!$C$7:$C$46,MATCH(B60,Inventario!$A$7:$A$46,0)),""))</f>
        <v/>
      </c>
      <c r="E60" s="19"/>
      <c r="F60" s="19"/>
      <c r="G60" s="20" t="str">
        <f aca="false">IF(OR(E60="",F60=""),IF(B60="","",IF(A60="","",8)),F60-E60)</f>
        <v/>
      </c>
      <c r="H60" s="14"/>
      <c r="I60" s="12"/>
      <c r="J60" s="14"/>
      <c r="K60" s="20" t="str">
        <f aca="false">IF(OR(J60="",N(G60)=0),"",J60/G60)</f>
        <v/>
      </c>
      <c r="L60" s="12"/>
      <c r="M60" s="12"/>
      <c r="N60" s="12"/>
    </row>
    <row r="61" customFormat="false" ht="15" hidden="false" customHeight="false" outlineLevel="0" collapsed="false">
      <c r="A61" s="16"/>
      <c r="B61" s="12"/>
      <c r="C61" s="18" t="str">
        <f aca="false">IF(B61="","",IFERROR(INDEX(Inventario!$B$7:$B$46,MATCH(B61,Inventario!$A$7:$A$46,0)),"Clave no existe"))</f>
        <v/>
      </c>
      <c r="D61" s="18" t="str">
        <f aca="false">IF(B61="","",IFERROR(INDEX(Inventario!$C$7:$C$46,MATCH(B61,Inventario!$A$7:$A$46,0)),""))</f>
        <v/>
      </c>
      <c r="E61" s="19"/>
      <c r="F61" s="19"/>
      <c r="G61" s="20" t="str">
        <f aca="false">IF(OR(E61="",F61=""),IF(B61="","",IF(A61="","",8)),F61-E61)</f>
        <v/>
      </c>
      <c r="H61" s="14"/>
      <c r="I61" s="12"/>
      <c r="J61" s="14"/>
      <c r="K61" s="20" t="str">
        <f aca="false">IF(OR(J61="",N(G61)=0),"",J61/G61)</f>
        <v/>
      </c>
      <c r="L61" s="12"/>
      <c r="M61" s="12"/>
      <c r="N61" s="12"/>
    </row>
    <row r="62" customFormat="false" ht="15" hidden="false" customHeight="false" outlineLevel="0" collapsed="false">
      <c r="A62" s="16"/>
      <c r="B62" s="12"/>
      <c r="C62" s="18" t="str">
        <f aca="false">IF(B62="","",IFERROR(INDEX(Inventario!$B$7:$B$46,MATCH(B62,Inventario!$A$7:$A$46,0)),"Clave no existe"))</f>
        <v/>
      </c>
      <c r="D62" s="18" t="str">
        <f aca="false">IF(B62="","",IFERROR(INDEX(Inventario!$C$7:$C$46,MATCH(B62,Inventario!$A$7:$A$46,0)),""))</f>
        <v/>
      </c>
      <c r="E62" s="19"/>
      <c r="F62" s="19"/>
      <c r="G62" s="20" t="str">
        <f aca="false">IF(OR(E62="",F62=""),IF(B62="","",IF(A62="","",8)),F62-E62)</f>
        <v/>
      </c>
      <c r="H62" s="14"/>
      <c r="I62" s="12"/>
      <c r="J62" s="14"/>
      <c r="K62" s="20" t="str">
        <f aca="false">IF(OR(J62="",N(G62)=0),"",J62/G62)</f>
        <v/>
      </c>
      <c r="L62" s="12"/>
      <c r="M62" s="12"/>
      <c r="N62" s="12"/>
    </row>
    <row r="63" customFormat="false" ht="15" hidden="false" customHeight="false" outlineLevel="0" collapsed="false">
      <c r="A63" s="16"/>
      <c r="B63" s="12"/>
      <c r="C63" s="18" t="str">
        <f aca="false">IF(B63="","",IFERROR(INDEX(Inventario!$B$7:$B$46,MATCH(B63,Inventario!$A$7:$A$46,0)),"Clave no existe"))</f>
        <v/>
      </c>
      <c r="D63" s="18" t="str">
        <f aca="false">IF(B63="","",IFERROR(INDEX(Inventario!$C$7:$C$46,MATCH(B63,Inventario!$A$7:$A$46,0)),""))</f>
        <v/>
      </c>
      <c r="E63" s="19"/>
      <c r="F63" s="19"/>
      <c r="G63" s="20" t="str">
        <f aca="false">IF(OR(E63="",F63=""),IF(B63="","",IF(A63="","",8)),F63-E63)</f>
        <v/>
      </c>
      <c r="H63" s="14"/>
      <c r="I63" s="12"/>
      <c r="J63" s="14"/>
      <c r="K63" s="20" t="str">
        <f aca="false">IF(OR(J63="",N(G63)=0),"",J63/G63)</f>
        <v/>
      </c>
      <c r="L63" s="12"/>
      <c r="M63" s="12"/>
      <c r="N63" s="12"/>
    </row>
    <row r="64" customFormat="false" ht="15" hidden="false" customHeight="false" outlineLevel="0" collapsed="false">
      <c r="A64" s="16"/>
      <c r="B64" s="12"/>
      <c r="C64" s="18" t="str">
        <f aca="false">IF(B64="","",IFERROR(INDEX(Inventario!$B$7:$B$46,MATCH(B64,Inventario!$A$7:$A$46,0)),"Clave no existe"))</f>
        <v/>
      </c>
      <c r="D64" s="18" t="str">
        <f aca="false">IF(B64="","",IFERROR(INDEX(Inventario!$C$7:$C$46,MATCH(B64,Inventario!$A$7:$A$46,0)),""))</f>
        <v/>
      </c>
      <c r="E64" s="19"/>
      <c r="F64" s="19"/>
      <c r="G64" s="20" t="str">
        <f aca="false">IF(OR(E64="",F64=""),IF(B64="","",IF(A64="","",8)),F64-E64)</f>
        <v/>
      </c>
      <c r="H64" s="14"/>
      <c r="I64" s="12"/>
      <c r="J64" s="14"/>
      <c r="K64" s="20" t="str">
        <f aca="false">IF(OR(J64="",N(G64)=0),"",J64/G64)</f>
        <v/>
      </c>
      <c r="L64" s="12"/>
      <c r="M64" s="12"/>
      <c r="N64" s="12"/>
    </row>
    <row r="65" customFormat="false" ht="15" hidden="false" customHeight="false" outlineLevel="0" collapsed="false">
      <c r="A65" s="16"/>
      <c r="B65" s="12"/>
      <c r="C65" s="18" t="str">
        <f aca="false">IF(B65="","",IFERROR(INDEX(Inventario!$B$7:$B$46,MATCH(B65,Inventario!$A$7:$A$46,0)),"Clave no existe"))</f>
        <v/>
      </c>
      <c r="D65" s="18" t="str">
        <f aca="false">IF(B65="","",IFERROR(INDEX(Inventario!$C$7:$C$46,MATCH(B65,Inventario!$A$7:$A$46,0)),""))</f>
        <v/>
      </c>
      <c r="E65" s="19"/>
      <c r="F65" s="19"/>
      <c r="G65" s="20" t="str">
        <f aca="false">IF(OR(E65="",F65=""),IF(B65="","",IF(A65="","",8)),F65-E65)</f>
        <v/>
      </c>
      <c r="H65" s="14"/>
      <c r="I65" s="12"/>
      <c r="J65" s="14"/>
      <c r="K65" s="20" t="str">
        <f aca="false">IF(OR(J65="",N(G65)=0),"",J65/G65)</f>
        <v/>
      </c>
      <c r="L65" s="12"/>
      <c r="M65" s="12"/>
      <c r="N65" s="12"/>
    </row>
    <row r="66" customFormat="false" ht="15" hidden="false" customHeight="false" outlineLevel="0" collapsed="false">
      <c r="A66" s="16"/>
      <c r="B66" s="12"/>
      <c r="C66" s="18" t="str">
        <f aca="false">IF(B66="","",IFERROR(INDEX(Inventario!$B$7:$B$46,MATCH(B66,Inventario!$A$7:$A$46,0)),"Clave no existe"))</f>
        <v/>
      </c>
      <c r="D66" s="18" t="str">
        <f aca="false">IF(B66="","",IFERROR(INDEX(Inventario!$C$7:$C$46,MATCH(B66,Inventario!$A$7:$A$46,0)),""))</f>
        <v/>
      </c>
      <c r="E66" s="19"/>
      <c r="F66" s="19"/>
      <c r="G66" s="20" t="str">
        <f aca="false">IF(OR(E66="",F66=""),IF(B66="","",IF(A66="","",8)),F66-E66)</f>
        <v/>
      </c>
      <c r="H66" s="14"/>
      <c r="I66" s="12"/>
      <c r="J66" s="14"/>
      <c r="K66" s="20" t="str">
        <f aca="false">IF(OR(J66="",N(G66)=0),"",J66/G66)</f>
        <v/>
      </c>
      <c r="L66" s="12"/>
      <c r="M66" s="12"/>
      <c r="N66" s="12"/>
    </row>
    <row r="67" customFormat="false" ht="15" hidden="false" customHeight="false" outlineLevel="0" collapsed="false">
      <c r="A67" s="16"/>
      <c r="B67" s="12"/>
      <c r="C67" s="18" t="str">
        <f aca="false">IF(B67="","",IFERROR(INDEX(Inventario!$B$7:$B$46,MATCH(B67,Inventario!$A$7:$A$46,0)),"Clave no existe"))</f>
        <v/>
      </c>
      <c r="D67" s="18" t="str">
        <f aca="false">IF(B67="","",IFERROR(INDEX(Inventario!$C$7:$C$46,MATCH(B67,Inventario!$A$7:$A$46,0)),""))</f>
        <v/>
      </c>
      <c r="E67" s="19"/>
      <c r="F67" s="19"/>
      <c r="G67" s="20" t="str">
        <f aca="false">IF(OR(E67="",F67=""),IF(B67="","",IF(A67="","",8)),F67-E67)</f>
        <v/>
      </c>
      <c r="H67" s="14"/>
      <c r="I67" s="12"/>
      <c r="J67" s="14"/>
      <c r="K67" s="20" t="str">
        <f aca="false">IF(OR(J67="",N(G67)=0),"",J67/G67)</f>
        <v/>
      </c>
      <c r="L67" s="12"/>
      <c r="M67" s="12"/>
      <c r="N67" s="12"/>
    </row>
    <row r="68" customFormat="false" ht="15" hidden="false" customHeight="false" outlineLevel="0" collapsed="false">
      <c r="A68" s="16"/>
      <c r="B68" s="12"/>
      <c r="C68" s="18" t="str">
        <f aca="false">IF(B68="","",IFERROR(INDEX(Inventario!$B$7:$B$46,MATCH(B68,Inventario!$A$7:$A$46,0)),"Clave no existe"))</f>
        <v/>
      </c>
      <c r="D68" s="18" t="str">
        <f aca="false">IF(B68="","",IFERROR(INDEX(Inventario!$C$7:$C$46,MATCH(B68,Inventario!$A$7:$A$46,0)),""))</f>
        <v/>
      </c>
      <c r="E68" s="19"/>
      <c r="F68" s="19"/>
      <c r="G68" s="20" t="str">
        <f aca="false">IF(OR(E68="",F68=""),IF(B68="","",IF(A68="","",8)),F68-E68)</f>
        <v/>
      </c>
      <c r="H68" s="14"/>
      <c r="I68" s="12"/>
      <c r="J68" s="14"/>
      <c r="K68" s="20" t="str">
        <f aca="false">IF(OR(J68="",N(G68)=0),"",J68/G68)</f>
        <v/>
      </c>
      <c r="L68" s="12"/>
      <c r="M68" s="12"/>
      <c r="N68" s="12"/>
    </row>
    <row r="69" customFormat="false" ht="15" hidden="false" customHeight="false" outlineLevel="0" collapsed="false">
      <c r="A69" s="16"/>
      <c r="B69" s="12"/>
      <c r="C69" s="18" t="str">
        <f aca="false">IF(B69="","",IFERROR(INDEX(Inventario!$B$7:$B$46,MATCH(B69,Inventario!$A$7:$A$46,0)),"Clave no existe"))</f>
        <v/>
      </c>
      <c r="D69" s="18" t="str">
        <f aca="false">IF(B69="","",IFERROR(INDEX(Inventario!$C$7:$C$46,MATCH(B69,Inventario!$A$7:$A$46,0)),""))</f>
        <v/>
      </c>
      <c r="E69" s="19"/>
      <c r="F69" s="19"/>
      <c r="G69" s="20" t="str">
        <f aca="false">IF(OR(E69="",F69=""),IF(B69="","",IF(A69="","",8)),F69-E69)</f>
        <v/>
      </c>
      <c r="H69" s="14"/>
      <c r="I69" s="12"/>
      <c r="J69" s="14"/>
      <c r="K69" s="20" t="str">
        <f aca="false">IF(OR(J69="",N(G69)=0),"",J69/G69)</f>
        <v/>
      </c>
      <c r="L69" s="12"/>
      <c r="M69" s="12"/>
      <c r="N69" s="12"/>
    </row>
    <row r="70" customFormat="false" ht="15" hidden="false" customHeight="false" outlineLevel="0" collapsed="false">
      <c r="A70" s="16"/>
      <c r="B70" s="12"/>
      <c r="C70" s="18" t="str">
        <f aca="false">IF(B70="","",IFERROR(INDEX(Inventario!$B$7:$B$46,MATCH(B70,Inventario!$A$7:$A$46,0)),"Clave no existe"))</f>
        <v/>
      </c>
      <c r="D70" s="18" t="str">
        <f aca="false">IF(B70="","",IFERROR(INDEX(Inventario!$C$7:$C$46,MATCH(B70,Inventario!$A$7:$A$46,0)),""))</f>
        <v/>
      </c>
      <c r="E70" s="19"/>
      <c r="F70" s="19"/>
      <c r="G70" s="20" t="str">
        <f aca="false">IF(OR(E70="",F70=""),IF(B70="","",IF(A70="","",8)),F70-E70)</f>
        <v/>
      </c>
      <c r="H70" s="14"/>
      <c r="I70" s="12"/>
      <c r="J70" s="14"/>
      <c r="K70" s="20" t="str">
        <f aca="false">IF(OR(J70="",N(G70)=0),"",J70/G70)</f>
        <v/>
      </c>
      <c r="L70" s="12"/>
      <c r="M70" s="12"/>
      <c r="N70" s="12"/>
    </row>
    <row r="71" customFormat="false" ht="15" hidden="false" customHeight="false" outlineLevel="0" collapsed="false">
      <c r="A71" s="16"/>
      <c r="B71" s="12"/>
      <c r="C71" s="18" t="str">
        <f aca="false">IF(B71="","",IFERROR(INDEX(Inventario!$B$7:$B$46,MATCH(B71,Inventario!$A$7:$A$46,0)),"Clave no existe"))</f>
        <v/>
      </c>
      <c r="D71" s="18" t="str">
        <f aca="false">IF(B71="","",IFERROR(INDEX(Inventario!$C$7:$C$46,MATCH(B71,Inventario!$A$7:$A$46,0)),""))</f>
        <v/>
      </c>
      <c r="E71" s="19"/>
      <c r="F71" s="19"/>
      <c r="G71" s="20" t="str">
        <f aca="false">IF(OR(E71="",F71=""),IF(B71="","",IF(A71="","",8)),F71-E71)</f>
        <v/>
      </c>
      <c r="H71" s="14"/>
      <c r="I71" s="12"/>
      <c r="J71" s="14"/>
      <c r="K71" s="20" t="str">
        <f aca="false">IF(OR(J71="",N(G71)=0),"",J71/G71)</f>
        <v/>
      </c>
      <c r="L71" s="12"/>
      <c r="M71" s="12"/>
      <c r="N71" s="12"/>
    </row>
    <row r="72" customFormat="false" ht="15" hidden="false" customHeight="false" outlineLevel="0" collapsed="false">
      <c r="A72" s="16"/>
      <c r="B72" s="12"/>
      <c r="C72" s="18" t="str">
        <f aca="false">IF(B72="","",IFERROR(INDEX(Inventario!$B$7:$B$46,MATCH(B72,Inventario!$A$7:$A$46,0)),"Clave no existe"))</f>
        <v/>
      </c>
      <c r="D72" s="18" t="str">
        <f aca="false">IF(B72="","",IFERROR(INDEX(Inventario!$C$7:$C$46,MATCH(B72,Inventario!$A$7:$A$46,0)),""))</f>
        <v/>
      </c>
      <c r="E72" s="19"/>
      <c r="F72" s="19"/>
      <c r="G72" s="20" t="str">
        <f aca="false">IF(OR(E72="",F72=""),IF(B72="","",IF(A72="","",8)),F72-E72)</f>
        <v/>
      </c>
      <c r="H72" s="14"/>
      <c r="I72" s="12"/>
      <c r="J72" s="14"/>
      <c r="K72" s="20" t="str">
        <f aca="false">IF(OR(J72="",N(G72)=0),"",J72/G72)</f>
        <v/>
      </c>
      <c r="L72" s="12"/>
      <c r="M72" s="12"/>
      <c r="N72" s="12"/>
    </row>
    <row r="73" customFormat="false" ht="15" hidden="false" customHeight="false" outlineLevel="0" collapsed="false">
      <c r="A73" s="16"/>
      <c r="B73" s="12"/>
      <c r="C73" s="18" t="str">
        <f aca="false">IF(B73="","",IFERROR(INDEX(Inventario!$B$7:$B$46,MATCH(B73,Inventario!$A$7:$A$46,0)),"Clave no existe"))</f>
        <v/>
      </c>
      <c r="D73" s="18" t="str">
        <f aca="false">IF(B73="","",IFERROR(INDEX(Inventario!$C$7:$C$46,MATCH(B73,Inventario!$A$7:$A$46,0)),""))</f>
        <v/>
      </c>
      <c r="E73" s="19"/>
      <c r="F73" s="19"/>
      <c r="G73" s="20" t="str">
        <f aca="false">IF(OR(E73="",F73=""),IF(B73="","",IF(A73="","",8)),F73-E73)</f>
        <v/>
      </c>
      <c r="H73" s="14"/>
      <c r="I73" s="12"/>
      <c r="J73" s="14"/>
      <c r="K73" s="20" t="str">
        <f aca="false">IF(OR(J73="",N(G73)=0),"",J73/G73)</f>
        <v/>
      </c>
      <c r="L73" s="12"/>
      <c r="M73" s="12"/>
      <c r="N73" s="12"/>
    </row>
    <row r="74" customFormat="false" ht="15" hidden="false" customHeight="false" outlineLevel="0" collapsed="false">
      <c r="A74" s="16"/>
      <c r="B74" s="12"/>
      <c r="C74" s="18" t="str">
        <f aca="false">IF(B74="","",IFERROR(INDEX(Inventario!$B$7:$B$46,MATCH(B74,Inventario!$A$7:$A$46,0)),"Clave no existe"))</f>
        <v/>
      </c>
      <c r="D74" s="18" t="str">
        <f aca="false">IF(B74="","",IFERROR(INDEX(Inventario!$C$7:$C$46,MATCH(B74,Inventario!$A$7:$A$46,0)),""))</f>
        <v/>
      </c>
      <c r="E74" s="19"/>
      <c r="F74" s="19"/>
      <c r="G74" s="20" t="str">
        <f aca="false">IF(OR(E74="",F74=""),IF(B74="","",IF(A74="","",8)),F74-E74)</f>
        <v/>
      </c>
      <c r="H74" s="14"/>
      <c r="I74" s="12"/>
      <c r="J74" s="14"/>
      <c r="K74" s="20" t="str">
        <f aca="false">IF(OR(J74="",N(G74)=0),"",J74/G74)</f>
        <v/>
      </c>
      <c r="L74" s="12"/>
      <c r="M74" s="12"/>
      <c r="N74" s="12"/>
    </row>
    <row r="75" customFormat="false" ht="15" hidden="false" customHeight="false" outlineLevel="0" collapsed="false">
      <c r="A75" s="16"/>
      <c r="B75" s="12"/>
      <c r="C75" s="18" t="str">
        <f aca="false">IF(B75="","",IFERROR(INDEX(Inventario!$B$7:$B$46,MATCH(B75,Inventario!$A$7:$A$46,0)),"Clave no existe"))</f>
        <v/>
      </c>
      <c r="D75" s="18" t="str">
        <f aca="false">IF(B75="","",IFERROR(INDEX(Inventario!$C$7:$C$46,MATCH(B75,Inventario!$A$7:$A$46,0)),""))</f>
        <v/>
      </c>
      <c r="E75" s="19"/>
      <c r="F75" s="19"/>
      <c r="G75" s="20" t="str">
        <f aca="false">IF(OR(E75="",F75=""),IF(B75="","",IF(A75="","",8)),F75-E75)</f>
        <v/>
      </c>
      <c r="H75" s="14"/>
      <c r="I75" s="12"/>
      <c r="J75" s="14"/>
      <c r="K75" s="20" t="str">
        <f aca="false">IF(OR(J75="",N(G75)=0),"",J75/G75)</f>
        <v/>
      </c>
      <c r="L75" s="12"/>
      <c r="M75" s="12"/>
      <c r="N75" s="12"/>
    </row>
    <row r="76" customFormat="false" ht="15" hidden="false" customHeight="false" outlineLevel="0" collapsed="false">
      <c r="A76" s="16"/>
      <c r="B76" s="12"/>
      <c r="C76" s="18" t="str">
        <f aca="false">IF(B76="","",IFERROR(INDEX(Inventario!$B$7:$B$46,MATCH(B76,Inventario!$A$7:$A$46,0)),"Clave no existe"))</f>
        <v/>
      </c>
      <c r="D76" s="18" t="str">
        <f aca="false">IF(B76="","",IFERROR(INDEX(Inventario!$C$7:$C$46,MATCH(B76,Inventario!$A$7:$A$46,0)),""))</f>
        <v/>
      </c>
      <c r="E76" s="19"/>
      <c r="F76" s="19"/>
      <c r="G76" s="20" t="str">
        <f aca="false">IF(OR(E76="",F76=""),IF(B76="","",IF(A76="","",8)),F76-E76)</f>
        <v/>
      </c>
      <c r="H76" s="14"/>
      <c r="I76" s="12"/>
      <c r="J76" s="14"/>
      <c r="K76" s="20" t="str">
        <f aca="false">IF(OR(J76="",N(G76)=0),"",J76/G76)</f>
        <v/>
      </c>
      <c r="L76" s="12"/>
      <c r="M76" s="12"/>
      <c r="N76" s="12"/>
    </row>
    <row r="77" customFormat="false" ht="15" hidden="false" customHeight="false" outlineLevel="0" collapsed="false">
      <c r="A77" s="16"/>
      <c r="B77" s="12"/>
      <c r="C77" s="18" t="str">
        <f aca="false">IF(B77="","",IFERROR(INDEX(Inventario!$B$7:$B$46,MATCH(B77,Inventario!$A$7:$A$46,0)),"Clave no existe"))</f>
        <v/>
      </c>
      <c r="D77" s="18" t="str">
        <f aca="false">IF(B77="","",IFERROR(INDEX(Inventario!$C$7:$C$46,MATCH(B77,Inventario!$A$7:$A$46,0)),""))</f>
        <v/>
      </c>
      <c r="E77" s="19"/>
      <c r="F77" s="19"/>
      <c r="G77" s="20" t="str">
        <f aca="false">IF(OR(E77="",F77=""),IF(B77="","",IF(A77="","",8)),F77-E77)</f>
        <v/>
      </c>
      <c r="H77" s="14"/>
      <c r="I77" s="12"/>
      <c r="J77" s="14"/>
      <c r="K77" s="20" t="str">
        <f aca="false">IF(OR(J77="",N(G77)=0),"",J77/G77)</f>
        <v/>
      </c>
      <c r="L77" s="12"/>
      <c r="M77" s="12"/>
      <c r="N77" s="12"/>
    </row>
    <row r="78" customFormat="false" ht="15" hidden="false" customHeight="false" outlineLevel="0" collapsed="false">
      <c r="A78" s="16"/>
      <c r="B78" s="12"/>
      <c r="C78" s="18" t="str">
        <f aca="false">IF(B78="","",IFERROR(INDEX(Inventario!$B$7:$B$46,MATCH(B78,Inventario!$A$7:$A$46,0)),"Clave no existe"))</f>
        <v/>
      </c>
      <c r="D78" s="18" t="str">
        <f aca="false">IF(B78="","",IFERROR(INDEX(Inventario!$C$7:$C$46,MATCH(B78,Inventario!$A$7:$A$46,0)),""))</f>
        <v/>
      </c>
      <c r="E78" s="19"/>
      <c r="F78" s="19"/>
      <c r="G78" s="20" t="str">
        <f aca="false">IF(OR(E78="",F78=""),IF(B78="","",IF(A78="","",8)),F78-E78)</f>
        <v/>
      </c>
      <c r="H78" s="14"/>
      <c r="I78" s="12"/>
      <c r="J78" s="14"/>
      <c r="K78" s="20" t="str">
        <f aca="false">IF(OR(J78="",N(G78)=0),"",J78/G78)</f>
        <v/>
      </c>
      <c r="L78" s="12"/>
      <c r="M78" s="12"/>
      <c r="N78" s="12"/>
    </row>
    <row r="79" customFormat="false" ht="15" hidden="false" customHeight="false" outlineLevel="0" collapsed="false">
      <c r="A79" s="16"/>
      <c r="B79" s="12"/>
      <c r="C79" s="18" t="str">
        <f aca="false">IF(B79="","",IFERROR(INDEX(Inventario!$B$7:$B$46,MATCH(B79,Inventario!$A$7:$A$46,0)),"Clave no existe"))</f>
        <v/>
      </c>
      <c r="D79" s="18" t="str">
        <f aca="false">IF(B79="","",IFERROR(INDEX(Inventario!$C$7:$C$46,MATCH(B79,Inventario!$A$7:$A$46,0)),""))</f>
        <v/>
      </c>
      <c r="E79" s="19"/>
      <c r="F79" s="19"/>
      <c r="G79" s="20" t="str">
        <f aca="false">IF(OR(E79="",F79=""),IF(B79="","",IF(A79="","",8)),F79-E79)</f>
        <v/>
      </c>
      <c r="H79" s="14"/>
      <c r="I79" s="12"/>
      <c r="J79" s="14"/>
      <c r="K79" s="20" t="str">
        <f aca="false">IF(OR(J79="",N(G79)=0),"",J79/G79)</f>
        <v/>
      </c>
      <c r="L79" s="12"/>
      <c r="M79" s="12"/>
      <c r="N79" s="12"/>
    </row>
    <row r="80" customFormat="false" ht="15" hidden="false" customHeight="false" outlineLevel="0" collapsed="false">
      <c r="A80" s="16"/>
      <c r="B80" s="12"/>
      <c r="C80" s="18" t="str">
        <f aca="false">IF(B80="","",IFERROR(INDEX(Inventario!$B$7:$B$46,MATCH(B80,Inventario!$A$7:$A$46,0)),"Clave no existe"))</f>
        <v/>
      </c>
      <c r="D80" s="18" t="str">
        <f aca="false">IF(B80="","",IFERROR(INDEX(Inventario!$C$7:$C$46,MATCH(B80,Inventario!$A$7:$A$46,0)),""))</f>
        <v/>
      </c>
      <c r="E80" s="19"/>
      <c r="F80" s="19"/>
      <c r="G80" s="20" t="str">
        <f aca="false">IF(OR(E80="",F80=""),IF(B80="","",IF(A80="","",8)),F80-E80)</f>
        <v/>
      </c>
      <c r="H80" s="14"/>
      <c r="I80" s="12"/>
      <c r="J80" s="14"/>
      <c r="K80" s="20" t="str">
        <f aca="false">IF(OR(J80="",N(G80)=0),"",J80/G80)</f>
        <v/>
      </c>
      <c r="L80" s="12"/>
      <c r="M80" s="12"/>
      <c r="N80" s="12"/>
    </row>
    <row r="81" customFormat="false" ht="15" hidden="false" customHeight="false" outlineLevel="0" collapsed="false">
      <c r="A81" s="16"/>
      <c r="B81" s="12"/>
      <c r="C81" s="18" t="str">
        <f aca="false">IF(B81="","",IFERROR(INDEX(Inventario!$B$7:$B$46,MATCH(B81,Inventario!$A$7:$A$46,0)),"Clave no existe"))</f>
        <v/>
      </c>
      <c r="D81" s="18" t="str">
        <f aca="false">IF(B81="","",IFERROR(INDEX(Inventario!$C$7:$C$46,MATCH(B81,Inventario!$A$7:$A$46,0)),""))</f>
        <v/>
      </c>
      <c r="E81" s="19"/>
      <c r="F81" s="19"/>
      <c r="G81" s="20" t="str">
        <f aca="false">IF(OR(E81="",F81=""),IF(B81="","",IF(A81="","",8)),F81-E81)</f>
        <v/>
      </c>
      <c r="H81" s="14"/>
      <c r="I81" s="12"/>
      <c r="J81" s="14"/>
      <c r="K81" s="20" t="str">
        <f aca="false">IF(OR(J81="",N(G81)=0),"",J81/G81)</f>
        <v/>
      </c>
      <c r="L81" s="12"/>
      <c r="M81" s="12"/>
      <c r="N81" s="12"/>
    </row>
    <row r="82" customFormat="false" ht="15" hidden="false" customHeight="false" outlineLevel="0" collapsed="false">
      <c r="A82" s="16"/>
      <c r="B82" s="12"/>
      <c r="C82" s="18" t="str">
        <f aca="false">IF(B82="","",IFERROR(INDEX(Inventario!$B$7:$B$46,MATCH(B82,Inventario!$A$7:$A$46,0)),"Clave no existe"))</f>
        <v/>
      </c>
      <c r="D82" s="18" t="str">
        <f aca="false">IF(B82="","",IFERROR(INDEX(Inventario!$C$7:$C$46,MATCH(B82,Inventario!$A$7:$A$46,0)),""))</f>
        <v/>
      </c>
      <c r="E82" s="19"/>
      <c r="F82" s="19"/>
      <c r="G82" s="20" t="str">
        <f aca="false">IF(OR(E82="",F82=""),IF(B82="","",IF(A82="","",8)),F82-E82)</f>
        <v/>
      </c>
      <c r="H82" s="14"/>
      <c r="I82" s="12"/>
      <c r="J82" s="14"/>
      <c r="K82" s="20" t="str">
        <f aca="false">IF(OR(J82="",N(G82)=0),"",J82/G82)</f>
        <v/>
      </c>
      <c r="L82" s="12"/>
      <c r="M82" s="12"/>
      <c r="N82" s="12"/>
    </row>
    <row r="83" customFormat="false" ht="15" hidden="false" customHeight="false" outlineLevel="0" collapsed="false">
      <c r="A83" s="16"/>
      <c r="B83" s="12"/>
      <c r="C83" s="18" t="str">
        <f aca="false">IF(B83="","",IFERROR(INDEX(Inventario!$B$7:$B$46,MATCH(B83,Inventario!$A$7:$A$46,0)),"Clave no existe"))</f>
        <v/>
      </c>
      <c r="D83" s="18" t="str">
        <f aca="false">IF(B83="","",IFERROR(INDEX(Inventario!$C$7:$C$46,MATCH(B83,Inventario!$A$7:$A$46,0)),""))</f>
        <v/>
      </c>
      <c r="E83" s="19"/>
      <c r="F83" s="19"/>
      <c r="G83" s="20" t="str">
        <f aca="false">IF(OR(E83="",F83=""),IF(B83="","",IF(A83="","",8)),F83-E83)</f>
        <v/>
      </c>
      <c r="H83" s="14"/>
      <c r="I83" s="12"/>
      <c r="J83" s="14"/>
      <c r="K83" s="20" t="str">
        <f aca="false">IF(OR(J83="",N(G83)=0),"",J83/G83)</f>
        <v/>
      </c>
      <c r="L83" s="12"/>
      <c r="M83" s="12"/>
      <c r="N83" s="12"/>
    </row>
    <row r="84" customFormat="false" ht="15" hidden="false" customHeight="false" outlineLevel="0" collapsed="false">
      <c r="A84" s="16"/>
      <c r="B84" s="12"/>
      <c r="C84" s="18" t="str">
        <f aca="false">IF(B84="","",IFERROR(INDEX(Inventario!$B$7:$B$46,MATCH(B84,Inventario!$A$7:$A$46,0)),"Clave no existe"))</f>
        <v/>
      </c>
      <c r="D84" s="18" t="str">
        <f aca="false">IF(B84="","",IFERROR(INDEX(Inventario!$C$7:$C$46,MATCH(B84,Inventario!$A$7:$A$46,0)),""))</f>
        <v/>
      </c>
      <c r="E84" s="19"/>
      <c r="F84" s="19"/>
      <c r="G84" s="20" t="str">
        <f aca="false">IF(OR(E84="",F84=""),IF(B84="","",IF(A84="","",8)),F84-E84)</f>
        <v/>
      </c>
      <c r="H84" s="14"/>
      <c r="I84" s="12"/>
      <c r="J84" s="14"/>
      <c r="K84" s="20" t="str">
        <f aca="false">IF(OR(J84="",N(G84)=0),"",J84/G84)</f>
        <v/>
      </c>
      <c r="L84" s="12"/>
      <c r="M84" s="12"/>
      <c r="N84" s="12"/>
    </row>
    <row r="85" customFormat="false" ht="15" hidden="false" customHeight="false" outlineLevel="0" collapsed="false">
      <c r="A85" s="16"/>
      <c r="B85" s="12"/>
      <c r="C85" s="18" t="str">
        <f aca="false">IF(B85="","",IFERROR(INDEX(Inventario!$B$7:$B$46,MATCH(B85,Inventario!$A$7:$A$46,0)),"Clave no existe"))</f>
        <v/>
      </c>
      <c r="D85" s="18" t="str">
        <f aca="false">IF(B85="","",IFERROR(INDEX(Inventario!$C$7:$C$46,MATCH(B85,Inventario!$A$7:$A$46,0)),""))</f>
        <v/>
      </c>
      <c r="E85" s="19"/>
      <c r="F85" s="19"/>
      <c r="G85" s="20" t="str">
        <f aca="false">IF(OR(E85="",F85=""),IF(B85="","",IF(A85="","",8)),F85-E85)</f>
        <v/>
      </c>
      <c r="H85" s="14"/>
      <c r="I85" s="12"/>
      <c r="J85" s="14"/>
      <c r="K85" s="20" t="str">
        <f aca="false">IF(OR(J85="",N(G85)=0),"",J85/G85)</f>
        <v/>
      </c>
      <c r="L85" s="12"/>
      <c r="M85" s="12"/>
      <c r="N85" s="12"/>
    </row>
    <row r="86" customFormat="false" ht="15" hidden="false" customHeight="false" outlineLevel="0" collapsed="false">
      <c r="A86" s="16"/>
      <c r="B86" s="12"/>
      <c r="C86" s="18" t="str">
        <f aca="false">IF(B86="","",IFERROR(INDEX(Inventario!$B$7:$B$46,MATCH(B86,Inventario!$A$7:$A$46,0)),"Clave no existe"))</f>
        <v/>
      </c>
      <c r="D86" s="18" t="str">
        <f aca="false">IF(B86="","",IFERROR(INDEX(Inventario!$C$7:$C$46,MATCH(B86,Inventario!$A$7:$A$46,0)),""))</f>
        <v/>
      </c>
      <c r="E86" s="19"/>
      <c r="F86" s="19"/>
      <c r="G86" s="20" t="str">
        <f aca="false">IF(OR(E86="",F86=""),IF(B86="","",IF(A86="","",8)),F86-E86)</f>
        <v/>
      </c>
      <c r="H86" s="14"/>
      <c r="I86" s="12"/>
      <c r="J86" s="14"/>
      <c r="K86" s="20" t="str">
        <f aca="false">IF(OR(J86="",N(G86)=0),"",J86/G86)</f>
        <v/>
      </c>
      <c r="L86" s="12"/>
      <c r="M86" s="12"/>
      <c r="N86" s="12"/>
    </row>
    <row r="87" customFormat="false" ht="15" hidden="false" customHeight="false" outlineLevel="0" collapsed="false">
      <c r="A87" s="16"/>
      <c r="B87" s="12"/>
      <c r="C87" s="18" t="str">
        <f aca="false">IF(B87="","",IFERROR(INDEX(Inventario!$B$7:$B$46,MATCH(B87,Inventario!$A$7:$A$46,0)),"Clave no existe"))</f>
        <v/>
      </c>
      <c r="D87" s="18" t="str">
        <f aca="false">IF(B87="","",IFERROR(INDEX(Inventario!$C$7:$C$46,MATCH(B87,Inventario!$A$7:$A$46,0)),""))</f>
        <v/>
      </c>
      <c r="E87" s="19"/>
      <c r="F87" s="19"/>
      <c r="G87" s="20" t="str">
        <f aca="false">IF(OR(E87="",F87=""),IF(B87="","",IF(A87="","",8)),F87-E87)</f>
        <v/>
      </c>
      <c r="H87" s="14"/>
      <c r="I87" s="12"/>
      <c r="J87" s="14"/>
      <c r="K87" s="20" t="str">
        <f aca="false">IF(OR(J87="",N(G87)=0),"",J87/G87)</f>
        <v/>
      </c>
      <c r="L87" s="12"/>
      <c r="M87" s="12"/>
      <c r="N87" s="12"/>
    </row>
    <row r="88" customFormat="false" ht="15" hidden="false" customHeight="false" outlineLevel="0" collapsed="false">
      <c r="A88" s="16"/>
      <c r="B88" s="12"/>
      <c r="C88" s="18" t="str">
        <f aca="false">IF(B88="","",IFERROR(INDEX(Inventario!$B$7:$B$46,MATCH(B88,Inventario!$A$7:$A$46,0)),"Clave no existe"))</f>
        <v/>
      </c>
      <c r="D88" s="18" t="str">
        <f aca="false">IF(B88="","",IFERROR(INDEX(Inventario!$C$7:$C$46,MATCH(B88,Inventario!$A$7:$A$46,0)),""))</f>
        <v/>
      </c>
      <c r="E88" s="19"/>
      <c r="F88" s="19"/>
      <c r="G88" s="20" t="str">
        <f aca="false">IF(OR(E88="",F88=""),IF(B88="","",IF(A88="","",8)),F88-E88)</f>
        <v/>
      </c>
      <c r="H88" s="14"/>
      <c r="I88" s="12"/>
      <c r="J88" s="14"/>
      <c r="K88" s="20" t="str">
        <f aca="false">IF(OR(J88="",N(G88)=0),"",J88/G88)</f>
        <v/>
      </c>
      <c r="L88" s="12"/>
      <c r="M88" s="12"/>
      <c r="N88" s="12"/>
    </row>
    <row r="89" customFormat="false" ht="15" hidden="false" customHeight="false" outlineLevel="0" collapsed="false">
      <c r="A89" s="16"/>
      <c r="B89" s="12"/>
      <c r="C89" s="18" t="str">
        <f aca="false">IF(B89="","",IFERROR(INDEX(Inventario!$B$7:$B$46,MATCH(B89,Inventario!$A$7:$A$46,0)),"Clave no existe"))</f>
        <v/>
      </c>
      <c r="D89" s="18" t="str">
        <f aca="false">IF(B89="","",IFERROR(INDEX(Inventario!$C$7:$C$46,MATCH(B89,Inventario!$A$7:$A$46,0)),""))</f>
        <v/>
      </c>
      <c r="E89" s="19"/>
      <c r="F89" s="19"/>
      <c r="G89" s="20" t="str">
        <f aca="false">IF(OR(E89="",F89=""),IF(B89="","",IF(A89="","",8)),F89-E89)</f>
        <v/>
      </c>
      <c r="H89" s="14"/>
      <c r="I89" s="12"/>
      <c r="J89" s="14"/>
      <c r="K89" s="20" t="str">
        <f aca="false">IF(OR(J89="",N(G89)=0),"",J89/G89)</f>
        <v/>
      </c>
      <c r="L89" s="12"/>
      <c r="M89" s="12"/>
      <c r="N89" s="12"/>
    </row>
    <row r="90" customFormat="false" ht="15" hidden="false" customHeight="false" outlineLevel="0" collapsed="false">
      <c r="A90" s="16"/>
      <c r="B90" s="12"/>
      <c r="C90" s="18" t="str">
        <f aca="false">IF(B90="","",IFERROR(INDEX(Inventario!$B$7:$B$46,MATCH(B90,Inventario!$A$7:$A$46,0)),"Clave no existe"))</f>
        <v/>
      </c>
      <c r="D90" s="18" t="str">
        <f aca="false">IF(B90="","",IFERROR(INDEX(Inventario!$C$7:$C$46,MATCH(B90,Inventario!$A$7:$A$46,0)),""))</f>
        <v/>
      </c>
      <c r="E90" s="19"/>
      <c r="F90" s="19"/>
      <c r="G90" s="20" t="str">
        <f aca="false">IF(OR(E90="",F90=""),IF(B90="","",IF(A90="","",8)),F90-E90)</f>
        <v/>
      </c>
      <c r="H90" s="14"/>
      <c r="I90" s="12"/>
      <c r="J90" s="14"/>
      <c r="K90" s="20" t="str">
        <f aca="false">IF(OR(J90="",N(G90)=0),"",J90/G90)</f>
        <v/>
      </c>
      <c r="L90" s="12"/>
      <c r="M90" s="12"/>
      <c r="N90" s="12"/>
    </row>
    <row r="91" customFormat="false" ht="15" hidden="false" customHeight="false" outlineLevel="0" collapsed="false">
      <c r="A91" s="16"/>
      <c r="B91" s="12"/>
      <c r="C91" s="18" t="str">
        <f aca="false">IF(B91="","",IFERROR(INDEX(Inventario!$B$7:$B$46,MATCH(B91,Inventario!$A$7:$A$46,0)),"Clave no existe"))</f>
        <v/>
      </c>
      <c r="D91" s="18" t="str">
        <f aca="false">IF(B91="","",IFERROR(INDEX(Inventario!$C$7:$C$46,MATCH(B91,Inventario!$A$7:$A$46,0)),""))</f>
        <v/>
      </c>
      <c r="E91" s="19"/>
      <c r="F91" s="19"/>
      <c r="G91" s="20" t="str">
        <f aca="false">IF(OR(E91="",F91=""),IF(B91="","",IF(A91="","",8)),F91-E91)</f>
        <v/>
      </c>
      <c r="H91" s="14"/>
      <c r="I91" s="12"/>
      <c r="J91" s="14"/>
      <c r="K91" s="20" t="str">
        <f aca="false">IF(OR(J91="",N(G91)=0),"",J91/G91)</f>
        <v/>
      </c>
      <c r="L91" s="12"/>
      <c r="M91" s="12"/>
      <c r="N91" s="12"/>
    </row>
    <row r="92" customFormat="false" ht="15" hidden="false" customHeight="false" outlineLevel="0" collapsed="false">
      <c r="A92" s="16"/>
      <c r="B92" s="12"/>
      <c r="C92" s="18" t="str">
        <f aca="false">IF(B92="","",IFERROR(INDEX(Inventario!$B$7:$B$46,MATCH(B92,Inventario!$A$7:$A$46,0)),"Clave no existe"))</f>
        <v/>
      </c>
      <c r="D92" s="18" t="str">
        <f aca="false">IF(B92="","",IFERROR(INDEX(Inventario!$C$7:$C$46,MATCH(B92,Inventario!$A$7:$A$46,0)),""))</f>
        <v/>
      </c>
      <c r="E92" s="19"/>
      <c r="F92" s="19"/>
      <c r="G92" s="20" t="str">
        <f aca="false">IF(OR(E92="",F92=""),IF(B92="","",IF(A92="","",8)),F92-E92)</f>
        <v/>
      </c>
      <c r="H92" s="14"/>
      <c r="I92" s="12"/>
      <c r="J92" s="14"/>
      <c r="K92" s="20" t="str">
        <f aca="false">IF(OR(J92="",N(G92)=0),"",J92/G92)</f>
        <v/>
      </c>
      <c r="L92" s="12"/>
      <c r="M92" s="12"/>
      <c r="N92" s="12"/>
    </row>
    <row r="93" customFormat="false" ht="15" hidden="false" customHeight="false" outlineLevel="0" collapsed="false">
      <c r="A93" s="16"/>
      <c r="B93" s="12"/>
      <c r="C93" s="18" t="str">
        <f aca="false">IF(B93="","",IFERROR(INDEX(Inventario!$B$7:$B$46,MATCH(B93,Inventario!$A$7:$A$46,0)),"Clave no existe"))</f>
        <v/>
      </c>
      <c r="D93" s="18" t="str">
        <f aca="false">IF(B93="","",IFERROR(INDEX(Inventario!$C$7:$C$46,MATCH(B93,Inventario!$A$7:$A$46,0)),""))</f>
        <v/>
      </c>
      <c r="E93" s="19"/>
      <c r="F93" s="19"/>
      <c r="G93" s="20" t="str">
        <f aca="false">IF(OR(E93="",F93=""),IF(B93="","",IF(A93="","",8)),F93-E93)</f>
        <v/>
      </c>
      <c r="H93" s="14"/>
      <c r="I93" s="12"/>
      <c r="J93" s="14"/>
      <c r="K93" s="20" t="str">
        <f aca="false">IF(OR(J93="",N(G93)=0),"",J93/G93)</f>
        <v/>
      </c>
      <c r="L93" s="12"/>
      <c r="M93" s="12"/>
      <c r="N93" s="12"/>
    </row>
    <row r="94" customFormat="false" ht="15" hidden="false" customHeight="false" outlineLevel="0" collapsed="false">
      <c r="A94" s="16"/>
      <c r="B94" s="12"/>
      <c r="C94" s="18" t="str">
        <f aca="false">IF(B94="","",IFERROR(INDEX(Inventario!$B$7:$B$46,MATCH(B94,Inventario!$A$7:$A$46,0)),"Clave no existe"))</f>
        <v/>
      </c>
      <c r="D94" s="18" t="str">
        <f aca="false">IF(B94="","",IFERROR(INDEX(Inventario!$C$7:$C$46,MATCH(B94,Inventario!$A$7:$A$46,0)),""))</f>
        <v/>
      </c>
      <c r="E94" s="19"/>
      <c r="F94" s="19"/>
      <c r="G94" s="20" t="str">
        <f aca="false">IF(OR(E94="",F94=""),IF(B94="","",IF(A94="","",8)),F94-E94)</f>
        <v/>
      </c>
      <c r="H94" s="14"/>
      <c r="I94" s="12"/>
      <c r="J94" s="14"/>
      <c r="K94" s="20" t="str">
        <f aca="false">IF(OR(J94="",N(G94)=0),"",J94/G94)</f>
        <v/>
      </c>
      <c r="L94" s="12"/>
      <c r="M94" s="12"/>
      <c r="N94" s="12"/>
    </row>
    <row r="95" customFormat="false" ht="15" hidden="false" customHeight="false" outlineLevel="0" collapsed="false">
      <c r="A95" s="16"/>
      <c r="B95" s="12"/>
      <c r="C95" s="18" t="str">
        <f aca="false">IF(B95="","",IFERROR(INDEX(Inventario!$B$7:$B$46,MATCH(B95,Inventario!$A$7:$A$46,0)),"Clave no existe"))</f>
        <v/>
      </c>
      <c r="D95" s="18" t="str">
        <f aca="false">IF(B95="","",IFERROR(INDEX(Inventario!$C$7:$C$46,MATCH(B95,Inventario!$A$7:$A$46,0)),""))</f>
        <v/>
      </c>
      <c r="E95" s="19"/>
      <c r="F95" s="19"/>
      <c r="G95" s="20" t="str">
        <f aca="false">IF(OR(E95="",F95=""),IF(B95="","",IF(A95="","",8)),F95-E95)</f>
        <v/>
      </c>
      <c r="H95" s="14"/>
      <c r="I95" s="12"/>
      <c r="J95" s="14"/>
      <c r="K95" s="20" t="str">
        <f aca="false">IF(OR(J95="",N(G95)=0),"",J95/G95)</f>
        <v/>
      </c>
      <c r="L95" s="12"/>
      <c r="M95" s="12"/>
      <c r="N95" s="12"/>
    </row>
    <row r="96" customFormat="false" ht="15" hidden="false" customHeight="false" outlineLevel="0" collapsed="false">
      <c r="A96" s="16"/>
      <c r="B96" s="12"/>
      <c r="C96" s="18" t="str">
        <f aca="false">IF(B96="","",IFERROR(INDEX(Inventario!$B$7:$B$46,MATCH(B96,Inventario!$A$7:$A$46,0)),"Clave no existe"))</f>
        <v/>
      </c>
      <c r="D96" s="18" t="str">
        <f aca="false">IF(B96="","",IFERROR(INDEX(Inventario!$C$7:$C$46,MATCH(B96,Inventario!$A$7:$A$46,0)),""))</f>
        <v/>
      </c>
      <c r="E96" s="19"/>
      <c r="F96" s="19"/>
      <c r="G96" s="20" t="str">
        <f aca="false">IF(OR(E96="",F96=""),IF(B96="","",IF(A96="","",8)),F96-E96)</f>
        <v/>
      </c>
      <c r="H96" s="14"/>
      <c r="I96" s="12"/>
      <c r="J96" s="14"/>
      <c r="K96" s="20" t="str">
        <f aca="false">IF(OR(J96="",N(G96)=0),"",J96/G96)</f>
        <v/>
      </c>
      <c r="L96" s="12"/>
      <c r="M96" s="12"/>
      <c r="N96" s="12"/>
    </row>
    <row r="97" customFormat="false" ht="15" hidden="false" customHeight="false" outlineLevel="0" collapsed="false">
      <c r="A97" s="16"/>
      <c r="B97" s="12"/>
      <c r="C97" s="18" t="str">
        <f aca="false">IF(B97="","",IFERROR(INDEX(Inventario!$B$7:$B$46,MATCH(B97,Inventario!$A$7:$A$46,0)),"Clave no existe"))</f>
        <v/>
      </c>
      <c r="D97" s="18" t="str">
        <f aca="false">IF(B97="","",IFERROR(INDEX(Inventario!$C$7:$C$46,MATCH(B97,Inventario!$A$7:$A$46,0)),""))</f>
        <v/>
      </c>
      <c r="E97" s="19"/>
      <c r="F97" s="19"/>
      <c r="G97" s="20" t="str">
        <f aca="false">IF(OR(E97="",F97=""),IF(B97="","",IF(A97="","",8)),F97-E97)</f>
        <v/>
      </c>
      <c r="H97" s="14"/>
      <c r="I97" s="12"/>
      <c r="J97" s="14"/>
      <c r="K97" s="20" t="str">
        <f aca="false">IF(OR(J97="",N(G97)=0),"",J97/G97)</f>
        <v/>
      </c>
      <c r="L97" s="12"/>
      <c r="M97" s="12"/>
      <c r="N97" s="12"/>
    </row>
    <row r="98" customFormat="false" ht="15" hidden="false" customHeight="false" outlineLevel="0" collapsed="false">
      <c r="A98" s="16"/>
      <c r="B98" s="12"/>
      <c r="C98" s="18" t="str">
        <f aca="false">IF(B98="","",IFERROR(INDEX(Inventario!$B$7:$B$46,MATCH(B98,Inventario!$A$7:$A$46,0)),"Clave no existe"))</f>
        <v/>
      </c>
      <c r="D98" s="18" t="str">
        <f aca="false">IF(B98="","",IFERROR(INDEX(Inventario!$C$7:$C$46,MATCH(B98,Inventario!$A$7:$A$46,0)),""))</f>
        <v/>
      </c>
      <c r="E98" s="19"/>
      <c r="F98" s="19"/>
      <c r="G98" s="20" t="str">
        <f aca="false">IF(OR(E98="",F98=""),IF(B98="","",IF(A98="","",8)),F98-E98)</f>
        <v/>
      </c>
      <c r="H98" s="14"/>
      <c r="I98" s="12"/>
      <c r="J98" s="14"/>
      <c r="K98" s="20" t="str">
        <f aca="false">IF(OR(J98="",N(G98)=0),"",J98/G98)</f>
        <v/>
      </c>
      <c r="L98" s="12"/>
      <c r="M98" s="12"/>
      <c r="N98" s="12"/>
    </row>
    <row r="99" customFormat="false" ht="15" hidden="false" customHeight="false" outlineLevel="0" collapsed="false">
      <c r="A99" s="16"/>
      <c r="B99" s="12"/>
      <c r="C99" s="18" t="str">
        <f aca="false">IF(B99="","",IFERROR(INDEX(Inventario!$B$7:$B$46,MATCH(B99,Inventario!$A$7:$A$46,0)),"Clave no existe"))</f>
        <v/>
      </c>
      <c r="D99" s="18" t="str">
        <f aca="false">IF(B99="","",IFERROR(INDEX(Inventario!$C$7:$C$46,MATCH(B99,Inventario!$A$7:$A$46,0)),""))</f>
        <v/>
      </c>
      <c r="E99" s="19"/>
      <c r="F99" s="19"/>
      <c r="G99" s="20" t="str">
        <f aca="false">IF(OR(E99="",F99=""),IF(B99="","",IF(A99="","",8)),F99-E99)</f>
        <v/>
      </c>
      <c r="H99" s="14"/>
      <c r="I99" s="12"/>
      <c r="J99" s="14"/>
      <c r="K99" s="20" t="str">
        <f aca="false">IF(OR(J99="",N(G99)=0),"",J99/G99)</f>
        <v/>
      </c>
      <c r="L99" s="12"/>
      <c r="M99" s="12"/>
      <c r="N99" s="12"/>
    </row>
    <row r="100" customFormat="false" ht="15" hidden="false" customHeight="false" outlineLevel="0" collapsed="false">
      <c r="A100" s="16"/>
      <c r="B100" s="12"/>
      <c r="C100" s="18" t="str">
        <f aca="false">IF(B100="","",IFERROR(INDEX(Inventario!$B$7:$B$46,MATCH(B100,Inventario!$A$7:$A$46,0)),"Clave no existe"))</f>
        <v/>
      </c>
      <c r="D100" s="18" t="str">
        <f aca="false">IF(B100="","",IFERROR(INDEX(Inventario!$C$7:$C$46,MATCH(B100,Inventario!$A$7:$A$46,0)),""))</f>
        <v/>
      </c>
      <c r="E100" s="19"/>
      <c r="F100" s="19"/>
      <c r="G100" s="20" t="str">
        <f aca="false">IF(OR(E100="",F100=""),IF(B100="","",IF(A100="","",8)),F100-E100)</f>
        <v/>
      </c>
      <c r="H100" s="14"/>
      <c r="I100" s="12"/>
      <c r="J100" s="14"/>
      <c r="K100" s="20" t="str">
        <f aca="false">IF(OR(J100="",N(G100)=0),"",J100/G100)</f>
        <v/>
      </c>
      <c r="L100" s="12"/>
      <c r="M100" s="12"/>
      <c r="N100" s="12"/>
    </row>
    <row r="101" customFormat="false" ht="15" hidden="false" customHeight="false" outlineLevel="0" collapsed="false">
      <c r="A101" s="16"/>
      <c r="B101" s="12"/>
      <c r="C101" s="18" t="str">
        <f aca="false">IF(B101="","",IFERROR(INDEX(Inventario!$B$7:$B$46,MATCH(B101,Inventario!$A$7:$A$46,0)),"Clave no existe"))</f>
        <v/>
      </c>
      <c r="D101" s="18" t="str">
        <f aca="false">IF(B101="","",IFERROR(INDEX(Inventario!$C$7:$C$46,MATCH(B101,Inventario!$A$7:$A$46,0)),""))</f>
        <v/>
      </c>
      <c r="E101" s="19"/>
      <c r="F101" s="19"/>
      <c r="G101" s="20" t="str">
        <f aca="false">IF(OR(E101="",F101=""),IF(B101="","",IF(A101="","",8)),F101-E101)</f>
        <v/>
      </c>
      <c r="H101" s="14"/>
      <c r="I101" s="12"/>
      <c r="J101" s="14"/>
      <c r="K101" s="20" t="str">
        <f aca="false">IF(OR(J101="",N(G101)=0),"",J101/G101)</f>
        <v/>
      </c>
      <c r="L101" s="12"/>
      <c r="M101" s="12"/>
      <c r="N101" s="12"/>
    </row>
    <row r="102" customFormat="false" ht="15" hidden="false" customHeight="false" outlineLevel="0" collapsed="false">
      <c r="A102" s="16"/>
      <c r="B102" s="12"/>
      <c r="C102" s="18" t="str">
        <f aca="false">IF(B102="","",IFERROR(INDEX(Inventario!$B$7:$B$46,MATCH(B102,Inventario!$A$7:$A$46,0)),"Clave no existe"))</f>
        <v/>
      </c>
      <c r="D102" s="18" t="str">
        <f aca="false">IF(B102="","",IFERROR(INDEX(Inventario!$C$7:$C$46,MATCH(B102,Inventario!$A$7:$A$46,0)),""))</f>
        <v/>
      </c>
      <c r="E102" s="19"/>
      <c r="F102" s="19"/>
      <c r="G102" s="20" t="str">
        <f aca="false">IF(OR(E102="",F102=""),IF(B102="","",IF(A102="","",8)),F102-E102)</f>
        <v/>
      </c>
      <c r="H102" s="14"/>
      <c r="I102" s="12"/>
      <c r="J102" s="14"/>
      <c r="K102" s="20" t="str">
        <f aca="false">IF(OR(J102="",N(G102)=0),"",J102/G102)</f>
        <v/>
      </c>
      <c r="L102" s="12"/>
      <c r="M102" s="12"/>
      <c r="N102" s="12"/>
    </row>
    <row r="103" customFormat="false" ht="15" hidden="false" customHeight="false" outlineLevel="0" collapsed="false">
      <c r="A103" s="16"/>
      <c r="B103" s="12"/>
      <c r="C103" s="18" t="str">
        <f aca="false">IF(B103="","",IFERROR(INDEX(Inventario!$B$7:$B$46,MATCH(B103,Inventario!$A$7:$A$46,0)),"Clave no existe"))</f>
        <v/>
      </c>
      <c r="D103" s="18" t="str">
        <f aca="false">IF(B103="","",IFERROR(INDEX(Inventario!$C$7:$C$46,MATCH(B103,Inventario!$A$7:$A$46,0)),""))</f>
        <v/>
      </c>
      <c r="E103" s="19"/>
      <c r="F103" s="19"/>
      <c r="G103" s="20" t="str">
        <f aca="false">IF(OR(E103="",F103=""),IF(B103="","",IF(A103="","",8)),F103-E103)</f>
        <v/>
      </c>
      <c r="H103" s="14"/>
      <c r="I103" s="12"/>
      <c r="J103" s="14"/>
      <c r="K103" s="20" t="str">
        <f aca="false">IF(OR(J103="",N(G103)=0),"",J103/G103)</f>
        <v/>
      </c>
      <c r="L103" s="12"/>
      <c r="M103" s="12"/>
      <c r="N103" s="12"/>
    </row>
    <row r="104" customFormat="false" ht="15" hidden="false" customHeight="false" outlineLevel="0" collapsed="false">
      <c r="A104" s="16"/>
      <c r="B104" s="12"/>
      <c r="C104" s="18" t="str">
        <f aca="false">IF(B104="","",IFERROR(INDEX(Inventario!$B$7:$B$46,MATCH(B104,Inventario!$A$7:$A$46,0)),"Clave no existe"))</f>
        <v/>
      </c>
      <c r="D104" s="18" t="str">
        <f aca="false">IF(B104="","",IFERROR(INDEX(Inventario!$C$7:$C$46,MATCH(B104,Inventario!$A$7:$A$46,0)),""))</f>
        <v/>
      </c>
      <c r="E104" s="19"/>
      <c r="F104" s="19"/>
      <c r="G104" s="20" t="str">
        <f aca="false">IF(OR(E104="",F104=""),IF(B104="","",IF(A104="","",8)),F104-E104)</f>
        <v/>
      </c>
      <c r="H104" s="14"/>
      <c r="I104" s="12"/>
      <c r="J104" s="14"/>
      <c r="K104" s="20" t="str">
        <f aca="false">IF(OR(J104="",N(G104)=0),"",J104/G104)</f>
        <v/>
      </c>
      <c r="L104" s="12"/>
      <c r="M104" s="12"/>
      <c r="N104" s="12"/>
    </row>
    <row r="105" customFormat="false" ht="15" hidden="false" customHeight="false" outlineLevel="0" collapsed="false">
      <c r="A105" s="16"/>
      <c r="B105" s="12"/>
      <c r="C105" s="18" t="str">
        <f aca="false">IF(B105="","",IFERROR(INDEX(Inventario!$B$7:$B$46,MATCH(B105,Inventario!$A$7:$A$46,0)),"Clave no existe"))</f>
        <v/>
      </c>
      <c r="D105" s="18" t="str">
        <f aca="false">IF(B105="","",IFERROR(INDEX(Inventario!$C$7:$C$46,MATCH(B105,Inventario!$A$7:$A$46,0)),""))</f>
        <v/>
      </c>
      <c r="E105" s="19"/>
      <c r="F105" s="19"/>
      <c r="G105" s="20" t="str">
        <f aca="false">IF(OR(E105="",F105=""),IF(B105="","",IF(A105="","",8)),F105-E105)</f>
        <v/>
      </c>
      <c r="H105" s="14"/>
      <c r="I105" s="12"/>
      <c r="J105" s="14"/>
      <c r="K105" s="20" t="str">
        <f aca="false">IF(OR(J105="",N(G105)=0),"",J105/G105)</f>
        <v/>
      </c>
      <c r="L105" s="12"/>
      <c r="M105" s="12"/>
      <c r="N105" s="12"/>
    </row>
    <row r="106" customFormat="false" ht="15" hidden="false" customHeight="false" outlineLevel="0" collapsed="false">
      <c r="A106" s="16"/>
      <c r="B106" s="12"/>
      <c r="C106" s="18" t="str">
        <f aca="false">IF(B106="","",IFERROR(INDEX(Inventario!$B$7:$B$46,MATCH(B106,Inventario!$A$7:$A$46,0)),"Clave no existe"))</f>
        <v/>
      </c>
      <c r="D106" s="18" t="str">
        <f aca="false">IF(B106="","",IFERROR(INDEX(Inventario!$C$7:$C$46,MATCH(B106,Inventario!$A$7:$A$46,0)),""))</f>
        <v/>
      </c>
      <c r="E106" s="19"/>
      <c r="F106" s="19"/>
      <c r="G106" s="20" t="str">
        <f aca="false">IF(OR(E106="",F106=""),IF(B106="","",IF(A106="","",8)),F106-E106)</f>
        <v/>
      </c>
      <c r="H106" s="14"/>
      <c r="I106" s="12"/>
      <c r="J106" s="14"/>
      <c r="K106" s="20" t="str">
        <f aca="false">IF(OR(J106="",N(G106)=0),"",J106/G106)</f>
        <v/>
      </c>
      <c r="L106" s="12"/>
      <c r="M106" s="12"/>
      <c r="N106" s="12"/>
    </row>
    <row r="107" customFormat="false" ht="15" hidden="false" customHeight="false" outlineLevel="0" collapsed="false">
      <c r="A107" s="16"/>
      <c r="B107" s="12"/>
      <c r="C107" s="18" t="str">
        <f aca="false">IF(B107="","",IFERROR(INDEX(Inventario!$B$7:$B$46,MATCH(B107,Inventario!$A$7:$A$46,0)),"Clave no existe"))</f>
        <v/>
      </c>
      <c r="D107" s="18" t="str">
        <f aca="false">IF(B107="","",IFERROR(INDEX(Inventario!$C$7:$C$46,MATCH(B107,Inventario!$A$7:$A$46,0)),""))</f>
        <v/>
      </c>
      <c r="E107" s="19"/>
      <c r="F107" s="19"/>
      <c r="G107" s="20" t="str">
        <f aca="false">IF(OR(E107="",F107=""),IF(B107="","",IF(A107="","",8)),F107-E107)</f>
        <v/>
      </c>
      <c r="H107" s="14"/>
      <c r="I107" s="12"/>
      <c r="J107" s="14"/>
      <c r="K107" s="20" t="str">
        <f aca="false">IF(OR(J107="",N(G107)=0),"",J107/G107)</f>
        <v/>
      </c>
      <c r="L107" s="12"/>
      <c r="M107" s="12"/>
      <c r="N107" s="12"/>
    </row>
    <row r="108" customFormat="false" ht="15" hidden="false" customHeight="false" outlineLevel="0" collapsed="false">
      <c r="A108" s="16"/>
      <c r="B108" s="12"/>
      <c r="C108" s="18" t="str">
        <f aca="false">IF(B108="","",IFERROR(INDEX(Inventario!$B$7:$B$46,MATCH(B108,Inventario!$A$7:$A$46,0)),"Clave no existe"))</f>
        <v/>
      </c>
      <c r="D108" s="18" t="str">
        <f aca="false">IF(B108="","",IFERROR(INDEX(Inventario!$C$7:$C$46,MATCH(B108,Inventario!$A$7:$A$46,0)),""))</f>
        <v/>
      </c>
      <c r="E108" s="19"/>
      <c r="F108" s="19"/>
      <c r="G108" s="20" t="str">
        <f aca="false">IF(OR(E108="",F108=""),IF(B108="","",IF(A108="","",8)),F108-E108)</f>
        <v/>
      </c>
      <c r="H108" s="14"/>
      <c r="I108" s="12"/>
      <c r="J108" s="14"/>
      <c r="K108" s="20" t="str">
        <f aca="false">IF(OR(J108="",N(G108)=0),"",J108/G108)</f>
        <v/>
      </c>
      <c r="L108" s="12"/>
      <c r="M108" s="12"/>
      <c r="N108" s="12"/>
    </row>
    <row r="109" customFormat="false" ht="15" hidden="false" customHeight="false" outlineLevel="0" collapsed="false">
      <c r="A109" s="16"/>
      <c r="B109" s="12"/>
      <c r="C109" s="18" t="str">
        <f aca="false">IF(B109="","",IFERROR(INDEX(Inventario!$B$7:$B$46,MATCH(B109,Inventario!$A$7:$A$46,0)),"Clave no existe"))</f>
        <v/>
      </c>
      <c r="D109" s="18" t="str">
        <f aca="false">IF(B109="","",IFERROR(INDEX(Inventario!$C$7:$C$46,MATCH(B109,Inventario!$A$7:$A$46,0)),""))</f>
        <v/>
      </c>
      <c r="E109" s="19"/>
      <c r="F109" s="19"/>
      <c r="G109" s="20" t="str">
        <f aca="false">IF(OR(E109="",F109=""),IF(B109="","",IF(A109="","",8)),F109-E109)</f>
        <v/>
      </c>
      <c r="H109" s="14"/>
      <c r="I109" s="12"/>
      <c r="J109" s="14"/>
      <c r="K109" s="20" t="str">
        <f aca="false">IF(OR(J109="",N(G109)=0),"",J109/G109)</f>
        <v/>
      </c>
      <c r="L109" s="12"/>
      <c r="M109" s="12"/>
      <c r="N109" s="12"/>
    </row>
    <row r="110" customFormat="false" ht="15" hidden="false" customHeight="false" outlineLevel="0" collapsed="false">
      <c r="A110" s="16"/>
      <c r="B110" s="12"/>
      <c r="C110" s="18" t="str">
        <f aca="false">IF(B110="","",IFERROR(INDEX(Inventario!$B$7:$B$46,MATCH(B110,Inventario!$A$7:$A$46,0)),"Clave no existe"))</f>
        <v/>
      </c>
      <c r="D110" s="18" t="str">
        <f aca="false">IF(B110="","",IFERROR(INDEX(Inventario!$C$7:$C$46,MATCH(B110,Inventario!$A$7:$A$46,0)),""))</f>
        <v/>
      </c>
      <c r="E110" s="19"/>
      <c r="F110" s="19"/>
      <c r="G110" s="20" t="str">
        <f aca="false">IF(OR(E110="",F110=""),IF(B110="","",IF(A110="","",8)),F110-E110)</f>
        <v/>
      </c>
      <c r="H110" s="14"/>
      <c r="I110" s="12"/>
      <c r="J110" s="14"/>
      <c r="K110" s="20" t="str">
        <f aca="false">IF(OR(J110="",N(G110)=0),"",J110/G110)</f>
        <v/>
      </c>
      <c r="L110" s="12"/>
      <c r="M110" s="12"/>
      <c r="N110" s="12"/>
    </row>
    <row r="111" customFormat="false" ht="15" hidden="false" customHeight="false" outlineLevel="0" collapsed="false">
      <c r="A111" s="16"/>
      <c r="B111" s="12"/>
      <c r="C111" s="18" t="str">
        <f aca="false">IF(B111="","",IFERROR(INDEX(Inventario!$B$7:$B$46,MATCH(B111,Inventario!$A$7:$A$46,0)),"Clave no existe"))</f>
        <v/>
      </c>
      <c r="D111" s="18" t="str">
        <f aca="false">IF(B111="","",IFERROR(INDEX(Inventario!$C$7:$C$46,MATCH(B111,Inventario!$A$7:$A$46,0)),""))</f>
        <v/>
      </c>
      <c r="E111" s="19"/>
      <c r="F111" s="19"/>
      <c r="G111" s="20" t="str">
        <f aca="false">IF(OR(E111="",F111=""),IF(B111="","",IF(A111="","",8)),F111-E111)</f>
        <v/>
      </c>
      <c r="H111" s="14"/>
      <c r="I111" s="12"/>
      <c r="J111" s="14"/>
      <c r="K111" s="20" t="str">
        <f aca="false">IF(OR(J111="",N(G111)=0),"",J111/G111)</f>
        <v/>
      </c>
      <c r="L111" s="12"/>
      <c r="M111" s="12"/>
      <c r="N111" s="12"/>
    </row>
    <row r="112" customFormat="false" ht="15" hidden="false" customHeight="false" outlineLevel="0" collapsed="false">
      <c r="A112" s="16"/>
      <c r="B112" s="12"/>
      <c r="C112" s="18" t="str">
        <f aca="false">IF(B112="","",IFERROR(INDEX(Inventario!$B$7:$B$46,MATCH(B112,Inventario!$A$7:$A$46,0)),"Clave no existe"))</f>
        <v/>
      </c>
      <c r="D112" s="18" t="str">
        <f aca="false">IF(B112="","",IFERROR(INDEX(Inventario!$C$7:$C$46,MATCH(B112,Inventario!$A$7:$A$46,0)),""))</f>
        <v/>
      </c>
      <c r="E112" s="19"/>
      <c r="F112" s="19"/>
      <c r="G112" s="20" t="str">
        <f aca="false">IF(OR(E112="",F112=""),IF(B112="","",IF(A112="","",8)),F112-E112)</f>
        <v/>
      </c>
      <c r="H112" s="14"/>
      <c r="I112" s="12"/>
      <c r="J112" s="14"/>
      <c r="K112" s="20" t="str">
        <f aca="false">IF(OR(J112="",N(G112)=0),"",J112/G112)</f>
        <v/>
      </c>
      <c r="L112" s="12"/>
      <c r="M112" s="12"/>
      <c r="N112" s="12"/>
    </row>
    <row r="113" customFormat="false" ht="15" hidden="false" customHeight="false" outlineLevel="0" collapsed="false">
      <c r="A113" s="16"/>
      <c r="B113" s="12"/>
      <c r="C113" s="18" t="str">
        <f aca="false">IF(B113="","",IFERROR(INDEX(Inventario!$B$7:$B$46,MATCH(B113,Inventario!$A$7:$A$46,0)),"Clave no existe"))</f>
        <v/>
      </c>
      <c r="D113" s="18" t="str">
        <f aca="false">IF(B113="","",IFERROR(INDEX(Inventario!$C$7:$C$46,MATCH(B113,Inventario!$A$7:$A$46,0)),""))</f>
        <v/>
      </c>
      <c r="E113" s="19"/>
      <c r="F113" s="19"/>
      <c r="G113" s="20" t="str">
        <f aca="false">IF(OR(E113="",F113=""),IF(B113="","",IF(A113="","",8)),F113-E113)</f>
        <v/>
      </c>
      <c r="H113" s="14"/>
      <c r="I113" s="12"/>
      <c r="J113" s="14"/>
      <c r="K113" s="20" t="str">
        <f aca="false">IF(OR(J113="",N(G113)=0),"",J113/G113)</f>
        <v/>
      </c>
      <c r="L113" s="12"/>
      <c r="M113" s="12"/>
      <c r="N113" s="12"/>
    </row>
    <row r="114" customFormat="false" ht="15" hidden="false" customHeight="false" outlineLevel="0" collapsed="false">
      <c r="A114" s="16"/>
      <c r="B114" s="12"/>
      <c r="C114" s="18" t="str">
        <f aca="false">IF(B114="","",IFERROR(INDEX(Inventario!$B$7:$B$46,MATCH(B114,Inventario!$A$7:$A$46,0)),"Clave no existe"))</f>
        <v/>
      </c>
      <c r="D114" s="18" t="str">
        <f aca="false">IF(B114="","",IFERROR(INDEX(Inventario!$C$7:$C$46,MATCH(B114,Inventario!$A$7:$A$46,0)),""))</f>
        <v/>
      </c>
      <c r="E114" s="19"/>
      <c r="F114" s="19"/>
      <c r="G114" s="20" t="str">
        <f aca="false">IF(OR(E114="",F114=""),IF(B114="","",IF(A114="","",8)),F114-E114)</f>
        <v/>
      </c>
      <c r="H114" s="14"/>
      <c r="I114" s="12"/>
      <c r="J114" s="14"/>
      <c r="K114" s="20" t="str">
        <f aca="false">IF(OR(J114="",N(G114)=0),"",J114/G114)</f>
        <v/>
      </c>
      <c r="L114" s="12"/>
      <c r="M114" s="12"/>
      <c r="N114" s="12"/>
    </row>
    <row r="115" customFormat="false" ht="15" hidden="false" customHeight="false" outlineLevel="0" collapsed="false">
      <c r="A115" s="16"/>
      <c r="B115" s="12"/>
      <c r="C115" s="18" t="str">
        <f aca="false">IF(B115="","",IFERROR(INDEX(Inventario!$B$7:$B$46,MATCH(B115,Inventario!$A$7:$A$46,0)),"Clave no existe"))</f>
        <v/>
      </c>
      <c r="D115" s="18" t="str">
        <f aca="false">IF(B115="","",IFERROR(INDEX(Inventario!$C$7:$C$46,MATCH(B115,Inventario!$A$7:$A$46,0)),""))</f>
        <v/>
      </c>
      <c r="E115" s="19"/>
      <c r="F115" s="19"/>
      <c r="G115" s="20" t="str">
        <f aca="false">IF(OR(E115="",F115=""),IF(B115="","",IF(A115="","",8)),F115-E115)</f>
        <v/>
      </c>
      <c r="H115" s="14"/>
      <c r="I115" s="12"/>
      <c r="J115" s="14"/>
      <c r="K115" s="20" t="str">
        <f aca="false">IF(OR(J115="",N(G115)=0),"",J115/G115)</f>
        <v/>
      </c>
      <c r="L115" s="12"/>
      <c r="M115" s="12"/>
      <c r="N115" s="12"/>
    </row>
    <row r="116" customFormat="false" ht="15" hidden="false" customHeight="false" outlineLevel="0" collapsed="false">
      <c r="A116" s="16"/>
      <c r="B116" s="12"/>
      <c r="C116" s="18" t="str">
        <f aca="false">IF(B116="","",IFERROR(INDEX(Inventario!$B$7:$B$46,MATCH(B116,Inventario!$A$7:$A$46,0)),"Clave no existe"))</f>
        <v/>
      </c>
      <c r="D116" s="18" t="str">
        <f aca="false">IF(B116="","",IFERROR(INDEX(Inventario!$C$7:$C$46,MATCH(B116,Inventario!$A$7:$A$46,0)),""))</f>
        <v/>
      </c>
      <c r="E116" s="19"/>
      <c r="F116" s="19"/>
      <c r="G116" s="20" t="str">
        <f aca="false">IF(OR(E116="",F116=""),IF(B116="","",IF(A116="","",8)),F116-E116)</f>
        <v/>
      </c>
      <c r="H116" s="14"/>
      <c r="I116" s="12"/>
      <c r="J116" s="14"/>
      <c r="K116" s="20" t="str">
        <f aca="false">IF(OR(J116="",N(G116)=0),"",J116/G116)</f>
        <v/>
      </c>
      <c r="L116" s="12"/>
      <c r="M116" s="12"/>
      <c r="N116" s="12"/>
    </row>
    <row r="117" customFormat="false" ht="15" hidden="false" customHeight="false" outlineLevel="0" collapsed="false">
      <c r="A117" s="16"/>
      <c r="B117" s="12"/>
      <c r="C117" s="18" t="str">
        <f aca="false">IF(B117="","",IFERROR(INDEX(Inventario!$B$7:$B$46,MATCH(B117,Inventario!$A$7:$A$46,0)),"Clave no existe"))</f>
        <v/>
      </c>
      <c r="D117" s="18" t="str">
        <f aca="false">IF(B117="","",IFERROR(INDEX(Inventario!$C$7:$C$46,MATCH(B117,Inventario!$A$7:$A$46,0)),""))</f>
        <v/>
      </c>
      <c r="E117" s="19"/>
      <c r="F117" s="19"/>
      <c r="G117" s="20" t="str">
        <f aca="false">IF(OR(E117="",F117=""),IF(B117="","",IF(A117="","",8)),F117-E117)</f>
        <v/>
      </c>
      <c r="H117" s="14"/>
      <c r="I117" s="12"/>
      <c r="J117" s="14"/>
      <c r="K117" s="20" t="str">
        <f aca="false">IF(OR(J117="",N(G117)=0),"",J117/G117)</f>
        <v/>
      </c>
      <c r="L117" s="12"/>
      <c r="M117" s="12"/>
      <c r="N117" s="12"/>
    </row>
    <row r="118" customFormat="false" ht="15" hidden="false" customHeight="false" outlineLevel="0" collapsed="false">
      <c r="A118" s="16"/>
      <c r="B118" s="12"/>
      <c r="C118" s="18" t="str">
        <f aca="false">IF(B118="","",IFERROR(INDEX(Inventario!$B$7:$B$46,MATCH(B118,Inventario!$A$7:$A$46,0)),"Clave no existe"))</f>
        <v/>
      </c>
      <c r="D118" s="18" t="str">
        <f aca="false">IF(B118="","",IFERROR(INDEX(Inventario!$C$7:$C$46,MATCH(B118,Inventario!$A$7:$A$46,0)),""))</f>
        <v/>
      </c>
      <c r="E118" s="19"/>
      <c r="F118" s="19"/>
      <c r="G118" s="20" t="str">
        <f aca="false">IF(OR(E118="",F118=""),IF(B118="","",IF(A118="","",8)),F118-E118)</f>
        <v/>
      </c>
      <c r="H118" s="14"/>
      <c r="I118" s="12"/>
      <c r="J118" s="14"/>
      <c r="K118" s="20" t="str">
        <f aca="false">IF(OR(J118="",N(G118)=0),"",J118/G118)</f>
        <v/>
      </c>
      <c r="L118" s="12"/>
      <c r="M118" s="12"/>
      <c r="N118" s="12"/>
    </row>
    <row r="119" customFormat="false" ht="15" hidden="false" customHeight="false" outlineLevel="0" collapsed="false">
      <c r="A119" s="16"/>
      <c r="B119" s="12"/>
      <c r="C119" s="18" t="str">
        <f aca="false">IF(B119="","",IFERROR(INDEX(Inventario!$B$7:$B$46,MATCH(B119,Inventario!$A$7:$A$46,0)),"Clave no existe"))</f>
        <v/>
      </c>
      <c r="D119" s="18" t="str">
        <f aca="false">IF(B119="","",IFERROR(INDEX(Inventario!$C$7:$C$46,MATCH(B119,Inventario!$A$7:$A$46,0)),""))</f>
        <v/>
      </c>
      <c r="E119" s="19"/>
      <c r="F119" s="19"/>
      <c r="G119" s="20" t="str">
        <f aca="false">IF(OR(E119="",F119=""),IF(B119="","",IF(A119="","",8)),F119-E119)</f>
        <v/>
      </c>
      <c r="H119" s="14"/>
      <c r="I119" s="12"/>
      <c r="J119" s="14"/>
      <c r="K119" s="20" t="str">
        <f aca="false">IF(OR(J119="",N(G119)=0),"",J119/G119)</f>
        <v/>
      </c>
      <c r="L119" s="12"/>
      <c r="M119" s="12"/>
      <c r="N119" s="12"/>
    </row>
    <row r="120" customFormat="false" ht="15" hidden="false" customHeight="false" outlineLevel="0" collapsed="false">
      <c r="A120" s="16"/>
      <c r="B120" s="12"/>
      <c r="C120" s="18" t="str">
        <f aca="false">IF(B120="","",IFERROR(INDEX(Inventario!$B$7:$B$46,MATCH(B120,Inventario!$A$7:$A$46,0)),"Clave no existe"))</f>
        <v/>
      </c>
      <c r="D120" s="18" t="str">
        <f aca="false">IF(B120="","",IFERROR(INDEX(Inventario!$C$7:$C$46,MATCH(B120,Inventario!$A$7:$A$46,0)),""))</f>
        <v/>
      </c>
      <c r="E120" s="19"/>
      <c r="F120" s="19"/>
      <c r="G120" s="20" t="str">
        <f aca="false">IF(OR(E120="",F120=""),IF(B120="","",IF(A120="","",8)),F120-E120)</f>
        <v/>
      </c>
      <c r="H120" s="14"/>
      <c r="I120" s="12"/>
      <c r="J120" s="14"/>
      <c r="K120" s="20" t="str">
        <f aca="false">IF(OR(J120="",N(G120)=0),"",J120/G120)</f>
        <v/>
      </c>
      <c r="L120" s="12"/>
      <c r="M120" s="12"/>
      <c r="N120" s="12"/>
    </row>
    <row r="121" customFormat="false" ht="15" hidden="false" customHeight="false" outlineLevel="0" collapsed="false">
      <c r="A121" s="16"/>
      <c r="B121" s="12"/>
      <c r="C121" s="18" t="str">
        <f aca="false">IF(B121="","",IFERROR(INDEX(Inventario!$B$7:$B$46,MATCH(B121,Inventario!$A$7:$A$46,0)),"Clave no existe"))</f>
        <v/>
      </c>
      <c r="D121" s="18" t="str">
        <f aca="false">IF(B121="","",IFERROR(INDEX(Inventario!$C$7:$C$46,MATCH(B121,Inventario!$A$7:$A$46,0)),""))</f>
        <v/>
      </c>
      <c r="E121" s="19"/>
      <c r="F121" s="19"/>
      <c r="G121" s="20" t="str">
        <f aca="false">IF(OR(E121="",F121=""),IF(B121="","",IF(A121="","",8)),F121-E121)</f>
        <v/>
      </c>
      <c r="H121" s="14"/>
      <c r="I121" s="12"/>
      <c r="J121" s="14"/>
      <c r="K121" s="20" t="str">
        <f aca="false">IF(OR(J121="",N(G121)=0),"",J121/G121)</f>
        <v/>
      </c>
      <c r="L121" s="12"/>
      <c r="M121" s="12"/>
      <c r="N121" s="12"/>
    </row>
    <row r="122" customFormat="false" ht="15" hidden="false" customHeight="false" outlineLevel="0" collapsed="false">
      <c r="A122" s="16"/>
      <c r="B122" s="12"/>
      <c r="C122" s="18" t="str">
        <f aca="false">IF(B122="","",IFERROR(INDEX(Inventario!$B$7:$B$46,MATCH(B122,Inventario!$A$7:$A$46,0)),"Clave no existe"))</f>
        <v/>
      </c>
      <c r="D122" s="18" t="str">
        <f aca="false">IF(B122="","",IFERROR(INDEX(Inventario!$C$7:$C$46,MATCH(B122,Inventario!$A$7:$A$46,0)),""))</f>
        <v/>
      </c>
      <c r="E122" s="19"/>
      <c r="F122" s="19"/>
      <c r="G122" s="20" t="str">
        <f aca="false">IF(OR(E122="",F122=""),IF(B122="","",IF(A122="","",8)),F122-E122)</f>
        <v/>
      </c>
      <c r="H122" s="14"/>
      <c r="I122" s="12"/>
      <c r="J122" s="14"/>
      <c r="K122" s="20" t="str">
        <f aca="false">IF(OR(J122="",N(G122)=0),"",J122/G122)</f>
        <v/>
      </c>
      <c r="L122" s="12"/>
      <c r="M122" s="12"/>
      <c r="N122" s="12"/>
    </row>
    <row r="123" customFormat="false" ht="15" hidden="false" customHeight="false" outlineLevel="0" collapsed="false">
      <c r="A123" s="16"/>
      <c r="B123" s="12"/>
      <c r="C123" s="18" t="str">
        <f aca="false">IF(B123="","",IFERROR(INDEX(Inventario!$B$7:$B$46,MATCH(B123,Inventario!$A$7:$A$46,0)),"Clave no existe"))</f>
        <v/>
      </c>
      <c r="D123" s="18" t="str">
        <f aca="false">IF(B123="","",IFERROR(INDEX(Inventario!$C$7:$C$46,MATCH(B123,Inventario!$A$7:$A$46,0)),""))</f>
        <v/>
      </c>
      <c r="E123" s="19"/>
      <c r="F123" s="19"/>
      <c r="G123" s="20" t="str">
        <f aca="false">IF(OR(E123="",F123=""),IF(B123="","",IF(A123="","",8)),F123-E123)</f>
        <v/>
      </c>
      <c r="H123" s="14"/>
      <c r="I123" s="12"/>
      <c r="J123" s="14"/>
      <c r="K123" s="20" t="str">
        <f aca="false">IF(OR(J123="",N(G123)=0),"",J123/G123)</f>
        <v/>
      </c>
      <c r="L123" s="12"/>
      <c r="M123" s="12"/>
      <c r="N123" s="12"/>
    </row>
    <row r="124" customFormat="false" ht="15" hidden="false" customHeight="false" outlineLevel="0" collapsed="false">
      <c r="A124" s="16"/>
      <c r="B124" s="12"/>
      <c r="C124" s="18" t="str">
        <f aca="false">IF(B124="","",IFERROR(INDEX(Inventario!$B$7:$B$46,MATCH(B124,Inventario!$A$7:$A$46,0)),"Clave no existe"))</f>
        <v/>
      </c>
      <c r="D124" s="18" t="str">
        <f aca="false">IF(B124="","",IFERROR(INDEX(Inventario!$C$7:$C$46,MATCH(B124,Inventario!$A$7:$A$46,0)),""))</f>
        <v/>
      </c>
      <c r="E124" s="19"/>
      <c r="F124" s="19"/>
      <c r="G124" s="20" t="str">
        <f aca="false">IF(OR(E124="",F124=""),IF(B124="","",IF(A124="","",8)),F124-E124)</f>
        <v/>
      </c>
      <c r="H124" s="14"/>
      <c r="I124" s="12"/>
      <c r="J124" s="14"/>
      <c r="K124" s="20" t="str">
        <f aca="false">IF(OR(J124="",N(G124)=0),"",J124/G124)</f>
        <v/>
      </c>
      <c r="L124" s="12"/>
      <c r="M124" s="12"/>
      <c r="N124" s="12"/>
    </row>
    <row r="125" customFormat="false" ht="15" hidden="false" customHeight="false" outlineLevel="0" collapsed="false">
      <c r="A125" s="16"/>
      <c r="B125" s="12"/>
      <c r="C125" s="18" t="str">
        <f aca="false">IF(B125="","",IFERROR(INDEX(Inventario!$B$7:$B$46,MATCH(B125,Inventario!$A$7:$A$46,0)),"Clave no existe"))</f>
        <v/>
      </c>
      <c r="D125" s="18" t="str">
        <f aca="false">IF(B125="","",IFERROR(INDEX(Inventario!$C$7:$C$46,MATCH(B125,Inventario!$A$7:$A$46,0)),""))</f>
        <v/>
      </c>
      <c r="E125" s="19"/>
      <c r="F125" s="19"/>
      <c r="G125" s="20" t="str">
        <f aca="false">IF(OR(E125="",F125=""),IF(B125="","",IF(A125="","",8)),F125-E125)</f>
        <v/>
      </c>
      <c r="H125" s="14"/>
      <c r="I125" s="12"/>
      <c r="J125" s="14"/>
      <c r="K125" s="20" t="str">
        <f aca="false">IF(OR(J125="",N(G125)=0),"",J125/G125)</f>
        <v/>
      </c>
      <c r="L125" s="12"/>
      <c r="M125" s="12"/>
      <c r="N125" s="12"/>
    </row>
    <row r="126" customFormat="false" ht="15" hidden="false" customHeight="false" outlineLevel="0" collapsed="false">
      <c r="A126" s="16"/>
      <c r="B126" s="12"/>
      <c r="C126" s="18" t="str">
        <f aca="false">IF(B126="","",IFERROR(INDEX(Inventario!$B$7:$B$46,MATCH(B126,Inventario!$A$7:$A$46,0)),"Clave no existe"))</f>
        <v/>
      </c>
      <c r="D126" s="18" t="str">
        <f aca="false">IF(B126="","",IFERROR(INDEX(Inventario!$C$7:$C$46,MATCH(B126,Inventario!$A$7:$A$46,0)),""))</f>
        <v/>
      </c>
      <c r="E126" s="19"/>
      <c r="F126" s="19"/>
      <c r="G126" s="20" t="str">
        <f aca="false">IF(OR(E126="",F126=""),IF(B126="","",IF(A126="","",8)),F126-E126)</f>
        <v/>
      </c>
      <c r="H126" s="14"/>
      <c r="I126" s="12"/>
      <c r="J126" s="14"/>
      <c r="K126" s="20" t="str">
        <f aca="false">IF(OR(J126="",N(G126)=0),"",J126/G126)</f>
        <v/>
      </c>
      <c r="L126" s="12"/>
      <c r="M126" s="12"/>
      <c r="N126" s="12"/>
    </row>
    <row r="127" customFormat="false" ht="15" hidden="false" customHeight="false" outlineLevel="0" collapsed="false">
      <c r="A127" s="16"/>
      <c r="B127" s="12"/>
      <c r="C127" s="18" t="str">
        <f aca="false">IF(B127="","",IFERROR(INDEX(Inventario!$B$7:$B$46,MATCH(B127,Inventario!$A$7:$A$46,0)),"Clave no existe"))</f>
        <v/>
      </c>
      <c r="D127" s="18" t="str">
        <f aca="false">IF(B127="","",IFERROR(INDEX(Inventario!$C$7:$C$46,MATCH(B127,Inventario!$A$7:$A$46,0)),""))</f>
        <v/>
      </c>
      <c r="E127" s="19"/>
      <c r="F127" s="19"/>
      <c r="G127" s="20" t="str">
        <f aca="false">IF(OR(E127="",F127=""),IF(B127="","",IF(A127="","",8)),F127-E127)</f>
        <v/>
      </c>
      <c r="H127" s="14"/>
      <c r="I127" s="12"/>
      <c r="J127" s="14"/>
      <c r="K127" s="20" t="str">
        <f aca="false">IF(OR(J127="",N(G127)=0),"",J127/G127)</f>
        <v/>
      </c>
      <c r="L127" s="12"/>
      <c r="M127" s="12"/>
      <c r="N127" s="12"/>
    </row>
    <row r="128" customFormat="false" ht="15" hidden="false" customHeight="false" outlineLevel="0" collapsed="false">
      <c r="A128" s="16"/>
      <c r="B128" s="12"/>
      <c r="C128" s="18" t="str">
        <f aca="false">IF(B128="","",IFERROR(INDEX(Inventario!$B$7:$B$46,MATCH(B128,Inventario!$A$7:$A$46,0)),"Clave no existe"))</f>
        <v/>
      </c>
      <c r="D128" s="18" t="str">
        <f aca="false">IF(B128="","",IFERROR(INDEX(Inventario!$C$7:$C$46,MATCH(B128,Inventario!$A$7:$A$46,0)),""))</f>
        <v/>
      </c>
      <c r="E128" s="19"/>
      <c r="F128" s="19"/>
      <c r="G128" s="20" t="str">
        <f aca="false">IF(OR(E128="",F128=""),IF(B128="","",IF(A128="","",8)),F128-E128)</f>
        <v/>
      </c>
      <c r="H128" s="14"/>
      <c r="I128" s="12"/>
      <c r="J128" s="14"/>
      <c r="K128" s="20" t="str">
        <f aca="false">IF(OR(J128="",N(G128)=0),"",J128/G128)</f>
        <v/>
      </c>
      <c r="L128" s="12"/>
      <c r="M128" s="12"/>
      <c r="N128" s="12"/>
    </row>
    <row r="129" customFormat="false" ht="15" hidden="false" customHeight="false" outlineLevel="0" collapsed="false">
      <c r="A129" s="16"/>
      <c r="B129" s="12"/>
      <c r="C129" s="18" t="str">
        <f aca="false">IF(B129="","",IFERROR(INDEX(Inventario!$B$7:$B$46,MATCH(B129,Inventario!$A$7:$A$46,0)),"Clave no existe"))</f>
        <v/>
      </c>
      <c r="D129" s="18" t="str">
        <f aca="false">IF(B129="","",IFERROR(INDEX(Inventario!$C$7:$C$46,MATCH(B129,Inventario!$A$7:$A$46,0)),""))</f>
        <v/>
      </c>
      <c r="E129" s="19"/>
      <c r="F129" s="19"/>
      <c r="G129" s="20" t="str">
        <f aca="false">IF(OR(E129="",F129=""),IF(B129="","",IF(A129="","",8)),F129-E129)</f>
        <v/>
      </c>
      <c r="H129" s="14"/>
      <c r="I129" s="12"/>
      <c r="J129" s="14"/>
      <c r="K129" s="20" t="str">
        <f aca="false">IF(OR(J129="",N(G129)=0),"",J129/G129)</f>
        <v/>
      </c>
      <c r="L129" s="12"/>
      <c r="M129" s="12"/>
      <c r="N129" s="12"/>
    </row>
    <row r="130" customFormat="false" ht="15" hidden="false" customHeight="false" outlineLevel="0" collapsed="false">
      <c r="A130" s="16"/>
      <c r="B130" s="12"/>
      <c r="C130" s="18" t="str">
        <f aca="false">IF(B130="","",IFERROR(INDEX(Inventario!$B$7:$B$46,MATCH(B130,Inventario!$A$7:$A$46,0)),"Clave no existe"))</f>
        <v/>
      </c>
      <c r="D130" s="18" t="str">
        <f aca="false">IF(B130="","",IFERROR(INDEX(Inventario!$C$7:$C$46,MATCH(B130,Inventario!$A$7:$A$46,0)),""))</f>
        <v/>
      </c>
      <c r="E130" s="19"/>
      <c r="F130" s="19"/>
      <c r="G130" s="20" t="str">
        <f aca="false">IF(OR(E130="",F130=""),IF(B130="","",IF(A130="","",8)),F130-E130)</f>
        <v/>
      </c>
      <c r="H130" s="14"/>
      <c r="I130" s="12"/>
      <c r="J130" s="14"/>
      <c r="K130" s="20" t="str">
        <f aca="false">IF(OR(J130="",N(G130)=0),"",J130/G130)</f>
        <v/>
      </c>
      <c r="L130" s="12"/>
      <c r="M130" s="12"/>
      <c r="N130" s="12"/>
    </row>
    <row r="131" customFormat="false" ht="15" hidden="false" customHeight="false" outlineLevel="0" collapsed="false">
      <c r="A131" s="16"/>
      <c r="B131" s="12"/>
      <c r="C131" s="18" t="str">
        <f aca="false">IF(B131="","",IFERROR(INDEX(Inventario!$B$7:$B$46,MATCH(B131,Inventario!$A$7:$A$46,0)),"Clave no existe"))</f>
        <v/>
      </c>
      <c r="D131" s="18" t="str">
        <f aca="false">IF(B131="","",IFERROR(INDEX(Inventario!$C$7:$C$46,MATCH(B131,Inventario!$A$7:$A$46,0)),""))</f>
        <v/>
      </c>
      <c r="E131" s="19"/>
      <c r="F131" s="19"/>
      <c r="G131" s="20" t="str">
        <f aca="false">IF(OR(E131="",F131=""),IF(B131="","",IF(A131="","",8)),F131-E131)</f>
        <v/>
      </c>
      <c r="H131" s="14"/>
      <c r="I131" s="12"/>
      <c r="J131" s="14"/>
      <c r="K131" s="20" t="str">
        <f aca="false">IF(OR(J131="",N(G131)=0),"",J131/G131)</f>
        <v/>
      </c>
      <c r="L131" s="12"/>
      <c r="M131" s="12"/>
      <c r="N131" s="12"/>
    </row>
    <row r="132" customFormat="false" ht="15" hidden="false" customHeight="false" outlineLevel="0" collapsed="false">
      <c r="A132" s="16"/>
      <c r="B132" s="12"/>
      <c r="C132" s="18" t="str">
        <f aca="false">IF(B132="","",IFERROR(INDEX(Inventario!$B$7:$B$46,MATCH(B132,Inventario!$A$7:$A$46,0)),"Clave no existe"))</f>
        <v/>
      </c>
      <c r="D132" s="18" t="str">
        <f aca="false">IF(B132="","",IFERROR(INDEX(Inventario!$C$7:$C$46,MATCH(B132,Inventario!$A$7:$A$46,0)),""))</f>
        <v/>
      </c>
      <c r="E132" s="19"/>
      <c r="F132" s="19"/>
      <c r="G132" s="20" t="str">
        <f aca="false">IF(OR(E132="",F132=""),IF(B132="","",IF(A132="","",8)),F132-E132)</f>
        <v/>
      </c>
      <c r="H132" s="14"/>
      <c r="I132" s="12"/>
      <c r="J132" s="14"/>
      <c r="K132" s="20" t="str">
        <f aca="false">IF(OR(J132="",N(G132)=0),"",J132/G132)</f>
        <v/>
      </c>
      <c r="L132" s="12"/>
      <c r="M132" s="12"/>
      <c r="N132" s="12"/>
    </row>
    <row r="133" customFormat="false" ht="15" hidden="false" customHeight="false" outlineLevel="0" collapsed="false">
      <c r="A133" s="16"/>
      <c r="B133" s="12"/>
      <c r="C133" s="18" t="str">
        <f aca="false">IF(B133="","",IFERROR(INDEX(Inventario!$B$7:$B$46,MATCH(B133,Inventario!$A$7:$A$46,0)),"Clave no existe"))</f>
        <v/>
      </c>
      <c r="D133" s="18" t="str">
        <f aca="false">IF(B133="","",IFERROR(INDEX(Inventario!$C$7:$C$46,MATCH(B133,Inventario!$A$7:$A$46,0)),""))</f>
        <v/>
      </c>
      <c r="E133" s="19"/>
      <c r="F133" s="19"/>
      <c r="G133" s="20" t="str">
        <f aca="false">IF(OR(E133="",F133=""),IF(B133="","",IF(A133="","",8)),F133-E133)</f>
        <v/>
      </c>
      <c r="H133" s="14"/>
      <c r="I133" s="12"/>
      <c r="J133" s="14"/>
      <c r="K133" s="20" t="str">
        <f aca="false">IF(OR(J133="",N(G133)=0),"",J133/G133)</f>
        <v/>
      </c>
      <c r="L133" s="12"/>
      <c r="M133" s="12"/>
      <c r="N133" s="12"/>
    </row>
    <row r="134" customFormat="false" ht="15" hidden="false" customHeight="false" outlineLevel="0" collapsed="false">
      <c r="A134" s="16"/>
      <c r="B134" s="12"/>
      <c r="C134" s="18" t="str">
        <f aca="false">IF(B134="","",IFERROR(INDEX(Inventario!$B$7:$B$46,MATCH(B134,Inventario!$A$7:$A$46,0)),"Clave no existe"))</f>
        <v/>
      </c>
      <c r="D134" s="18" t="str">
        <f aca="false">IF(B134="","",IFERROR(INDEX(Inventario!$C$7:$C$46,MATCH(B134,Inventario!$A$7:$A$46,0)),""))</f>
        <v/>
      </c>
      <c r="E134" s="19"/>
      <c r="F134" s="19"/>
      <c r="G134" s="20" t="str">
        <f aca="false">IF(OR(E134="",F134=""),IF(B134="","",IF(A134="","",8)),F134-E134)</f>
        <v/>
      </c>
      <c r="H134" s="14"/>
      <c r="I134" s="12"/>
      <c r="J134" s="14"/>
      <c r="K134" s="20" t="str">
        <f aca="false">IF(OR(J134="",N(G134)=0),"",J134/G134)</f>
        <v/>
      </c>
      <c r="L134" s="12"/>
      <c r="M134" s="12"/>
      <c r="N134" s="12"/>
    </row>
    <row r="135" customFormat="false" ht="15" hidden="false" customHeight="false" outlineLevel="0" collapsed="false">
      <c r="A135" s="16"/>
      <c r="B135" s="12"/>
      <c r="C135" s="18" t="str">
        <f aca="false">IF(B135="","",IFERROR(INDEX(Inventario!$B$7:$B$46,MATCH(B135,Inventario!$A$7:$A$46,0)),"Clave no existe"))</f>
        <v/>
      </c>
      <c r="D135" s="18" t="str">
        <f aca="false">IF(B135="","",IFERROR(INDEX(Inventario!$C$7:$C$46,MATCH(B135,Inventario!$A$7:$A$46,0)),""))</f>
        <v/>
      </c>
      <c r="E135" s="19"/>
      <c r="F135" s="19"/>
      <c r="G135" s="20" t="str">
        <f aca="false">IF(OR(E135="",F135=""),IF(B135="","",IF(A135="","",8)),F135-E135)</f>
        <v/>
      </c>
      <c r="H135" s="14"/>
      <c r="I135" s="12"/>
      <c r="J135" s="14"/>
      <c r="K135" s="20" t="str">
        <f aca="false">IF(OR(J135="",N(G135)=0),"",J135/G135)</f>
        <v/>
      </c>
      <c r="L135" s="12"/>
      <c r="M135" s="12"/>
      <c r="N135" s="12"/>
    </row>
    <row r="136" customFormat="false" ht="15" hidden="false" customHeight="false" outlineLevel="0" collapsed="false">
      <c r="A136" s="16"/>
      <c r="B136" s="12"/>
      <c r="C136" s="18" t="str">
        <f aca="false">IF(B136="","",IFERROR(INDEX(Inventario!$B$7:$B$46,MATCH(B136,Inventario!$A$7:$A$46,0)),"Clave no existe"))</f>
        <v/>
      </c>
      <c r="D136" s="18" t="str">
        <f aca="false">IF(B136="","",IFERROR(INDEX(Inventario!$C$7:$C$46,MATCH(B136,Inventario!$A$7:$A$46,0)),""))</f>
        <v/>
      </c>
      <c r="E136" s="19"/>
      <c r="F136" s="19"/>
      <c r="G136" s="20" t="str">
        <f aca="false">IF(OR(E136="",F136=""),IF(B136="","",IF(A136="","",8)),F136-E136)</f>
        <v/>
      </c>
      <c r="H136" s="14"/>
      <c r="I136" s="12"/>
      <c r="J136" s="14"/>
      <c r="K136" s="20" t="str">
        <f aca="false">IF(OR(J136="",N(G136)=0),"",J136/G136)</f>
        <v/>
      </c>
      <c r="L136" s="12"/>
      <c r="M136" s="12"/>
      <c r="N136" s="12"/>
    </row>
    <row r="137" customFormat="false" ht="15" hidden="false" customHeight="false" outlineLevel="0" collapsed="false">
      <c r="A137" s="16"/>
      <c r="B137" s="12"/>
      <c r="C137" s="18" t="str">
        <f aca="false">IF(B137="","",IFERROR(INDEX(Inventario!$B$7:$B$46,MATCH(B137,Inventario!$A$7:$A$46,0)),"Clave no existe"))</f>
        <v/>
      </c>
      <c r="D137" s="18" t="str">
        <f aca="false">IF(B137="","",IFERROR(INDEX(Inventario!$C$7:$C$46,MATCH(B137,Inventario!$A$7:$A$46,0)),""))</f>
        <v/>
      </c>
      <c r="E137" s="19"/>
      <c r="F137" s="19"/>
      <c r="G137" s="20" t="str">
        <f aca="false">IF(OR(E137="",F137=""),IF(B137="","",IF(A137="","",8)),F137-E137)</f>
        <v/>
      </c>
      <c r="H137" s="14"/>
      <c r="I137" s="12"/>
      <c r="J137" s="14"/>
      <c r="K137" s="20" t="str">
        <f aca="false">IF(OR(J137="",N(G137)=0),"",J137/G137)</f>
        <v/>
      </c>
      <c r="L137" s="12"/>
      <c r="M137" s="12"/>
      <c r="N137" s="12"/>
    </row>
    <row r="138" customFormat="false" ht="15" hidden="false" customHeight="false" outlineLevel="0" collapsed="false">
      <c r="A138" s="16"/>
      <c r="B138" s="12"/>
      <c r="C138" s="18" t="str">
        <f aca="false">IF(B138="","",IFERROR(INDEX(Inventario!$B$7:$B$46,MATCH(B138,Inventario!$A$7:$A$46,0)),"Clave no existe"))</f>
        <v/>
      </c>
      <c r="D138" s="18" t="str">
        <f aca="false">IF(B138="","",IFERROR(INDEX(Inventario!$C$7:$C$46,MATCH(B138,Inventario!$A$7:$A$46,0)),""))</f>
        <v/>
      </c>
      <c r="E138" s="19"/>
      <c r="F138" s="19"/>
      <c r="G138" s="20" t="str">
        <f aca="false">IF(OR(E138="",F138=""),IF(B138="","",IF(A138="","",8)),F138-E138)</f>
        <v/>
      </c>
      <c r="H138" s="14"/>
      <c r="I138" s="12"/>
      <c r="J138" s="14"/>
      <c r="K138" s="20" t="str">
        <f aca="false">IF(OR(J138="",N(G138)=0),"",J138/G138)</f>
        <v/>
      </c>
      <c r="L138" s="12"/>
      <c r="M138" s="12"/>
      <c r="N138" s="12"/>
    </row>
    <row r="139" customFormat="false" ht="15" hidden="false" customHeight="false" outlineLevel="0" collapsed="false">
      <c r="A139" s="16"/>
      <c r="B139" s="12"/>
      <c r="C139" s="18" t="str">
        <f aca="false">IF(B139="","",IFERROR(INDEX(Inventario!$B$7:$B$46,MATCH(B139,Inventario!$A$7:$A$46,0)),"Clave no existe"))</f>
        <v/>
      </c>
      <c r="D139" s="18" t="str">
        <f aca="false">IF(B139="","",IFERROR(INDEX(Inventario!$C$7:$C$46,MATCH(B139,Inventario!$A$7:$A$46,0)),""))</f>
        <v/>
      </c>
      <c r="E139" s="19"/>
      <c r="F139" s="19"/>
      <c r="G139" s="20" t="str">
        <f aca="false">IF(OR(E139="",F139=""),IF(B139="","",IF(A139="","",8)),F139-E139)</f>
        <v/>
      </c>
      <c r="H139" s="14"/>
      <c r="I139" s="12"/>
      <c r="J139" s="14"/>
      <c r="K139" s="20" t="str">
        <f aca="false">IF(OR(J139="",N(G139)=0),"",J139/G139)</f>
        <v/>
      </c>
      <c r="L139" s="12"/>
      <c r="M139" s="12"/>
      <c r="N139" s="12"/>
    </row>
    <row r="140" customFormat="false" ht="15" hidden="false" customHeight="false" outlineLevel="0" collapsed="false">
      <c r="A140" s="16"/>
      <c r="B140" s="12"/>
      <c r="C140" s="18" t="str">
        <f aca="false">IF(B140="","",IFERROR(INDEX(Inventario!$B$7:$B$46,MATCH(B140,Inventario!$A$7:$A$46,0)),"Clave no existe"))</f>
        <v/>
      </c>
      <c r="D140" s="18" t="str">
        <f aca="false">IF(B140="","",IFERROR(INDEX(Inventario!$C$7:$C$46,MATCH(B140,Inventario!$A$7:$A$46,0)),""))</f>
        <v/>
      </c>
      <c r="E140" s="19"/>
      <c r="F140" s="19"/>
      <c r="G140" s="20" t="str">
        <f aca="false">IF(OR(E140="",F140=""),IF(B140="","",IF(A140="","",8)),F140-E140)</f>
        <v/>
      </c>
      <c r="H140" s="14"/>
      <c r="I140" s="12"/>
      <c r="J140" s="14"/>
      <c r="K140" s="20" t="str">
        <f aca="false">IF(OR(J140="",N(G140)=0),"",J140/G140)</f>
        <v/>
      </c>
      <c r="L140" s="12"/>
      <c r="M140" s="12"/>
      <c r="N140" s="12"/>
    </row>
    <row r="141" customFormat="false" ht="15" hidden="false" customHeight="false" outlineLevel="0" collapsed="false">
      <c r="A141" s="16"/>
      <c r="B141" s="12"/>
      <c r="C141" s="18" t="str">
        <f aca="false">IF(B141="","",IFERROR(INDEX(Inventario!$B$7:$B$46,MATCH(B141,Inventario!$A$7:$A$46,0)),"Clave no existe"))</f>
        <v/>
      </c>
      <c r="D141" s="18" t="str">
        <f aca="false">IF(B141="","",IFERROR(INDEX(Inventario!$C$7:$C$46,MATCH(B141,Inventario!$A$7:$A$46,0)),""))</f>
        <v/>
      </c>
      <c r="E141" s="19"/>
      <c r="F141" s="19"/>
      <c r="G141" s="20" t="str">
        <f aca="false">IF(OR(E141="",F141=""),IF(B141="","",IF(A141="","",8)),F141-E141)</f>
        <v/>
      </c>
      <c r="H141" s="14"/>
      <c r="I141" s="12"/>
      <c r="J141" s="14"/>
      <c r="K141" s="20" t="str">
        <f aca="false">IF(OR(J141="",N(G141)=0),"",J141/G141)</f>
        <v/>
      </c>
      <c r="L141" s="12"/>
      <c r="M141" s="12"/>
      <c r="N141" s="12"/>
    </row>
    <row r="142" customFormat="false" ht="15" hidden="false" customHeight="false" outlineLevel="0" collapsed="false">
      <c r="A142" s="16"/>
      <c r="B142" s="12"/>
      <c r="C142" s="18" t="str">
        <f aca="false">IF(B142="","",IFERROR(INDEX(Inventario!$B$7:$B$46,MATCH(B142,Inventario!$A$7:$A$46,0)),"Clave no existe"))</f>
        <v/>
      </c>
      <c r="D142" s="18" t="str">
        <f aca="false">IF(B142="","",IFERROR(INDEX(Inventario!$C$7:$C$46,MATCH(B142,Inventario!$A$7:$A$46,0)),""))</f>
        <v/>
      </c>
      <c r="E142" s="19"/>
      <c r="F142" s="19"/>
      <c r="G142" s="20" t="str">
        <f aca="false">IF(OR(E142="",F142=""),IF(B142="","",IF(A142="","",8)),F142-E142)</f>
        <v/>
      </c>
      <c r="H142" s="14"/>
      <c r="I142" s="12"/>
      <c r="J142" s="14"/>
      <c r="K142" s="20" t="str">
        <f aca="false">IF(OR(J142="",N(G142)=0),"",J142/G142)</f>
        <v/>
      </c>
      <c r="L142" s="12"/>
      <c r="M142" s="12"/>
      <c r="N142" s="12"/>
    </row>
    <row r="143" customFormat="false" ht="15" hidden="false" customHeight="false" outlineLevel="0" collapsed="false">
      <c r="A143" s="16"/>
      <c r="B143" s="12"/>
      <c r="C143" s="18" t="str">
        <f aca="false">IF(B143="","",IFERROR(INDEX(Inventario!$B$7:$B$46,MATCH(B143,Inventario!$A$7:$A$46,0)),"Clave no existe"))</f>
        <v/>
      </c>
      <c r="D143" s="18" t="str">
        <f aca="false">IF(B143="","",IFERROR(INDEX(Inventario!$C$7:$C$46,MATCH(B143,Inventario!$A$7:$A$46,0)),""))</f>
        <v/>
      </c>
      <c r="E143" s="19"/>
      <c r="F143" s="19"/>
      <c r="G143" s="20" t="str">
        <f aca="false">IF(OR(E143="",F143=""),IF(B143="","",IF(A143="","",8)),F143-E143)</f>
        <v/>
      </c>
      <c r="H143" s="14"/>
      <c r="I143" s="12"/>
      <c r="J143" s="14"/>
      <c r="K143" s="20" t="str">
        <f aca="false">IF(OR(J143="",N(G143)=0),"",J143/G143)</f>
        <v/>
      </c>
      <c r="L143" s="12"/>
      <c r="M143" s="12"/>
      <c r="N143" s="12"/>
    </row>
    <row r="144" customFormat="false" ht="15" hidden="false" customHeight="false" outlineLevel="0" collapsed="false">
      <c r="A144" s="16"/>
      <c r="B144" s="12"/>
      <c r="C144" s="18" t="str">
        <f aca="false">IF(B144="","",IFERROR(INDEX(Inventario!$B$7:$B$46,MATCH(B144,Inventario!$A$7:$A$46,0)),"Clave no existe"))</f>
        <v/>
      </c>
      <c r="D144" s="18" t="str">
        <f aca="false">IF(B144="","",IFERROR(INDEX(Inventario!$C$7:$C$46,MATCH(B144,Inventario!$A$7:$A$46,0)),""))</f>
        <v/>
      </c>
      <c r="E144" s="19"/>
      <c r="F144" s="19"/>
      <c r="G144" s="20" t="str">
        <f aca="false">IF(OR(E144="",F144=""),IF(B144="","",IF(A144="","",8)),F144-E144)</f>
        <v/>
      </c>
      <c r="H144" s="14"/>
      <c r="I144" s="12"/>
      <c r="J144" s="14"/>
      <c r="K144" s="20" t="str">
        <f aca="false">IF(OR(J144="",N(G144)=0),"",J144/G144)</f>
        <v/>
      </c>
      <c r="L144" s="12"/>
      <c r="M144" s="12"/>
      <c r="N144" s="12"/>
    </row>
    <row r="145" customFormat="false" ht="15" hidden="false" customHeight="false" outlineLevel="0" collapsed="false">
      <c r="A145" s="16"/>
      <c r="B145" s="12"/>
      <c r="C145" s="18" t="str">
        <f aca="false">IF(B145="","",IFERROR(INDEX(Inventario!$B$7:$B$46,MATCH(B145,Inventario!$A$7:$A$46,0)),"Clave no existe"))</f>
        <v/>
      </c>
      <c r="D145" s="18" t="str">
        <f aca="false">IF(B145="","",IFERROR(INDEX(Inventario!$C$7:$C$46,MATCH(B145,Inventario!$A$7:$A$46,0)),""))</f>
        <v/>
      </c>
      <c r="E145" s="19"/>
      <c r="F145" s="19"/>
      <c r="G145" s="20" t="str">
        <f aca="false">IF(OR(E145="",F145=""),IF(B145="","",IF(A145="","",8)),F145-E145)</f>
        <v/>
      </c>
      <c r="H145" s="14"/>
      <c r="I145" s="12"/>
      <c r="J145" s="14"/>
      <c r="K145" s="20" t="str">
        <f aca="false">IF(OR(J145="",N(G145)=0),"",J145/G145)</f>
        <v/>
      </c>
      <c r="L145" s="12"/>
      <c r="M145" s="12"/>
      <c r="N145" s="12"/>
    </row>
    <row r="146" customFormat="false" ht="15" hidden="false" customHeight="false" outlineLevel="0" collapsed="false">
      <c r="A146" s="16"/>
      <c r="B146" s="12"/>
      <c r="C146" s="18" t="str">
        <f aca="false">IF(B146="","",IFERROR(INDEX(Inventario!$B$7:$B$46,MATCH(B146,Inventario!$A$7:$A$46,0)),"Clave no existe"))</f>
        <v/>
      </c>
      <c r="D146" s="18" t="str">
        <f aca="false">IF(B146="","",IFERROR(INDEX(Inventario!$C$7:$C$46,MATCH(B146,Inventario!$A$7:$A$46,0)),""))</f>
        <v/>
      </c>
      <c r="E146" s="19"/>
      <c r="F146" s="19"/>
      <c r="G146" s="20" t="str">
        <f aca="false">IF(OR(E146="",F146=""),IF(B146="","",IF(A146="","",8)),F146-E146)</f>
        <v/>
      </c>
      <c r="H146" s="14"/>
      <c r="I146" s="12"/>
      <c r="J146" s="14"/>
      <c r="K146" s="20" t="str">
        <f aca="false">IF(OR(J146="",N(G146)=0),"",J146/G146)</f>
        <v/>
      </c>
      <c r="L146" s="12"/>
      <c r="M146" s="12"/>
      <c r="N146" s="12"/>
    </row>
    <row r="147" customFormat="false" ht="15" hidden="false" customHeight="false" outlineLevel="0" collapsed="false">
      <c r="A147" s="16"/>
      <c r="B147" s="12"/>
      <c r="C147" s="18" t="str">
        <f aca="false">IF(B147="","",IFERROR(INDEX(Inventario!$B$7:$B$46,MATCH(B147,Inventario!$A$7:$A$46,0)),"Clave no existe"))</f>
        <v/>
      </c>
      <c r="D147" s="18" t="str">
        <f aca="false">IF(B147="","",IFERROR(INDEX(Inventario!$C$7:$C$46,MATCH(B147,Inventario!$A$7:$A$46,0)),""))</f>
        <v/>
      </c>
      <c r="E147" s="19"/>
      <c r="F147" s="19"/>
      <c r="G147" s="20" t="str">
        <f aca="false">IF(OR(E147="",F147=""),IF(B147="","",IF(A147="","",8)),F147-E147)</f>
        <v/>
      </c>
      <c r="H147" s="14"/>
      <c r="I147" s="12"/>
      <c r="J147" s="14"/>
      <c r="K147" s="20" t="str">
        <f aca="false">IF(OR(J147="",N(G147)=0),"",J147/G147)</f>
        <v/>
      </c>
      <c r="L147" s="12"/>
      <c r="M147" s="12"/>
      <c r="N147" s="12"/>
    </row>
    <row r="148" customFormat="false" ht="15" hidden="false" customHeight="false" outlineLevel="0" collapsed="false">
      <c r="A148" s="16"/>
      <c r="B148" s="12"/>
      <c r="C148" s="18" t="str">
        <f aca="false">IF(B148="","",IFERROR(INDEX(Inventario!$B$7:$B$46,MATCH(B148,Inventario!$A$7:$A$46,0)),"Clave no existe"))</f>
        <v/>
      </c>
      <c r="D148" s="18" t="str">
        <f aca="false">IF(B148="","",IFERROR(INDEX(Inventario!$C$7:$C$46,MATCH(B148,Inventario!$A$7:$A$46,0)),""))</f>
        <v/>
      </c>
      <c r="E148" s="19"/>
      <c r="F148" s="19"/>
      <c r="G148" s="20" t="str">
        <f aca="false">IF(OR(E148="",F148=""),IF(B148="","",IF(A148="","",8)),F148-E148)</f>
        <v/>
      </c>
      <c r="H148" s="14"/>
      <c r="I148" s="12"/>
      <c r="J148" s="14"/>
      <c r="K148" s="20" t="str">
        <f aca="false">IF(OR(J148="",N(G148)=0),"",J148/G148)</f>
        <v/>
      </c>
      <c r="L148" s="12"/>
      <c r="M148" s="12"/>
      <c r="N148" s="12"/>
    </row>
    <row r="149" customFormat="false" ht="15" hidden="false" customHeight="false" outlineLevel="0" collapsed="false">
      <c r="A149" s="16"/>
      <c r="B149" s="12"/>
      <c r="C149" s="18" t="str">
        <f aca="false">IF(B149="","",IFERROR(INDEX(Inventario!$B$7:$B$46,MATCH(B149,Inventario!$A$7:$A$46,0)),"Clave no existe"))</f>
        <v/>
      </c>
      <c r="D149" s="18" t="str">
        <f aca="false">IF(B149="","",IFERROR(INDEX(Inventario!$C$7:$C$46,MATCH(B149,Inventario!$A$7:$A$46,0)),""))</f>
        <v/>
      </c>
      <c r="E149" s="19"/>
      <c r="F149" s="19"/>
      <c r="G149" s="20" t="str">
        <f aca="false">IF(OR(E149="",F149=""),IF(B149="","",IF(A149="","",8)),F149-E149)</f>
        <v/>
      </c>
      <c r="H149" s="14"/>
      <c r="I149" s="12"/>
      <c r="J149" s="14"/>
      <c r="K149" s="20" t="str">
        <f aca="false">IF(OR(J149="",N(G149)=0),"",J149/G149)</f>
        <v/>
      </c>
      <c r="L149" s="12"/>
      <c r="M149" s="12"/>
      <c r="N149" s="12"/>
    </row>
    <row r="150" customFormat="false" ht="15" hidden="false" customHeight="false" outlineLevel="0" collapsed="false">
      <c r="A150" s="16"/>
      <c r="B150" s="12"/>
      <c r="C150" s="18" t="str">
        <f aca="false">IF(B150="","",IFERROR(INDEX(Inventario!$B$7:$B$46,MATCH(B150,Inventario!$A$7:$A$46,0)),"Clave no existe"))</f>
        <v/>
      </c>
      <c r="D150" s="18" t="str">
        <f aca="false">IF(B150="","",IFERROR(INDEX(Inventario!$C$7:$C$46,MATCH(B150,Inventario!$A$7:$A$46,0)),""))</f>
        <v/>
      </c>
      <c r="E150" s="19"/>
      <c r="F150" s="19"/>
      <c r="G150" s="20" t="str">
        <f aca="false">IF(OR(E150="",F150=""),IF(B150="","",IF(A150="","",8)),F150-E150)</f>
        <v/>
      </c>
      <c r="H150" s="14"/>
      <c r="I150" s="12"/>
      <c r="J150" s="14"/>
      <c r="K150" s="20" t="str">
        <f aca="false">IF(OR(J150="",N(G150)=0),"",J150/G150)</f>
        <v/>
      </c>
      <c r="L150" s="12"/>
      <c r="M150" s="12"/>
      <c r="N150" s="12"/>
    </row>
    <row r="151" customFormat="false" ht="15" hidden="false" customHeight="false" outlineLevel="0" collapsed="false">
      <c r="A151" s="16"/>
      <c r="B151" s="12"/>
      <c r="C151" s="18" t="str">
        <f aca="false">IF(B151="","",IFERROR(INDEX(Inventario!$B$7:$B$46,MATCH(B151,Inventario!$A$7:$A$46,0)),"Clave no existe"))</f>
        <v/>
      </c>
      <c r="D151" s="18" t="str">
        <f aca="false">IF(B151="","",IFERROR(INDEX(Inventario!$C$7:$C$46,MATCH(B151,Inventario!$A$7:$A$46,0)),""))</f>
        <v/>
      </c>
      <c r="E151" s="19"/>
      <c r="F151" s="19"/>
      <c r="G151" s="20" t="str">
        <f aca="false">IF(OR(E151="",F151=""),IF(B151="","",IF(A151="","",8)),F151-E151)</f>
        <v/>
      </c>
      <c r="H151" s="14"/>
      <c r="I151" s="12"/>
      <c r="J151" s="14"/>
      <c r="K151" s="20" t="str">
        <f aca="false">IF(OR(J151="",N(G151)=0),"",J151/G151)</f>
        <v/>
      </c>
      <c r="L151" s="12"/>
      <c r="M151" s="12"/>
      <c r="N151" s="12"/>
    </row>
    <row r="152" customFormat="false" ht="15" hidden="false" customHeight="false" outlineLevel="0" collapsed="false">
      <c r="A152" s="16"/>
      <c r="B152" s="12"/>
      <c r="C152" s="18" t="str">
        <f aca="false">IF(B152="","",IFERROR(INDEX(Inventario!$B$7:$B$46,MATCH(B152,Inventario!$A$7:$A$46,0)),"Clave no existe"))</f>
        <v/>
      </c>
      <c r="D152" s="18" t="str">
        <f aca="false">IF(B152="","",IFERROR(INDEX(Inventario!$C$7:$C$46,MATCH(B152,Inventario!$A$7:$A$46,0)),""))</f>
        <v/>
      </c>
      <c r="E152" s="19"/>
      <c r="F152" s="19"/>
      <c r="G152" s="20" t="str">
        <f aca="false">IF(OR(E152="",F152=""),IF(B152="","",IF(A152="","",8)),F152-E152)</f>
        <v/>
      </c>
      <c r="H152" s="14"/>
      <c r="I152" s="12"/>
      <c r="J152" s="14"/>
      <c r="K152" s="20" t="str">
        <f aca="false">IF(OR(J152="",N(G152)=0),"",J152/G152)</f>
        <v/>
      </c>
      <c r="L152" s="12"/>
      <c r="M152" s="12"/>
      <c r="N152" s="12"/>
    </row>
    <row r="153" customFormat="false" ht="15" hidden="false" customHeight="false" outlineLevel="0" collapsed="false">
      <c r="A153" s="16"/>
      <c r="B153" s="12"/>
      <c r="C153" s="18" t="str">
        <f aca="false">IF(B153="","",IFERROR(INDEX(Inventario!$B$7:$B$46,MATCH(B153,Inventario!$A$7:$A$46,0)),"Clave no existe"))</f>
        <v/>
      </c>
      <c r="D153" s="18" t="str">
        <f aca="false">IF(B153="","",IFERROR(INDEX(Inventario!$C$7:$C$46,MATCH(B153,Inventario!$A$7:$A$46,0)),""))</f>
        <v/>
      </c>
      <c r="E153" s="19"/>
      <c r="F153" s="19"/>
      <c r="G153" s="20" t="str">
        <f aca="false">IF(OR(E153="",F153=""),IF(B153="","",IF(A153="","",8)),F153-E153)</f>
        <v/>
      </c>
      <c r="H153" s="14"/>
      <c r="I153" s="12"/>
      <c r="J153" s="14"/>
      <c r="K153" s="20" t="str">
        <f aca="false">IF(OR(J153="",N(G153)=0),"",J153/G153)</f>
        <v/>
      </c>
      <c r="L153" s="12"/>
      <c r="M153" s="12"/>
      <c r="N153" s="12"/>
    </row>
    <row r="154" customFormat="false" ht="15" hidden="false" customHeight="false" outlineLevel="0" collapsed="false">
      <c r="A154" s="16"/>
      <c r="B154" s="12"/>
      <c r="C154" s="18" t="str">
        <f aca="false">IF(B154="","",IFERROR(INDEX(Inventario!$B$7:$B$46,MATCH(B154,Inventario!$A$7:$A$46,0)),"Clave no existe"))</f>
        <v/>
      </c>
      <c r="D154" s="18" t="str">
        <f aca="false">IF(B154="","",IFERROR(INDEX(Inventario!$C$7:$C$46,MATCH(B154,Inventario!$A$7:$A$46,0)),""))</f>
        <v/>
      </c>
      <c r="E154" s="19"/>
      <c r="F154" s="19"/>
      <c r="G154" s="20" t="str">
        <f aca="false">IF(OR(E154="",F154=""),IF(B154="","",IF(A154="","",8)),F154-E154)</f>
        <v/>
      </c>
      <c r="H154" s="14"/>
      <c r="I154" s="12"/>
      <c r="J154" s="14"/>
      <c r="K154" s="20" t="str">
        <f aca="false">IF(OR(J154="",N(G154)=0),"",J154/G154)</f>
        <v/>
      </c>
      <c r="L154" s="12"/>
      <c r="M154" s="12"/>
      <c r="N154" s="12"/>
    </row>
    <row r="155" customFormat="false" ht="15" hidden="false" customHeight="false" outlineLevel="0" collapsed="false">
      <c r="A155" s="16"/>
      <c r="B155" s="12"/>
      <c r="C155" s="18" t="str">
        <f aca="false">IF(B155="","",IFERROR(INDEX(Inventario!$B$7:$B$46,MATCH(B155,Inventario!$A$7:$A$46,0)),"Clave no existe"))</f>
        <v/>
      </c>
      <c r="D155" s="18" t="str">
        <f aca="false">IF(B155="","",IFERROR(INDEX(Inventario!$C$7:$C$46,MATCH(B155,Inventario!$A$7:$A$46,0)),""))</f>
        <v/>
      </c>
      <c r="E155" s="19"/>
      <c r="F155" s="19"/>
      <c r="G155" s="20" t="str">
        <f aca="false">IF(OR(E155="",F155=""),IF(B155="","",IF(A155="","",8)),F155-E155)</f>
        <v/>
      </c>
      <c r="H155" s="14"/>
      <c r="I155" s="12"/>
      <c r="J155" s="14"/>
      <c r="K155" s="20" t="str">
        <f aca="false">IF(OR(J155="",N(G155)=0),"",J155/G155)</f>
        <v/>
      </c>
      <c r="L155" s="12"/>
      <c r="M155" s="12"/>
      <c r="N155" s="12"/>
    </row>
    <row r="156" customFormat="false" ht="15" hidden="false" customHeight="false" outlineLevel="0" collapsed="false">
      <c r="A156" s="16"/>
      <c r="B156" s="12"/>
      <c r="C156" s="18" t="str">
        <f aca="false">IF(B156="","",IFERROR(INDEX(Inventario!$B$7:$B$46,MATCH(B156,Inventario!$A$7:$A$46,0)),"Clave no existe"))</f>
        <v/>
      </c>
      <c r="D156" s="18" t="str">
        <f aca="false">IF(B156="","",IFERROR(INDEX(Inventario!$C$7:$C$46,MATCH(B156,Inventario!$A$7:$A$46,0)),""))</f>
        <v/>
      </c>
      <c r="E156" s="19"/>
      <c r="F156" s="19"/>
      <c r="G156" s="20" t="str">
        <f aca="false">IF(OR(E156="",F156=""),IF(B156="","",IF(A156="","",8)),F156-E156)</f>
        <v/>
      </c>
      <c r="H156" s="14"/>
      <c r="I156" s="12"/>
      <c r="J156" s="14"/>
      <c r="K156" s="20" t="str">
        <f aca="false">IF(OR(J156="",N(G156)=0),"",J156/G156)</f>
        <v/>
      </c>
      <c r="L156" s="12"/>
      <c r="M156" s="12"/>
      <c r="N156" s="12"/>
    </row>
    <row r="157" customFormat="false" ht="15" hidden="false" customHeight="false" outlineLevel="0" collapsed="false">
      <c r="A157" s="16"/>
      <c r="B157" s="12"/>
      <c r="C157" s="18" t="str">
        <f aca="false">IF(B157="","",IFERROR(INDEX(Inventario!$B$7:$B$46,MATCH(B157,Inventario!$A$7:$A$46,0)),"Clave no existe"))</f>
        <v/>
      </c>
      <c r="D157" s="18" t="str">
        <f aca="false">IF(B157="","",IFERROR(INDEX(Inventario!$C$7:$C$46,MATCH(B157,Inventario!$A$7:$A$46,0)),""))</f>
        <v/>
      </c>
      <c r="E157" s="19"/>
      <c r="F157" s="19"/>
      <c r="G157" s="20" t="str">
        <f aca="false">IF(OR(E157="",F157=""),IF(B157="","",IF(A157="","",8)),F157-E157)</f>
        <v/>
      </c>
      <c r="H157" s="14"/>
      <c r="I157" s="12"/>
      <c r="J157" s="14"/>
      <c r="K157" s="20" t="str">
        <f aca="false">IF(OR(J157="",N(G157)=0),"",J157/G157)</f>
        <v/>
      </c>
      <c r="L157" s="12"/>
      <c r="M157" s="12"/>
      <c r="N157" s="12"/>
    </row>
    <row r="158" customFormat="false" ht="15" hidden="false" customHeight="false" outlineLevel="0" collapsed="false">
      <c r="A158" s="16"/>
      <c r="B158" s="12"/>
      <c r="C158" s="18" t="str">
        <f aca="false">IF(B158="","",IFERROR(INDEX(Inventario!$B$7:$B$46,MATCH(B158,Inventario!$A$7:$A$46,0)),"Clave no existe"))</f>
        <v/>
      </c>
      <c r="D158" s="18" t="str">
        <f aca="false">IF(B158="","",IFERROR(INDEX(Inventario!$C$7:$C$46,MATCH(B158,Inventario!$A$7:$A$46,0)),""))</f>
        <v/>
      </c>
      <c r="E158" s="19"/>
      <c r="F158" s="19"/>
      <c r="G158" s="20" t="str">
        <f aca="false">IF(OR(E158="",F158=""),IF(B158="","",IF(A158="","",8)),F158-E158)</f>
        <v/>
      </c>
      <c r="H158" s="14"/>
      <c r="I158" s="12"/>
      <c r="J158" s="14"/>
      <c r="K158" s="20" t="str">
        <f aca="false">IF(OR(J158="",N(G158)=0),"",J158/G158)</f>
        <v/>
      </c>
      <c r="L158" s="12"/>
      <c r="M158" s="12"/>
      <c r="N158" s="12"/>
    </row>
    <row r="159" customFormat="false" ht="15" hidden="false" customHeight="false" outlineLevel="0" collapsed="false">
      <c r="A159" s="16"/>
      <c r="B159" s="12"/>
      <c r="C159" s="18" t="str">
        <f aca="false">IF(B159="","",IFERROR(INDEX(Inventario!$B$7:$B$46,MATCH(B159,Inventario!$A$7:$A$46,0)),"Clave no existe"))</f>
        <v/>
      </c>
      <c r="D159" s="18" t="str">
        <f aca="false">IF(B159="","",IFERROR(INDEX(Inventario!$C$7:$C$46,MATCH(B159,Inventario!$A$7:$A$46,0)),""))</f>
        <v/>
      </c>
      <c r="E159" s="19"/>
      <c r="F159" s="19"/>
      <c r="G159" s="20" t="str">
        <f aca="false">IF(OR(E159="",F159=""),IF(B159="","",IF(A159="","",8)),F159-E159)</f>
        <v/>
      </c>
      <c r="H159" s="14"/>
      <c r="I159" s="12"/>
      <c r="J159" s="14"/>
      <c r="K159" s="20" t="str">
        <f aca="false">IF(OR(J159="",N(G159)=0),"",J159/G159)</f>
        <v/>
      </c>
      <c r="L159" s="12"/>
      <c r="M159" s="12"/>
      <c r="N159" s="12"/>
    </row>
    <row r="160" customFormat="false" ht="15" hidden="false" customHeight="false" outlineLevel="0" collapsed="false">
      <c r="A160" s="16"/>
      <c r="B160" s="12"/>
      <c r="C160" s="18" t="str">
        <f aca="false">IF(B160="","",IFERROR(INDEX(Inventario!$B$7:$B$46,MATCH(B160,Inventario!$A$7:$A$46,0)),"Clave no existe"))</f>
        <v/>
      </c>
      <c r="D160" s="18" t="str">
        <f aca="false">IF(B160="","",IFERROR(INDEX(Inventario!$C$7:$C$46,MATCH(B160,Inventario!$A$7:$A$46,0)),""))</f>
        <v/>
      </c>
      <c r="E160" s="19"/>
      <c r="F160" s="19"/>
      <c r="G160" s="20" t="str">
        <f aca="false">IF(OR(E160="",F160=""),IF(B160="","",IF(A160="","",8)),F160-E160)</f>
        <v/>
      </c>
      <c r="H160" s="14"/>
      <c r="I160" s="12"/>
      <c r="J160" s="14"/>
      <c r="K160" s="20" t="str">
        <f aca="false">IF(OR(J160="",N(G160)=0),"",J160/G160)</f>
        <v/>
      </c>
      <c r="L160" s="12"/>
      <c r="M160" s="12"/>
      <c r="N160" s="12"/>
    </row>
    <row r="161" customFormat="false" ht="15" hidden="false" customHeight="false" outlineLevel="0" collapsed="false">
      <c r="A161" s="16"/>
      <c r="B161" s="12"/>
      <c r="C161" s="18" t="str">
        <f aca="false">IF(B161="","",IFERROR(INDEX(Inventario!$B$7:$B$46,MATCH(B161,Inventario!$A$7:$A$46,0)),"Clave no existe"))</f>
        <v/>
      </c>
      <c r="D161" s="18" t="str">
        <f aca="false">IF(B161="","",IFERROR(INDEX(Inventario!$C$7:$C$46,MATCH(B161,Inventario!$A$7:$A$46,0)),""))</f>
        <v/>
      </c>
      <c r="E161" s="19"/>
      <c r="F161" s="19"/>
      <c r="G161" s="20" t="str">
        <f aca="false">IF(OR(E161="",F161=""),IF(B161="","",IF(A161="","",8)),F161-E161)</f>
        <v/>
      </c>
      <c r="H161" s="14"/>
      <c r="I161" s="12"/>
      <c r="J161" s="14"/>
      <c r="K161" s="20" t="str">
        <f aca="false">IF(OR(J161="",N(G161)=0),"",J161/G161)</f>
        <v/>
      </c>
      <c r="L161" s="12"/>
      <c r="M161" s="12"/>
      <c r="N161" s="12"/>
    </row>
    <row r="162" customFormat="false" ht="15" hidden="false" customHeight="false" outlineLevel="0" collapsed="false">
      <c r="A162" s="16"/>
      <c r="B162" s="12"/>
      <c r="C162" s="18" t="str">
        <f aca="false">IF(B162="","",IFERROR(INDEX(Inventario!$B$7:$B$46,MATCH(B162,Inventario!$A$7:$A$46,0)),"Clave no existe"))</f>
        <v/>
      </c>
      <c r="D162" s="18" t="str">
        <f aca="false">IF(B162="","",IFERROR(INDEX(Inventario!$C$7:$C$46,MATCH(B162,Inventario!$A$7:$A$46,0)),""))</f>
        <v/>
      </c>
      <c r="E162" s="19"/>
      <c r="F162" s="19"/>
      <c r="G162" s="20" t="str">
        <f aca="false">IF(OR(E162="",F162=""),IF(B162="","",IF(A162="","",8)),F162-E162)</f>
        <v/>
      </c>
      <c r="H162" s="14"/>
      <c r="I162" s="12"/>
      <c r="J162" s="14"/>
      <c r="K162" s="20" t="str">
        <f aca="false">IF(OR(J162="",N(G162)=0),"",J162/G162)</f>
        <v/>
      </c>
      <c r="L162" s="12"/>
      <c r="M162" s="12"/>
      <c r="N162" s="12"/>
    </row>
    <row r="163" customFormat="false" ht="15" hidden="false" customHeight="false" outlineLevel="0" collapsed="false">
      <c r="A163" s="16"/>
      <c r="B163" s="12"/>
      <c r="C163" s="18" t="str">
        <f aca="false">IF(B163="","",IFERROR(INDEX(Inventario!$B$7:$B$46,MATCH(B163,Inventario!$A$7:$A$46,0)),"Clave no existe"))</f>
        <v/>
      </c>
      <c r="D163" s="18" t="str">
        <f aca="false">IF(B163="","",IFERROR(INDEX(Inventario!$C$7:$C$46,MATCH(B163,Inventario!$A$7:$A$46,0)),""))</f>
        <v/>
      </c>
      <c r="E163" s="19"/>
      <c r="F163" s="19"/>
      <c r="G163" s="20" t="str">
        <f aca="false">IF(OR(E163="",F163=""),IF(B163="","",IF(A163="","",8)),F163-E163)</f>
        <v/>
      </c>
      <c r="H163" s="14"/>
      <c r="I163" s="12"/>
      <c r="J163" s="14"/>
      <c r="K163" s="20" t="str">
        <f aca="false">IF(OR(J163="",N(G163)=0),"",J163/G163)</f>
        <v/>
      </c>
      <c r="L163" s="12"/>
      <c r="M163" s="12"/>
      <c r="N163" s="12"/>
    </row>
    <row r="164" customFormat="false" ht="15" hidden="false" customHeight="false" outlineLevel="0" collapsed="false">
      <c r="A164" s="16"/>
      <c r="B164" s="12"/>
      <c r="C164" s="18" t="str">
        <f aca="false">IF(B164="","",IFERROR(INDEX(Inventario!$B$7:$B$46,MATCH(B164,Inventario!$A$7:$A$46,0)),"Clave no existe"))</f>
        <v/>
      </c>
      <c r="D164" s="18" t="str">
        <f aca="false">IF(B164="","",IFERROR(INDEX(Inventario!$C$7:$C$46,MATCH(B164,Inventario!$A$7:$A$46,0)),""))</f>
        <v/>
      </c>
      <c r="E164" s="19"/>
      <c r="F164" s="19"/>
      <c r="G164" s="20" t="str">
        <f aca="false">IF(OR(E164="",F164=""),IF(B164="","",IF(A164="","",8)),F164-E164)</f>
        <v/>
      </c>
      <c r="H164" s="14"/>
      <c r="I164" s="12"/>
      <c r="J164" s="14"/>
      <c r="K164" s="20" t="str">
        <f aca="false">IF(OR(J164="",N(G164)=0),"",J164/G164)</f>
        <v/>
      </c>
      <c r="L164" s="12"/>
      <c r="M164" s="12"/>
      <c r="N164" s="12"/>
    </row>
    <row r="165" customFormat="false" ht="15" hidden="false" customHeight="false" outlineLevel="0" collapsed="false">
      <c r="A165" s="16"/>
      <c r="B165" s="12"/>
      <c r="C165" s="18" t="str">
        <f aca="false">IF(B165="","",IFERROR(INDEX(Inventario!$B$7:$B$46,MATCH(B165,Inventario!$A$7:$A$46,0)),"Clave no existe"))</f>
        <v/>
      </c>
      <c r="D165" s="18" t="str">
        <f aca="false">IF(B165="","",IFERROR(INDEX(Inventario!$C$7:$C$46,MATCH(B165,Inventario!$A$7:$A$46,0)),""))</f>
        <v/>
      </c>
      <c r="E165" s="19"/>
      <c r="F165" s="19"/>
      <c r="G165" s="20" t="str">
        <f aca="false">IF(OR(E165="",F165=""),IF(B165="","",IF(A165="","",8)),F165-E165)</f>
        <v/>
      </c>
      <c r="H165" s="14"/>
      <c r="I165" s="12"/>
      <c r="J165" s="14"/>
      <c r="K165" s="20" t="str">
        <f aca="false">IF(OR(J165="",N(G165)=0),"",J165/G165)</f>
        <v/>
      </c>
      <c r="L165" s="12"/>
      <c r="M165" s="12"/>
      <c r="N165" s="12"/>
    </row>
    <row r="166" customFormat="false" ht="15" hidden="false" customHeight="false" outlineLevel="0" collapsed="false">
      <c r="A166" s="16"/>
      <c r="B166" s="12"/>
      <c r="C166" s="18" t="str">
        <f aca="false">IF(B166="","",IFERROR(INDEX(Inventario!$B$7:$B$46,MATCH(B166,Inventario!$A$7:$A$46,0)),"Clave no existe"))</f>
        <v/>
      </c>
      <c r="D166" s="18" t="str">
        <f aca="false">IF(B166="","",IFERROR(INDEX(Inventario!$C$7:$C$46,MATCH(B166,Inventario!$A$7:$A$46,0)),""))</f>
        <v/>
      </c>
      <c r="E166" s="19"/>
      <c r="F166" s="19"/>
      <c r="G166" s="20" t="str">
        <f aca="false">IF(OR(E166="",F166=""),IF(B166="","",IF(A166="","",8)),F166-E166)</f>
        <v/>
      </c>
      <c r="H166" s="14"/>
      <c r="I166" s="12"/>
      <c r="J166" s="14"/>
      <c r="K166" s="20" t="str">
        <f aca="false">IF(OR(J166="",N(G166)=0),"",J166/G166)</f>
        <v/>
      </c>
      <c r="L166" s="12"/>
      <c r="M166" s="12"/>
      <c r="N166" s="12"/>
    </row>
    <row r="167" customFormat="false" ht="15" hidden="false" customHeight="false" outlineLevel="0" collapsed="false">
      <c r="A167" s="16"/>
      <c r="B167" s="12"/>
      <c r="C167" s="18" t="str">
        <f aca="false">IF(B167="","",IFERROR(INDEX(Inventario!$B$7:$B$46,MATCH(B167,Inventario!$A$7:$A$46,0)),"Clave no existe"))</f>
        <v/>
      </c>
      <c r="D167" s="18" t="str">
        <f aca="false">IF(B167="","",IFERROR(INDEX(Inventario!$C$7:$C$46,MATCH(B167,Inventario!$A$7:$A$46,0)),""))</f>
        <v/>
      </c>
      <c r="E167" s="19"/>
      <c r="F167" s="19"/>
      <c r="G167" s="20" t="str">
        <f aca="false">IF(OR(E167="",F167=""),IF(B167="","",IF(A167="","",8)),F167-E167)</f>
        <v/>
      </c>
      <c r="H167" s="14"/>
      <c r="I167" s="12"/>
      <c r="J167" s="14"/>
      <c r="K167" s="20" t="str">
        <f aca="false">IF(OR(J167="",N(G167)=0),"",J167/G167)</f>
        <v/>
      </c>
      <c r="L167" s="12"/>
      <c r="M167" s="12"/>
      <c r="N167" s="12"/>
    </row>
    <row r="168" customFormat="false" ht="15" hidden="false" customHeight="false" outlineLevel="0" collapsed="false">
      <c r="A168" s="16"/>
      <c r="B168" s="12"/>
      <c r="C168" s="18" t="str">
        <f aca="false">IF(B168="","",IFERROR(INDEX(Inventario!$B$7:$B$46,MATCH(B168,Inventario!$A$7:$A$46,0)),"Clave no existe"))</f>
        <v/>
      </c>
      <c r="D168" s="18" t="str">
        <f aca="false">IF(B168="","",IFERROR(INDEX(Inventario!$C$7:$C$46,MATCH(B168,Inventario!$A$7:$A$46,0)),""))</f>
        <v/>
      </c>
      <c r="E168" s="19"/>
      <c r="F168" s="19"/>
      <c r="G168" s="20" t="str">
        <f aca="false">IF(OR(E168="",F168=""),IF(B168="","",IF(A168="","",8)),F168-E168)</f>
        <v/>
      </c>
      <c r="H168" s="14"/>
      <c r="I168" s="12"/>
      <c r="J168" s="14"/>
      <c r="K168" s="20" t="str">
        <f aca="false">IF(OR(J168="",N(G168)=0),"",J168/G168)</f>
        <v/>
      </c>
      <c r="L168" s="12"/>
      <c r="M168" s="12"/>
      <c r="N168" s="12"/>
    </row>
    <row r="169" customFormat="false" ht="15" hidden="false" customHeight="false" outlineLevel="0" collapsed="false">
      <c r="A169" s="16"/>
      <c r="B169" s="12"/>
      <c r="C169" s="18" t="str">
        <f aca="false">IF(B169="","",IFERROR(INDEX(Inventario!$B$7:$B$46,MATCH(B169,Inventario!$A$7:$A$46,0)),"Clave no existe"))</f>
        <v/>
      </c>
      <c r="D169" s="18" t="str">
        <f aca="false">IF(B169="","",IFERROR(INDEX(Inventario!$C$7:$C$46,MATCH(B169,Inventario!$A$7:$A$46,0)),""))</f>
        <v/>
      </c>
      <c r="E169" s="19"/>
      <c r="F169" s="19"/>
      <c r="G169" s="20" t="str">
        <f aca="false">IF(OR(E169="",F169=""),IF(B169="","",IF(A169="","",8)),F169-E169)</f>
        <v/>
      </c>
      <c r="H169" s="14"/>
      <c r="I169" s="12"/>
      <c r="J169" s="14"/>
      <c r="K169" s="20" t="str">
        <f aca="false">IF(OR(J169="",N(G169)=0),"",J169/G169)</f>
        <v/>
      </c>
      <c r="L169" s="12"/>
      <c r="M169" s="12"/>
      <c r="N169" s="12"/>
    </row>
    <row r="170" customFormat="false" ht="15" hidden="false" customHeight="false" outlineLevel="0" collapsed="false">
      <c r="A170" s="16"/>
      <c r="B170" s="12"/>
      <c r="C170" s="18" t="str">
        <f aca="false">IF(B170="","",IFERROR(INDEX(Inventario!$B$7:$B$46,MATCH(B170,Inventario!$A$7:$A$46,0)),"Clave no existe"))</f>
        <v/>
      </c>
      <c r="D170" s="18" t="str">
        <f aca="false">IF(B170="","",IFERROR(INDEX(Inventario!$C$7:$C$46,MATCH(B170,Inventario!$A$7:$A$46,0)),""))</f>
        <v/>
      </c>
      <c r="E170" s="19"/>
      <c r="F170" s="19"/>
      <c r="G170" s="20" t="str">
        <f aca="false">IF(OR(E170="",F170=""),IF(B170="","",IF(A170="","",8)),F170-E170)</f>
        <v/>
      </c>
      <c r="H170" s="14"/>
      <c r="I170" s="12"/>
      <c r="J170" s="14"/>
      <c r="K170" s="20" t="str">
        <f aca="false">IF(OR(J170="",N(G170)=0),"",J170/G170)</f>
        <v/>
      </c>
      <c r="L170" s="12"/>
      <c r="M170" s="12"/>
      <c r="N170" s="12"/>
    </row>
    <row r="171" customFormat="false" ht="15" hidden="false" customHeight="false" outlineLevel="0" collapsed="false">
      <c r="A171" s="16"/>
      <c r="B171" s="12"/>
      <c r="C171" s="18" t="str">
        <f aca="false">IF(B171="","",IFERROR(INDEX(Inventario!$B$7:$B$46,MATCH(B171,Inventario!$A$7:$A$46,0)),"Clave no existe"))</f>
        <v/>
      </c>
      <c r="D171" s="18" t="str">
        <f aca="false">IF(B171="","",IFERROR(INDEX(Inventario!$C$7:$C$46,MATCH(B171,Inventario!$A$7:$A$46,0)),""))</f>
        <v/>
      </c>
      <c r="E171" s="19"/>
      <c r="F171" s="19"/>
      <c r="G171" s="20" t="str">
        <f aca="false">IF(OR(E171="",F171=""),IF(B171="","",IF(A171="","",8)),F171-E171)</f>
        <v/>
      </c>
      <c r="H171" s="14"/>
      <c r="I171" s="12"/>
      <c r="J171" s="14"/>
      <c r="K171" s="20" t="str">
        <f aca="false">IF(OR(J171="",N(G171)=0),"",J171/G171)</f>
        <v/>
      </c>
      <c r="L171" s="12"/>
      <c r="M171" s="12"/>
      <c r="N171" s="12"/>
    </row>
    <row r="172" customFormat="false" ht="15" hidden="false" customHeight="false" outlineLevel="0" collapsed="false">
      <c r="A172" s="16"/>
      <c r="B172" s="12"/>
      <c r="C172" s="18" t="str">
        <f aca="false">IF(B172="","",IFERROR(INDEX(Inventario!$B$7:$B$46,MATCH(B172,Inventario!$A$7:$A$46,0)),"Clave no existe"))</f>
        <v/>
      </c>
      <c r="D172" s="18" t="str">
        <f aca="false">IF(B172="","",IFERROR(INDEX(Inventario!$C$7:$C$46,MATCH(B172,Inventario!$A$7:$A$46,0)),""))</f>
        <v/>
      </c>
      <c r="E172" s="19"/>
      <c r="F172" s="19"/>
      <c r="G172" s="20" t="str">
        <f aca="false">IF(OR(E172="",F172=""),IF(B172="","",IF(A172="","",8)),F172-E172)</f>
        <v/>
      </c>
      <c r="H172" s="14"/>
      <c r="I172" s="12"/>
      <c r="J172" s="14"/>
      <c r="K172" s="20" t="str">
        <f aca="false">IF(OR(J172="",N(G172)=0),"",J172/G172)</f>
        <v/>
      </c>
      <c r="L172" s="12"/>
      <c r="M172" s="12"/>
      <c r="N172" s="12"/>
    </row>
    <row r="173" customFormat="false" ht="15" hidden="false" customHeight="false" outlineLevel="0" collapsed="false">
      <c r="A173" s="16"/>
      <c r="B173" s="12"/>
      <c r="C173" s="18" t="str">
        <f aca="false">IF(B173="","",IFERROR(INDEX(Inventario!$B$7:$B$46,MATCH(B173,Inventario!$A$7:$A$46,0)),"Clave no existe"))</f>
        <v/>
      </c>
      <c r="D173" s="18" t="str">
        <f aca="false">IF(B173="","",IFERROR(INDEX(Inventario!$C$7:$C$46,MATCH(B173,Inventario!$A$7:$A$46,0)),""))</f>
        <v/>
      </c>
      <c r="E173" s="19"/>
      <c r="F173" s="19"/>
      <c r="G173" s="20" t="str">
        <f aca="false">IF(OR(E173="",F173=""),IF(B173="","",IF(A173="","",8)),F173-E173)</f>
        <v/>
      </c>
      <c r="H173" s="14"/>
      <c r="I173" s="12"/>
      <c r="J173" s="14"/>
      <c r="K173" s="20" t="str">
        <f aca="false">IF(OR(J173="",N(G173)=0),"",J173/G173)</f>
        <v/>
      </c>
      <c r="L173" s="12"/>
      <c r="M173" s="12"/>
      <c r="N173" s="12"/>
    </row>
    <row r="174" customFormat="false" ht="15" hidden="false" customHeight="false" outlineLevel="0" collapsed="false">
      <c r="A174" s="16"/>
      <c r="B174" s="12"/>
      <c r="C174" s="18" t="str">
        <f aca="false">IF(B174="","",IFERROR(INDEX(Inventario!$B$7:$B$46,MATCH(B174,Inventario!$A$7:$A$46,0)),"Clave no existe"))</f>
        <v/>
      </c>
      <c r="D174" s="18" t="str">
        <f aca="false">IF(B174="","",IFERROR(INDEX(Inventario!$C$7:$C$46,MATCH(B174,Inventario!$A$7:$A$46,0)),""))</f>
        <v/>
      </c>
      <c r="E174" s="19"/>
      <c r="F174" s="19"/>
      <c r="G174" s="20" t="str">
        <f aca="false">IF(OR(E174="",F174=""),IF(B174="","",IF(A174="","",8)),F174-E174)</f>
        <v/>
      </c>
      <c r="H174" s="14"/>
      <c r="I174" s="12"/>
      <c r="J174" s="14"/>
      <c r="K174" s="20" t="str">
        <f aca="false">IF(OR(J174="",N(G174)=0),"",J174/G174)</f>
        <v/>
      </c>
      <c r="L174" s="12"/>
      <c r="M174" s="12"/>
      <c r="N174" s="12"/>
    </row>
    <row r="175" customFormat="false" ht="15" hidden="false" customHeight="false" outlineLevel="0" collapsed="false">
      <c r="A175" s="16"/>
      <c r="B175" s="12"/>
      <c r="C175" s="18" t="str">
        <f aca="false">IF(B175="","",IFERROR(INDEX(Inventario!$B$7:$B$46,MATCH(B175,Inventario!$A$7:$A$46,0)),"Clave no existe"))</f>
        <v/>
      </c>
      <c r="D175" s="18" t="str">
        <f aca="false">IF(B175="","",IFERROR(INDEX(Inventario!$C$7:$C$46,MATCH(B175,Inventario!$A$7:$A$46,0)),""))</f>
        <v/>
      </c>
      <c r="E175" s="19"/>
      <c r="F175" s="19"/>
      <c r="G175" s="20" t="str">
        <f aca="false">IF(OR(E175="",F175=""),IF(B175="","",IF(A175="","",8)),F175-E175)</f>
        <v/>
      </c>
      <c r="H175" s="14"/>
      <c r="I175" s="12"/>
      <c r="J175" s="14"/>
      <c r="K175" s="20" t="str">
        <f aca="false">IF(OR(J175="",N(G175)=0),"",J175/G175)</f>
        <v/>
      </c>
      <c r="L175" s="12"/>
      <c r="M175" s="12"/>
      <c r="N175" s="12"/>
    </row>
    <row r="176" customFormat="false" ht="15" hidden="false" customHeight="false" outlineLevel="0" collapsed="false">
      <c r="A176" s="16"/>
      <c r="B176" s="12"/>
      <c r="C176" s="18" t="str">
        <f aca="false">IF(B176="","",IFERROR(INDEX(Inventario!$B$7:$B$46,MATCH(B176,Inventario!$A$7:$A$46,0)),"Clave no existe"))</f>
        <v/>
      </c>
      <c r="D176" s="18" t="str">
        <f aca="false">IF(B176="","",IFERROR(INDEX(Inventario!$C$7:$C$46,MATCH(B176,Inventario!$A$7:$A$46,0)),""))</f>
        <v/>
      </c>
      <c r="E176" s="19"/>
      <c r="F176" s="19"/>
      <c r="G176" s="20" t="str">
        <f aca="false">IF(OR(E176="",F176=""),IF(B176="","",IF(A176="","",8)),F176-E176)</f>
        <v/>
      </c>
      <c r="H176" s="14"/>
      <c r="I176" s="12"/>
      <c r="J176" s="14"/>
      <c r="K176" s="20" t="str">
        <f aca="false">IF(OR(J176="",N(G176)=0),"",J176/G176)</f>
        <v/>
      </c>
      <c r="L176" s="12"/>
      <c r="M176" s="12"/>
      <c r="N176" s="12"/>
    </row>
    <row r="177" customFormat="false" ht="15" hidden="false" customHeight="false" outlineLevel="0" collapsed="false">
      <c r="A177" s="16"/>
      <c r="B177" s="12"/>
      <c r="C177" s="18" t="str">
        <f aca="false">IF(B177="","",IFERROR(INDEX(Inventario!$B$7:$B$46,MATCH(B177,Inventario!$A$7:$A$46,0)),"Clave no existe"))</f>
        <v/>
      </c>
      <c r="D177" s="18" t="str">
        <f aca="false">IF(B177="","",IFERROR(INDEX(Inventario!$C$7:$C$46,MATCH(B177,Inventario!$A$7:$A$46,0)),""))</f>
        <v/>
      </c>
      <c r="E177" s="19"/>
      <c r="F177" s="19"/>
      <c r="G177" s="20" t="str">
        <f aca="false">IF(OR(E177="",F177=""),IF(B177="","",IF(A177="","",8)),F177-E177)</f>
        <v/>
      </c>
      <c r="H177" s="14"/>
      <c r="I177" s="12"/>
      <c r="J177" s="14"/>
      <c r="K177" s="20" t="str">
        <f aca="false">IF(OR(J177="",N(G177)=0),"",J177/G177)</f>
        <v/>
      </c>
      <c r="L177" s="12"/>
      <c r="M177" s="12"/>
      <c r="N177" s="12"/>
    </row>
    <row r="178" customFormat="false" ht="15" hidden="false" customHeight="false" outlineLevel="0" collapsed="false">
      <c r="A178" s="16"/>
      <c r="B178" s="12"/>
      <c r="C178" s="18" t="str">
        <f aca="false">IF(B178="","",IFERROR(INDEX(Inventario!$B$7:$B$46,MATCH(B178,Inventario!$A$7:$A$46,0)),"Clave no existe"))</f>
        <v/>
      </c>
      <c r="D178" s="18" t="str">
        <f aca="false">IF(B178="","",IFERROR(INDEX(Inventario!$C$7:$C$46,MATCH(B178,Inventario!$A$7:$A$46,0)),""))</f>
        <v/>
      </c>
      <c r="E178" s="19"/>
      <c r="F178" s="19"/>
      <c r="G178" s="20" t="str">
        <f aca="false">IF(OR(E178="",F178=""),IF(B178="","",IF(A178="","",8)),F178-E178)</f>
        <v/>
      </c>
      <c r="H178" s="14"/>
      <c r="I178" s="12"/>
      <c r="J178" s="14"/>
      <c r="K178" s="20" t="str">
        <f aca="false">IF(OR(J178="",N(G178)=0),"",J178/G178)</f>
        <v/>
      </c>
      <c r="L178" s="12"/>
      <c r="M178" s="12"/>
      <c r="N178" s="12"/>
    </row>
    <row r="179" customFormat="false" ht="15" hidden="false" customHeight="false" outlineLevel="0" collapsed="false">
      <c r="A179" s="16"/>
      <c r="B179" s="12"/>
      <c r="C179" s="18" t="str">
        <f aca="false">IF(B179="","",IFERROR(INDEX(Inventario!$B$7:$B$46,MATCH(B179,Inventario!$A$7:$A$46,0)),"Clave no existe"))</f>
        <v/>
      </c>
      <c r="D179" s="18" t="str">
        <f aca="false">IF(B179="","",IFERROR(INDEX(Inventario!$C$7:$C$46,MATCH(B179,Inventario!$A$7:$A$46,0)),""))</f>
        <v/>
      </c>
      <c r="E179" s="19"/>
      <c r="F179" s="19"/>
      <c r="G179" s="20" t="str">
        <f aca="false">IF(OR(E179="",F179=""),IF(B179="","",IF(A179="","",8)),F179-E179)</f>
        <v/>
      </c>
      <c r="H179" s="14"/>
      <c r="I179" s="12"/>
      <c r="J179" s="14"/>
      <c r="K179" s="20" t="str">
        <f aca="false">IF(OR(J179="",N(G179)=0),"",J179/G179)</f>
        <v/>
      </c>
      <c r="L179" s="12"/>
      <c r="M179" s="12"/>
      <c r="N179" s="12"/>
    </row>
    <row r="180" customFormat="false" ht="15" hidden="false" customHeight="false" outlineLevel="0" collapsed="false">
      <c r="A180" s="16"/>
      <c r="B180" s="12"/>
      <c r="C180" s="18" t="str">
        <f aca="false">IF(B180="","",IFERROR(INDEX(Inventario!$B$7:$B$46,MATCH(B180,Inventario!$A$7:$A$46,0)),"Clave no existe"))</f>
        <v/>
      </c>
      <c r="D180" s="18" t="str">
        <f aca="false">IF(B180="","",IFERROR(INDEX(Inventario!$C$7:$C$46,MATCH(B180,Inventario!$A$7:$A$46,0)),""))</f>
        <v/>
      </c>
      <c r="E180" s="19"/>
      <c r="F180" s="19"/>
      <c r="G180" s="20" t="str">
        <f aca="false">IF(OR(E180="",F180=""),IF(B180="","",IF(A180="","",8)),F180-E180)</f>
        <v/>
      </c>
      <c r="H180" s="14"/>
      <c r="I180" s="12"/>
      <c r="J180" s="14"/>
      <c r="K180" s="20" t="str">
        <f aca="false">IF(OR(J180="",N(G180)=0),"",J180/G180)</f>
        <v/>
      </c>
      <c r="L180" s="12"/>
      <c r="M180" s="12"/>
      <c r="N180" s="12"/>
    </row>
    <row r="181" customFormat="false" ht="15" hidden="false" customHeight="false" outlineLevel="0" collapsed="false">
      <c r="A181" s="16"/>
      <c r="B181" s="12"/>
      <c r="C181" s="18" t="str">
        <f aca="false">IF(B181="","",IFERROR(INDEX(Inventario!$B$7:$B$46,MATCH(B181,Inventario!$A$7:$A$46,0)),"Clave no existe"))</f>
        <v/>
      </c>
      <c r="D181" s="18" t="str">
        <f aca="false">IF(B181="","",IFERROR(INDEX(Inventario!$C$7:$C$46,MATCH(B181,Inventario!$A$7:$A$46,0)),""))</f>
        <v/>
      </c>
      <c r="E181" s="19"/>
      <c r="F181" s="19"/>
      <c r="G181" s="20" t="str">
        <f aca="false">IF(OR(E181="",F181=""),IF(B181="","",IF(A181="","",8)),F181-E181)</f>
        <v/>
      </c>
      <c r="H181" s="14"/>
      <c r="I181" s="12"/>
      <c r="J181" s="14"/>
      <c r="K181" s="20" t="str">
        <f aca="false">IF(OR(J181="",N(G181)=0),"",J181/G181)</f>
        <v/>
      </c>
      <c r="L181" s="12"/>
      <c r="M181" s="12"/>
      <c r="N181" s="12"/>
    </row>
    <row r="182" customFormat="false" ht="15" hidden="false" customHeight="false" outlineLevel="0" collapsed="false">
      <c r="A182" s="16"/>
      <c r="B182" s="12"/>
      <c r="C182" s="18" t="str">
        <f aca="false">IF(B182="","",IFERROR(INDEX(Inventario!$B$7:$B$46,MATCH(B182,Inventario!$A$7:$A$46,0)),"Clave no existe"))</f>
        <v/>
      </c>
      <c r="D182" s="18" t="str">
        <f aca="false">IF(B182="","",IFERROR(INDEX(Inventario!$C$7:$C$46,MATCH(B182,Inventario!$A$7:$A$46,0)),""))</f>
        <v/>
      </c>
      <c r="E182" s="19"/>
      <c r="F182" s="19"/>
      <c r="G182" s="20" t="str">
        <f aca="false">IF(OR(E182="",F182=""),IF(B182="","",IF(A182="","",8)),F182-E182)</f>
        <v/>
      </c>
      <c r="H182" s="14"/>
      <c r="I182" s="12"/>
      <c r="J182" s="14"/>
      <c r="K182" s="20" t="str">
        <f aca="false">IF(OR(J182="",N(G182)=0),"",J182/G182)</f>
        <v/>
      </c>
      <c r="L182" s="12"/>
      <c r="M182" s="12"/>
      <c r="N182" s="12"/>
    </row>
    <row r="183" customFormat="false" ht="15" hidden="false" customHeight="false" outlineLevel="0" collapsed="false">
      <c r="A183" s="16"/>
      <c r="B183" s="12"/>
      <c r="C183" s="18" t="str">
        <f aca="false">IF(B183="","",IFERROR(INDEX(Inventario!$B$7:$B$46,MATCH(B183,Inventario!$A$7:$A$46,0)),"Clave no existe"))</f>
        <v/>
      </c>
      <c r="D183" s="18" t="str">
        <f aca="false">IF(B183="","",IFERROR(INDEX(Inventario!$C$7:$C$46,MATCH(B183,Inventario!$A$7:$A$46,0)),""))</f>
        <v/>
      </c>
      <c r="E183" s="19"/>
      <c r="F183" s="19"/>
      <c r="G183" s="20" t="str">
        <f aca="false">IF(OR(E183="",F183=""),IF(B183="","",IF(A183="","",8)),F183-E183)</f>
        <v/>
      </c>
      <c r="H183" s="14"/>
      <c r="I183" s="12"/>
      <c r="J183" s="14"/>
      <c r="K183" s="20" t="str">
        <f aca="false">IF(OR(J183="",N(G183)=0),"",J183/G183)</f>
        <v/>
      </c>
      <c r="L183" s="12"/>
      <c r="M183" s="12"/>
      <c r="N183" s="12"/>
    </row>
    <row r="184" customFormat="false" ht="15" hidden="false" customHeight="false" outlineLevel="0" collapsed="false">
      <c r="A184" s="16"/>
      <c r="B184" s="12"/>
      <c r="C184" s="18" t="str">
        <f aca="false">IF(B184="","",IFERROR(INDEX(Inventario!$B$7:$B$46,MATCH(B184,Inventario!$A$7:$A$46,0)),"Clave no existe"))</f>
        <v/>
      </c>
      <c r="D184" s="18" t="str">
        <f aca="false">IF(B184="","",IFERROR(INDEX(Inventario!$C$7:$C$46,MATCH(B184,Inventario!$A$7:$A$46,0)),""))</f>
        <v/>
      </c>
      <c r="E184" s="19"/>
      <c r="F184" s="19"/>
      <c r="G184" s="20" t="str">
        <f aca="false">IF(OR(E184="",F184=""),IF(B184="","",IF(A184="","",8)),F184-E184)</f>
        <v/>
      </c>
      <c r="H184" s="14"/>
      <c r="I184" s="12"/>
      <c r="J184" s="14"/>
      <c r="K184" s="20" t="str">
        <f aca="false">IF(OR(J184="",N(G184)=0),"",J184/G184)</f>
        <v/>
      </c>
      <c r="L184" s="12"/>
      <c r="M184" s="12"/>
      <c r="N184" s="12"/>
    </row>
    <row r="185" customFormat="false" ht="15" hidden="false" customHeight="false" outlineLevel="0" collapsed="false">
      <c r="A185" s="16"/>
      <c r="B185" s="12"/>
      <c r="C185" s="18" t="str">
        <f aca="false">IF(B185="","",IFERROR(INDEX(Inventario!$B$7:$B$46,MATCH(B185,Inventario!$A$7:$A$46,0)),"Clave no existe"))</f>
        <v/>
      </c>
      <c r="D185" s="18" t="str">
        <f aca="false">IF(B185="","",IFERROR(INDEX(Inventario!$C$7:$C$46,MATCH(B185,Inventario!$A$7:$A$46,0)),""))</f>
        <v/>
      </c>
      <c r="E185" s="19"/>
      <c r="F185" s="19"/>
      <c r="G185" s="20" t="str">
        <f aca="false">IF(OR(E185="",F185=""),IF(B185="","",IF(A185="","",8)),F185-E185)</f>
        <v/>
      </c>
      <c r="H185" s="14"/>
      <c r="I185" s="12"/>
      <c r="J185" s="14"/>
      <c r="K185" s="20" t="str">
        <f aca="false">IF(OR(J185="",N(G185)=0),"",J185/G185)</f>
        <v/>
      </c>
      <c r="L185" s="12"/>
      <c r="M185" s="12"/>
      <c r="N185" s="12"/>
    </row>
    <row r="186" customFormat="false" ht="15" hidden="false" customHeight="false" outlineLevel="0" collapsed="false">
      <c r="A186" s="16"/>
      <c r="B186" s="12"/>
      <c r="C186" s="18" t="str">
        <f aca="false">IF(B186="","",IFERROR(INDEX(Inventario!$B$7:$B$46,MATCH(B186,Inventario!$A$7:$A$46,0)),"Clave no existe"))</f>
        <v/>
      </c>
      <c r="D186" s="18" t="str">
        <f aca="false">IF(B186="","",IFERROR(INDEX(Inventario!$C$7:$C$46,MATCH(B186,Inventario!$A$7:$A$46,0)),""))</f>
        <v/>
      </c>
      <c r="E186" s="19"/>
      <c r="F186" s="19"/>
      <c r="G186" s="20" t="str">
        <f aca="false">IF(OR(E186="",F186=""),IF(B186="","",IF(A186="","",8)),F186-E186)</f>
        <v/>
      </c>
      <c r="H186" s="14"/>
      <c r="I186" s="12"/>
      <c r="J186" s="14"/>
      <c r="K186" s="20" t="str">
        <f aca="false">IF(OR(J186="",N(G186)=0),"",J186/G186)</f>
        <v/>
      </c>
      <c r="L186" s="12"/>
      <c r="M186" s="12"/>
      <c r="N186" s="12"/>
    </row>
    <row r="187" customFormat="false" ht="15" hidden="false" customHeight="false" outlineLevel="0" collapsed="false">
      <c r="A187" s="16"/>
      <c r="B187" s="12"/>
      <c r="C187" s="18" t="str">
        <f aca="false">IF(B187="","",IFERROR(INDEX(Inventario!$B$7:$B$46,MATCH(B187,Inventario!$A$7:$A$46,0)),"Clave no existe"))</f>
        <v/>
      </c>
      <c r="D187" s="18" t="str">
        <f aca="false">IF(B187="","",IFERROR(INDEX(Inventario!$C$7:$C$46,MATCH(B187,Inventario!$A$7:$A$46,0)),""))</f>
        <v/>
      </c>
      <c r="E187" s="19"/>
      <c r="F187" s="19"/>
      <c r="G187" s="20" t="str">
        <f aca="false">IF(OR(E187="",F187=""),IF(B187="","",IF(A187="","",8)),F187-E187)</f>
        <v/>
      </c>
      <c r="H187" s="14"/>
      <c r="I187" s="12"/>
      <c r="J187" s="14"/>
      <c r="K187" s="20" t="str">
        <f aca="false">IF(OR(J187="",N(G187)=0),"",J187/G187)</f>
        <v/>
      </c>
      <c r="L187" s="12"/>
      <c r="M187" s="12"/>
      <c r="N187" s="12"/>
    </row>
    <row r="188" customFormat="false" ht="15" hidden="false" customHeight="false" outlineLevel="0" collapsed="false">
      <c r="A188" s="16"/>
      <c r="B188" s="12"/>
      <c r="C188" s="18" t="str">
        <f aca="false">IF(B188="","",IFERROR(INDEX(Inventario!$B$7:$B$46,MATCH(B188,Inventario!$A$7:$A$46,0)),"Clave no existe"))</f>
        <v/>
      </c>
      <c r="D188" s="18" t="str">
        <f aca="false">IF(B188="","",IFERROR(INDEX(Inventario!$C$7:$C$46,MATCH(B188,Inventario!$A$7:$A$46,0)),""))</f>
        <v/>
      </c>
      <c r="E188" s="19"/>
      <c r="F188" s="19"/>
      <c r="G188" s="20" t="str">
        <f aca="false">IF(OR(E188="",F188=""),IF(B188="","",IF(A188="","",8)),F188-E188)</f>
        <v/>
      </c>
      <c r="H188" s="14"/>
      <c r="I188" s="12"/>
      <c r="J188" s="14"/>
      <c r="K188" s="20" t="str">
        <f aca="false">IF(OR(J188="",N(G188)=0),"",J188/G188)</f>
        <v/>
      </c>
      <c r="L188" s="12"/>
      <c r="M188" s="12"/>
      <c r="N188" s="12"/>
    </row>
    <row r="189" customFormat="false" ht="15" hidden="false" customHeight="false" outlineLevel="0" collapsed="false">
      <c r="A189" s="16"/>
      <c r="B189" s="12"/>
      <c r="C189" s="18" t="str">
        <f aca="false">IF(B189="","",IFERROR(INDEX(Inventario!$B$7:$B$46,MATCH(B189,Inventario!$A$7:$A$46,0)),"Clave no existe"))</f>
        <v/>
      </c>
      <c r="D189" s="18" t="str">
        <f aca="false">IF(B189="","",IFERROR(INDEX(Inventario!$C$7:$C$46,MATCH(B189,Inventario!$A$7:$A$46,0)),""))</f>
        <v/>
      </c>
      <c r="E189" s="19"/>
      <c r="F189" s="19"/>
      <c r="G189" s="20" t="str">
        <f aca="false">IF(OR(E189="",F189=""),IF(B189="","",IF(A189="","",8)),F189-E189)</f>
        <v/>
      </c>
      <c r="H189" s="14"/>
      <c r="I189" s="12"/>
      <c r="J189" s="14"/>
      <c r="K189" s="20" t="str">
        <f aca="false">IF(OR(J189="",N(G189)=0),"",J189/G189)</f>
        <v/>
      </c>
      <c r="L189" s="12"/>
      <c r="M189" s="12"/>
      <c r="N189" s="12"/>
    </row>
    <row r="190" customFormat="false" ht="15" hidden="false" customHeight="false" outlineLevel="0" collapsed="false">
      <c r="A190" s="16"/>
      <c r="B190" s="12"/>
      <c r="C190" s="18" t="str">
        <f aca="false">IF(B190="","",IFERROR(INDEX(Inventario!$B$7:$B$46,MATCH(B190,Inventario!$A$7:$A$46,0)),"Clave no existe"))</f>
        <v/>
      </c>
      <c r="D190" s="18" t="str">
        <f aca="false">IF(B190="","",IFERROR(INDEX(Inventario!$C$7:$C$46,MATCH(B190,Inventario!$A$7:$A$46,0)),""))</f>
        <v/>
      </c>
      <c r="E190" s="19"/>
      <c r="F190" s="19"/>
      <c r="G190" s="20" t="str">
        <f aca="false">IF(OR(E190="",F190=""),IF(B190="","",IF(A190="","",8)),F190-E190)</f>
        <v/>
      </c>
      <c r="H190" s="14"/>
      <c r="I190" s="12"/>
      <c r="J190" s="14"/>
      <c r="K190" s="20" t="str">
        <f aca="false">IF(OR(J190="",N(G190)=0),"",J190/G190)</f>
        <v/>
      </c>
      <c r="L190" s="12"/>
      <c r="M190" s="12"/>
      <c r="N190" s="12"/>
    </row>
    <row r="191" customFormat="false" ht="15" hidden="false" customHeight="false" outlineLevel="0" collapsed="false">
      <c r="A191" s="16"/>
      <c r="B191" s="12"/>
      <c r="C191" s="18" t="str">
        <f aca="false">IF(B191="","",IFERROR(INDEX(Inventario!$B$7:$B$46,MATCH(B191,Inventario!$A$7:$A$46,0)),"Clave no existe"))</f>
        <v/>
      </c>
      <c r="D191" s="18" t="str">
        <f aca="false">IF(B191="","",IFERROR(INDEX(Inventario!$C$7:$C$46,MATCH(B191,Inventario!$A$7:$A$46,0)),""))</f>
        <v/>
      </c>
      <c r="E191" s="19"/>
      <c r="F191" s="19"/>
      <c r="G191" s="20" t="str">
        <f aca="false">IF(OR(E191="",F191=""),IF(B191="","",IF(A191="","",8)),F191-E191)</f>
        <v/>
      </c>
      <c r="H191" s="14"/>
      <c r="I191" s="12"/>
      <c r="J191" s="14"/>
      <c r="K191" s="20" t="str">
        <f aca="false">IF(OR(J191="",N(G191)=0),"",J191/G191)</f>
        <v/>
      </c>
      <c r="L191" s="12"/>
      <c r="M191" s="12"/>
      <c r="N191" s="12"/>
    </row>
    <row r="192" customFormat="false" ht="15" hidden="false" customHeight="false" outlineLevel="0" collapsed="false">
      <c r="A192" s="16"/>
      <c r="B192" s="12"/>
      <c r="C192" s="18" t="str">
        <f aca="false">IF(B192="","",IFERROR(INDEX(Inventario!$B$7:$B$46,MATCH(B192,Inventario!$A$7:$A$46,0)),"Clave no existe"))</f>
        <v/>
      </c>
      <c r="D192" s="18" t="str">
        <f aca="false">IF(B192="","",IFERROR(INDEX(Inventario!$C$7:$C$46,MATCH(B192,Inventario!$A$7:$A$46,0)),""))</f>
        <v/>
      </c>
      <c r="E192" s="19"/>
      <c r="F192" s="19"/>
      <c r="G192" s="20" t="str">
        <f aca="false">IF(OR(E192="",F192=""),IF(B192="","",IF(A192="","",8)),F192-E192)</f>
        <v/>
      </c>
      <c r="H192" s="14"/>
      <c r="I192" s="12"/>
      <c r="J192" s="14"/>
      <c r="K192" s="20" t="str">
        <f aca="false">IF(OR(J192="",N(G192)=0),"",J192/G192)</f>
        <v/>
      </c>
      <c r="L192" s="12"/>
      <c r="M192" s="12"/>
      <c r="N192" s="12"/>
    </row>
    <row r="193" customFormat="false" ht="15" hidden="false" customHeight="false" outlineLevel="0" collapsed="false">
      <c r="A193" s="16"/>
      <c r="B193" s="12"/>
      <c r="C193" s="18" t="str">
        <f aca="false">IF(B193="","",IFERROR(INDEX(Inventario!$B$7:$B$46,MATCH(B193,Inventario!$A$7:$A$46,0)),"Clave no existe"))</f>
        <v/>
      </c>
      <c r="D193" s="18" t="str">
        <f aca="false">IF(B193="","",IFERROR(INDEX(Inventario!$C$7:$C$46,MATCH(B193,Inventario!$A$7:$A$46,0)),""))</f>
        <v/>
      </c>
      <c r="E193" s="19"/>
      <c r="F193" s="19"/>
      <c r="G193" s="20" t="str">
        <f aca="false">IF(OR(E193="",F193=""),IF(B193="","",IF(A193="","",8)),F193-E193)</f>
        <v/>
      </c>
      <c r="H193" s="14"/>
      <c r="I193" s="12"/>
      <c r="J193" s="14"/>
      <c r="K193" s="20" t="str">
        <f aca="false">IF(OR(J193="",N(G193)=0),"",J193/G193)</f>
        <v/>
      </c>
      <c r="L193" s="12"/>
      <c r="M193" s="12"/>
      <c r="N193" s="12"/>
    </row>
    <row r="194" customFormat="false" ht="15" hidden="false" customHeight="false" outlineLevel="0" collapsed="false">
      <c r="A194" s="16"/>
      <c r="B194" s="12"/>
      <c r="C194" s="18" t="str">
        <f aca="false">IF(B194="","",IFERROR(INDEX(Inventario!$B$7:$B$46,MATCH(B194,Inventario!$A$7:$A$46,0)),"Clave no existe"))</f>
        <v/>
      </c>
      <c r="D194" s="18" t="str">
        <f aca="false">IF(B194="","",IFERROR(INDEX(Inventario!$C$7:$C$46,MATCH(B194,Inventario!$A$7:$A$46,0)),""))</f>
        <v/>
      </c>
      <c r="E194" s="19"/>
      <c r="F194" s="19"/>
      <c r="G194" s="20" t="str">
        <f aca="false">IF(OR(E194="",F194=""),IF(B194="","",IF(A194="","",8)),F194-E194)</f>
        <v/>
      </c>
      <c r="H194" s="14"/>
      <c r="I194" s="12"/>
      <c r="J194" s="14"/>
      <c r="K194" s="20" t="str">
        <f aca="false">IF(OR(J194="",N(G194)=0),"",J194/G194)</f>
        <v/>
      </c>
      <c r="L194" s="12"/>
      <c r="M194" s="12"/>
      <c r="N194" s="12"/>
    </row>
    <row r="195" customFormat="false" ht="15" hidden="false" customHeight="false" outlineLevel="0" collapsed="false">
      <c r="A195" s="16"/>
      <c r="B195" s="12"/>
      <c r="C195" s="18" t="str">
        <f aca="false">IF(B195="","",IFERROR(INDEX(Inventario!$B$7:$B$46,MATCH(B195,Inventario!$A$7:$A$46,0)),"Clave no existe"))</f>
        <v/>
      </c>
      <c r="D195" s="18" t="str">
        <f aca="false">IF(B195="","",IFERROR(INDEX(Inventario!$C$7:$C$46,MATCH(B195,Inventario!$A$7:$A$46,0)),""))</f>
        <v/>
      </c>
      <c r="E195" s="19"/>
      <c r="F195" s="19"/>
      <c r="G195" s="20" t="str">
        <f aca="false">IF(OR(E195="",F195=""),IF(B195="","",IF(A195="","",8)),F195-E195)</f>
        <v/>
      </c>
      <c r="H195" s="14"/>
      <c r="I195" s="12"/>
      <c r="J195" s="14"/>
      <c r="K195" s="20" t="str">
        <f aca="false">IF(OR(J195="",N(G195)=0),"",J195/G195)</f>
        <v/>
      </c>
      <c r="L195" s="12"/>
      <c r="M195" s="12"/>
      <c r="N195" s="12"/>
    </row>
    <row r="196" customFormat="false" ht="15" hidden="false" customHeight="false" outlineLevel="0" collapsed="false">
      <c r="A196" s="16"/>
      <c r="B196" s="12"/>
      <c r="C196" s="18" t="str">
        <f aca="false">IF(B196="","",IFERROR(INDEX(Inventario!$B$7:$B$46,MATCH(B196,Inventario!$A$7:$A$46,0)),"Clave no existe"))</f>
        <v/>
      </c>
      <c r="D196" s="18" t="str">
        <f aca="false">IF(B196="","",IFERROR(INDEX(Inventario!$C$7:$C$46,MATCH(B196,Inventario!$A$7:$A$46,0)),""))</f>
        <v/>
      </c>
      <c r="E196" s="19"/>
      <c r="F196" s="19"/>
      <c r="G196" s="20" t="str">
        <f aca="false">IF(OR(E196="",F196=""),IF(B196="","",IF(A196="","",8)),F196-E196)</f>
        <v/>
      </c>
      <c r="H196" s="14"/>
      <c r="I196" s="12"/>
      <c r="J196" s="14"/>
      <c r="K196" s="20" t="str">
        <f aca="false">IF(OR(J196="",N(G196)=0),"",J196/G196)</f>
        <v/>
      </c>
      <c r="L196" s="12"/>
      <c r="M196" s="12"/>
      <c r="N196" s="12"/>
    </row>
    <row r="197" customFormat="false" ht="15" hidden="false" customHeight="false" outlineLevel="0" collapsed="false">
      <c r="A197" s="16"/>
      <c r="B197" s="12"/>
      <c r="C197" s="18" t="str">
        <f aca="false">IF(B197="","",IFERROR(INDEX(Inventario!$B$7:$B$46,MATCH(B197,Inventario!$A$7:$A$46,0)),"Clave no existe"))</f>
        <v/>
      </c>
      <c r="D197" s="18" t="str">
        <f aca="false">IF(B197="","",IFERROR(INDEX(Inventario!$C$7:$C$46,MATCH(B197,Inventario!$A$7:$A$46,0)),""))</f>
        <v/>
      </c>
      <c r="E197" s="19"/>
      <c r="F197" s="19"/>
      <c r="G197" s="20" t="str">
        <f aca="false">IF(OR(E197="",F197=""),IF(B197="","",IF(A197="","",8)),F197-E197)</f>
        <v/>
      </c>
      <c r="H197" s="14"/>
      <c r="I197" s="12"/>
      <c r="J197" s="14"/>
      <c r="K197" s="20" t="str">
        <f aca="false">IF(OR(J197="",N(G197)=0),"",J197/G197)</f>
        <v/>
      </c>
      <c r="L197" s="12"/>
      <c r="M197" s="12"/>
      <c r="N197" s="12"/>
    </row>
    <row r="198" customFormat="false" ht="15" hidden="false" customHeight="false" outlineLevel="0" collapsed="false">
      <c r="A198" s="16"/>
      <c r="B198" s="12"/>
      <c r="C198" s="18" t="str">
        <f aca="false">IF(B198="","",IFERROR(INDEX(Inventario!$B$7:$B$46,MATCH(B198,Inventario!$A$7:$A$46,0)),"Clave no existe"))</f>
        <v/>
      </c>
      <c r="D198" s="18" t="str">
        <f aca="false">IF(B198="","",IFERROR(INDEX(Inventario!$C$7:$C$46,MATCH(B198,Inventario!$A$7:$A$46,0)),""))</f>
        <v/>
      </c>
      <c r="E198" s="19"/>
      <c r="F198" s="19"/>
      <c r="G198" s="20" t="str">
        <f aca="false">IF(OR(E198="",F198=""),IF(B198="","",IF(A198="","",8)),F198-E198)</f>
        <v/>
      </c>
      <c r="H198" s="14"/>
      <c r="I198" s="12"/>
      <c r="J198" s="14"/>
      <c r="K198" s="20" t="str">
        <f aca="false">IF(OR(J198="",N(G198)=0),"",J198/G198)</f>
        <v/>
      </c>
      <c r="L198" s="12"/>
      <c r="M198" s="12"/>
      <c r="N198" s="12"/>
    </row>
    <row r="199" customFormat="false" ht="15" hidden="false" customHeight="false" outlineLevel="0" collapsed="false">
      <c r="A199" s="16"/>
      <c r="B199" s="12"/>
      <c r="C199" s="18" t="str">
        <f aca="false">IF(B199="","",IFERROR(INDEX(Inventario!$B$7:$B$46,MATCH(B199,Inventario!$A$7:$A$46,0)),"Clave no existe"))</f>
        <v/>
      </c>
      <c r="D199" s="18" t="str">
        <f aca="false">IF(B199="","",IFERROR(INDEX(Inventario!$C$7:$C$46,MATCH(B199,Inventario!$A$7:$A$46,0)),""))</f>
        <v/>
      </c>
      <c r="E199" s="19"/>
      <c r="F199" s="19"/>
      <c r="G199" s="20" t="str">
        <f aca="false">IF(OR(E199="",F199=""),IF(B199="","",IF(A199="","",8)),F199-E199)</f>
        <v/>
      </c>
      <c r="H199" s="14"/>
      <c r="I199" s="12"/>
      <c r="J199" s="14"/>
      <c r="K199" s="20" t="str">
        <f aca="false">IF(OR(J199="",N(G199)=0),"",J199/G199)</f>
        <v/>
      </c>
      <c r="L199" s="12"/>
      <c r="M199" s="12"/>
      <c r="N199" s="12"/>
    </row>
    <row r="200" customFormat="false" ht="15" hidden="false" customHeight="false" outlineLevel="0" collapsed="false">
      <c r="A200" s="16"/>
      <c r="B200" s="12"/>
      <c r="C200" s="18" t="str">
        <f aca="false">IF(B200="","",IFERROR(INDEX(Inventario!$B$7:$B$46,MATCH(B200,Inventario!$A$7:$A$46,0)),"Clave no existe"))</f>
        <v/>
      </c>
      <c r="D200" s="18" t="str">
        <f aca="false">IF(B200="","",IFERROR(INDEX(Inventario!$C$7:$C$46,MATCH(B200,Inventario!$A$7:$A$46,0)),""))</f>
        <v/>
      </c>
      <c r="E200" s="19"/>
      <c r="F200" s="19"/>
      <c r="G200" s="20" t="str">
        <f aca="false">IF(OR(E200="",F200=""),IF(B200="","",IF(A200="","",8)),F200-E200)</f>
        <v/>
      </c>
      <c r="H200" s="14"/>
      <c r="I200" s="12"/>
      <c r="J200" s="14"/>
      <c r="K200" s="20" t="str">
        <f aca="false">IF(OR(J200="",N(G200)=0),"",J200/G200)</f>
        <v/>
      </c>
      <c r="L200" s="12"/>
      <c r="M200" s="12"/>
      <c r="N200" s="12"/>
    </row>
    <row r="201" customFormat="false" ht="15" hidden="false" customHeight="false" outlineLevel="0" collapsed="false">
      <c r="A201" s="16"/>
      <c r="B201" s="12"/>
      <c r="C201" s="18" t="str">
        <f aca="false">IF(B201="","",IFERROR(INDEX(Inventario!$B$7:$B$46,MATCH(B201,Inventario!$A$7:$A$46,0)),"Clave no existe"))</f>
        <v/>
      </c>
      <c r="D201" s="18" t="str">
        <f aca="false">IF(B201="","",IFERROR(INDEX(Inventario!$C$7:$C$46,MATCH(B201,Inventario!$A$7:$A$46,0)),""))</f>
        <v/>
      </c>
      <c r="E201" s="19"/>
      <c r="F201" s="19"/>
      <c r="G201" s="20" t="str">
        <f aca="false">IF(OR(E201="",F201=""),IF(B201="","",IF(A201="","",8)),F201-E201)</f>
        <v/>
      </c>
      <c r="H201" s="14"/>
      <c r="I201" s="12"/>
      <c r="J201" s="14"/>
      <c r="K201" s="20" t="str">
        <f aca="false">IF(OR(J201="",N(G201)=0),"",J201/G201)</f>
        <v/>
      </c>
      <c r="L201" s="12"/>
      <c r="M201" s="12"/>
      <c r="N201" s="12"/>
    </row>
    <row r="202" customFormat="false" ht="15" hidden="false" customHeight="false" outlineLevel="0" collapsed="false">
      <c r="A202" s="16"/>
      <c r="B202" s="12"/>
      <c r="C202" s="18" t="str">
        <f aca="false">IF(B202="","",IFERROR(INDEX(Inventario!$B$7:$B$46,MATCH(B202,Inventario!$A$7:$A$46,0)),"Clave no existe"))</f>
        <v/>
      </c>
      <c r="D202" s="18" t="str">
        <f aca="false">IF(B202="","",IFERROR(INDEX(Inventario!$C$7:$C$46,MATCH(B202,Inventario!$A$7:$A$46,0)),""))</f>
        <v/>
      </c>
      <c r="E202" s="19"/>
      <c r="F202" s="19"/>
      <c r="G202" s="20" t="str">
        <f aca="false">IF(OR(E202="",F202=""),IF(B202="","",IF(A202="","",8)),F202-E202)</f>
        <v/>
      </c>
      <c r="H202" s="14"/>
      <c r="I202" s="12"/>
      <c r="J202" s="14"/>
      <c r="K202" s="20" t="str">
        <f aca="false">IF(OR(J202="",N(G202)=0),"",J202/G202)</f>
        <v/>
      </c>
      <c r="L202" s="12"/>
      <c r="M202" s="12"/>
      <c r="N202" s="12"/>
    </row>
    <row r="203" customFormat="false" ht="15" hidden="false" customHeight="false" outlineLevel="0" collapsed="false">
      <c r="A203" s="16"/>
      <c r="B203" s="12"/>
      <c r="C203" s="18" t="str">
        <f aca="false">IF(B203="","",IFERROR(INDEX(Inventario!$B$7:$B$46,MATCH(B203,Inventario!$A$7:$A$46,0)),"Clave no existe"))</f>
        <v/>
      </c>
      <c r="D203" s="18" t="str">
        <f aca="false">IF(B203="","",IFERROR(INDEX(Inventario!$C$7:$C$46,MATCH(B203,Inventario!$A$7:$A$46,0)),""))</f>
        <v/>
      </c>
      <c r="E203" s="19"/>
      <c r="F203" s="19"/>
      <c r="G203" s="20" t="str">
        <f aca="false">IF(OR(E203="",F203=""),IF(B203="","",IF(A203="","",8)),F203-E203)</f>
        <v/>
      </c>
      <c r="H203" s="14"/>
      <c r="I203" s="12"/>
      <c r="J203" s="14"/>
      <c r="K203" s="20" t="str">
        <f aca="false">IF(OR(J203="",N(G203)=0),"",J203/G203)</f>
        <v/>
      </c>
      <c r="L203" s="12"/>
      <c r="M203" s="12"/>
      <c r="N203" s="12"/>
    </row>
    <row r="204" customFormat="false" ht="15" hidden="false" customHeight="false" outlineLevel="0" collapsed="false">
      <c r="A204" s="16"/>
      <c r="B204" s="12"/>
      <c r="C204" s="18" t="str">
        <f aca="false">IF(B204="","",IFERROR(INDEX(Inventario!$B$7:$B$46,MATCH(B204,Inventario!$A$7:$A$46,0)),"Clave no existe"))</f>
        <v/>
      </c>
      <c r="D204" s="18" t="str">
        <f aca="false">IF(B204="","",IFERROR(INDEX(Inventario!$C$7:$C$46,MATCH(B204,Inventario!$A$7:$A$46,0)),""))</f>
        <v/>
      </c>
      <c r="E204" s="19"/>
      <c r="F204" s="19"/>
      <c r="G204" s="20" t="str">
        <f aca="false">IF(OR(E204="",F204=""),IF(B204="","",IF(A204="","",8)),F204-E204)</f>
        <v/>
      </c>
      <c r="H204" s="14"/>
      <c r="I204" s="12"/>
      <c r="J204" s="14"/>
      <c r="K204" s="20" t="str">
        <f aca="false">IF(OR(J204="",N(G204)=0),"",J204/G204)</f>
        <v/>
      </c>
      <c r="L204" s="12"/>
      <c r="M204" s="12"/>
      <c r="N204" s="12"/>
    </row>
    <row r="205" customFormat="false" ht="15" hidden="false" customHeight="false" outlineLevel="0" collapsed="false">
      <c r="A205" s="16"/>
      <c r="B205" s="12"/>
      <c r="C205" s="18" t="str">
        <f aca="false">IF(B205="","",IFERROR(INDEX(Inventario!$B$7:$B$46,MATCH(B205,Inventario!$A$7:$A$46,0)),"Clave no existe"))</f>
        <v/>
      </c>
      <c r="D205" s="18" t="str">
        <f aca="false">IF(B205="","",IFERROR(INDEX(Inventario!$C$7:$C$46,MATCH(B205,Inventario!$A$7:$A$46,0)),""))</f>
        <v/>
      </c>
      <c r="E205" s="19"/>
      <c r="F205" s="19"/>
      <c r="G205" s="20" t="str">
        <f aca="false">IF(OR(E205="",F205=""),IF(B205="","",IF(A205="","",8)),F205-E205)</f>
        <v/>
      </c>
      <c r="H205" s="14"/>
      <c r="I205" s="12"/>
      <c r="J205" s="14"/>
      <c r="K205" s="20" t="str">
        <f aca="false">IF(OR(J205="",N(G205)=0),"",J205/G205)</f>
        <v/>
      </c>
      <c r="L205" s="12"/>
      <c r="M205" s="12"/>
      <c r="N205" s="12"/>
    </row>
    <row r="206" customFormat="false" ht="15" hidden="false" customHeight="false" outlineLevel="0" collapsed="false">
      <c r="A206" s="16"/>
      <c r="B206" s="12"/>
      <c r="C206" s="18" t="str">
        <f aca="false">IF(B206="","",IFERROR(INDEX(Inventario!$B$7:$B$46,MATCH(B206,Inventario!$A$7:$A$46,0)),"Clave no existe"))</f>
        <v/>
      </c>
      <c r="D206" s="18" t="str">
        <f aca="false">IF(B206="","",IFERROR(INDEX(Inventario!$C$7:$C$46,MATCH(B206,Inventario!$A$7:$A$46,0)),""))</f>
        <v/>
      </c>
      <c r="E206" s="19"/>
      <c r="F206" s="19"/>
      <c r="G206" s="20" t="str">
        <f aca="false">IF(OR(E206="",F206=""),IF(B206="","",IF(A206="","",8)),F206-E206)</f>
        <v/>
      </c>
      <c r="H206" s="14"/>
      <c r="I206" s="12"/>
      <c r="J206" s="14"/>
      <c r="K206" s="20" t="str">
        <f aca="false">IF(OR(J206="",N(G206)=0),"",J206/G206)</f>
        <v/>
      </c>
      <c r="L206" s="12"/>
      <c r="M206" s="12"/>
      <c r="N206" s="12"/>
    </row>
    <row r="207" customFormat="false" ht="15" hidden="false" customHeight="false" outlineLevel="0" collapsed="false">
      <c r="A207" s="16"/>
      <c r="B207" s="12"/>
      <c r="C207" s="18" t="str">
        <f aca="false">IF(B207="","",IFERROR(INDEX(Inventario!$B$7:$B$46,MATCH(B207,Inventario!$A$7:$A$46,0)),"Clave no existe"))</f>
        <v/>
      </c>
      <c r="D207" s="18" t="str">
        <f aca="false">IF(B207="","",IFERROR(INDEX(Inventario!$C$7:$C$46,MATCH(B207,Inventario!$A$7:$A$46,0)),""))</f>
        <v/>
      </c>
      <c r="E207" s="19"/>
      <c r="F207" s="19"/>
      <c r="G207" s="20" t="str">
        <f aca="false">IF(OR(E207="",F207=""),IF(B207="","",IF(A207="","",8)),F207-E207)</f>
        <v/>
      </c>
      <c r="H207" s="14"/>
      <c r="I207" s="12"/>
      <c r="J207" s="14"/>
      <c r="K207" s="20" t="str">
        <f aca="false">IF(OR(J207="",N(G207)=0),"",J207/G207)</f>
        <v/>
      </c>
      <c r="L207" s="12"/>
      <c r="M207" s="12"/>
      <c r="N207" s="12"/>
    </row>
    <row r="208" customFormat="false" ht="15" hidden="false" customHeight="false" outlineLevel="0" collapsed="false">
      <c r="A208" s="16"/>
      <c r="B208" s="12"/>
      <c r="C208" s="18" t="str">
        <f aca="false">IF(B208="","",IFERROR(INDEX(Inventario!$B$7:$B$46,MATCH(B208,Inventario!$A$7:$A$46,0)),"Clave no existe"))</f>
        <v/>
      </c>
      <c r="D208" s="18" t="str">
        <f aca="false">IF(B208="","",IFERROR(INDEX(Inventario!$C$7:$C$46,MATCH(B208,Inventario!$A$7:$A$46,0)),""))</f>
        <v/>
      </c>
      <c r="E208" s="19"/>
      <c r="F208" s="19"/>
      <c r="G208" s="20" t="str">
        <f aca="false">IF(OR(E208="",F208=""),IF(B208="","",IF(A208="","",8)),F208-E208)</f>
        <v/>
      </c>
      <c r="H208" s="14"/>
      <c r="I208" s="12"/>
      <c r="J208" s="14"/>
      <c r="K208" s="20" t="str">
        <f aca="false">IF(OR(J208="",N(G208)=0),"",J208/G208)</f>
        <v/>
      </c>
      <c r="L208" s="12"/>
      <c r="M208" s="12"/>
      <c r="N208" s="12"/>
    </row>
    <row r="209" customFormat="false" ht="15" hidden="false" customHeight="false" outlineLevel="0" collapsed="false">
      <c r="A209" s="16"/>
      <c r="B209" s="12"/>
      <c r="C209" s="18" t="str">
        <f aca="false">IF(B209="","",IFERROR(INDEX(Inventario!$B$7:$B$46,MATCH(B209,Inventario!$A$7:$A$46,0)),"Clave no existe"))</f>
        <v/>
      </c>
      <c r="D209" s="18" t="str">
        <f aca="false">IF(B209="","",IFERROR(INDEX(Inventario!$C$7:$C$46,MATCH(B209,Inventario!$A$7:$A$46,0)),""))</f>
        <v/>
      </c>
      <c r="E209" s="19"/>
      <c r="F209" s="19"/>
      <c r="G209" s="20" t="str">
        <f aca="false">IF(OR(E209="",F209=""),IF(B209="","",IF(A209="","",8)),F209-E209)</f>
        <v/>
      </c>
      <c r="H209" s="14"/>
      <c r="I209" s="12"/>
      <c r="J209" s="14"/>
      <c r="K209" s="20" t="str">
        <f aca="false">IF(OR(J209="",N(G209)=0),"",J209/G209)</f>
        <v/>
      </c>
      <c r="L209" s="12"/>
      <c r="M209" s="12"/>
      <c r="N209" s="12"/>
    </row>
    <row r="210" customFormat="false" ht="15" hidden="false" customHeight="false" outlineLevel="0" collapsed="false">
      <c r="A210" s="16"/>
      <c r="B210" s="12"/>
      <c r="C210" s="18" t="str">
        <f aca="false">IF(B210="","",IFERROR(INDEX(Inventario!$B$7:$B$46,MATCH(B210,Inventario!$A$7:$A$46,0)),"Clave no existe"))</f>
        <v/>
      </c>
      <c r="D210" s="18" t="str">
        <f aca="false">IF(B210="","",IFERROR(INDEX(Inventario!$C$7:$C$46,MATCH(B210,Inventario!$A$7:$A$46,0)),""))</f>
        <v/>
      </c>
      <c r="E210" s="19"/>
      <c r="F210" s="19"/>
      <c r="G210" s="20" t="str">
        <f aca="false">IF(OR(E210="",F210=""),IF(B210="","",IF(A210="","",8)),F210-E210)</f>
        <v/>
      </c>
      <c r="H210" s="14"/>
      <c r="I210" s="12"/>
      <c r="J210" s="14"/>
      <c r="K210" s="20" t="str">
        <f aca="false">IF(OR(J210="",N(G210)=0),"",J210/G210)</f>
        <v/>
      </c>
      <c r="L210" s="12"/>
      <c r="M210" s="12"/>
      <c r="N210" s="12"/>
    </row>
    <row r="211" customFormat="false" ht="15" hidden="false" customHeight="false" outlineLevel="0" collapsed="false">
      <c r="A211" s="16"/>
      <c r="B211" s="12"/>
      <c r="C211" s="18" t="str">
        <f aca="false">IF(B211="","",IFERROR(INDEX(Inventario!$B$7:$B$46,MATCH(B211,Inventario!$A$7:$A$46,0)),"Clave no existe"))</f>
        <v/>
      </c>
      <c r="D211" s="18" t="str">
        <f aca="false">IF(B211="","",IFERROR(INDEX(Inventario!$C$7:$C$46,MATCH(B211,Inventario!$A$7:$A$46,0)),""))</f>
        <v/>
      </c>
      <c r="E211" s="19"/>
      <c r="F211" s="19"/>
      <c r="G211" s="20" t="str">
        <f aca="false">IF(OR(E211="",F211=""),IF(B211="","",IF(A211="","",8)),F211-E211)</f>
        <v/>
      </c>
      <c r="H211" s="14"/>
      <c r="I211" s="12"/>
      <c r="J211" s="14"/>
      <c r="K211" s="20" t="str">
        <f aca="false">IF(OR(J211="",N(G211)=0),"",J211/G211)</f>
        <v/>
      </c>
      <c r="L211" s="12"/>
      <c r="M211" s="12"/>
      <c r="N211" s="12"/>
    </row>
    <row r="212" customFormat="false" ht="15" hidden="false" customHeight="false" outlineLevel="0" collapsed="false">
      <c r="A212" s="16"/>
      <c r="B212" s="12"/>
      <c r="C212" s="18" t="str">
        <f aca="false">IF(B212="","",IFERROR(INDEX(Inventario!$B$7:$B$46,MATCH(B212,Inventario!$A$7:$A$46,0)),"Clave no existe"))</f>
        <v/>
      </c>
      <c r="D212" s="18" t="str">
        <f aca="false">IF(B212="","",IFERROR(INDEX(Inventario!$C$7:$C$46,MATCH(B212,Inventario!$A$7:$A$46,0)),""))</f>
        <v/>
      </c>
      <c r="E212" s="19"/>
      <c r="F212" s="19"/>
      <c r="G212" s="20" t="str">
        <f aca="false">IF(OR(E212="",F212=""),IF(B212="","",IF(A212="","",8)),F212-E212)</f>
        <v/>
      </c>
      <c r="H212" s="14"/>
      <c r="I212" s="12"/>
      <c r="J212" s="14"/>
      <c r="K212" s="20" t="str">
        <f aca="false">IF(OR(J212="",N(G212)=0),"",J212/G212)</f>
        <v/>
      </c>
      <c r="L212" s="12"/>
      <c r="M212" s="12"/>
      <c r="N212" s="12"/>
    </row>
    <row r="213" customFormat="false" ht="15" hidden="false" customHeight="false" outlineLevel="0" collapsed="false">
      <c r="A213" s="16"/>
      <c r="B213" s="12"/>
      <c r="C213" s="18" t="str">
        <f aca="false">IF(B213="","",IFERROR(INDEX(Inventario!$B$7:$B$46,MATCH(B213,Inventario!$A$7:$A$46,0)),"Clave no existe"))</f>
        <v/>
      </c>
      <c r="D213" s="18" t="str">
        <f aca="false">IF(B213="","",IFERROR(INDEX(Inventario!$C$7:$C$46,MATCH(B213,Inventario!$A$7:$A$46,0)),""))</f>
        <v/>
      </c>
      <c r="E213" s="19"/>
      <c r="F213" s="19"/>
      <c r="G213" s="20" t="str">
        <f aca="false">IF(OR(E213="",F213=""),IF(B213="","",IF(A213="","",8)),F213-E213)</f>
        <v/>
      </c>
      <c r="H213" s="14"/>
      <c r="I213" s="12"/>
      <c r="J213" s="14"/>
      <c r="K213" s="20" t="str">
        <f aca="false">IF(OR(J213="",N(G213)=0),"",J213/G213)</f>
        <v/>
      </c>
      <c r="L213" s="12"/>
      <c r="M213" s="12"/>
      <c r="N213" s="12"/>
    </row>
    <row r="214" customFormat="false" ht="15" hidden="false" customHeight="false" outlineLevel="0" collapsed="false">
      <c r="A214" s="16"/>
      <c r="B214" s="12"/>
      <c r="C214" s="18" t="str">
        <f aca="false">IF(B214="","",IFERROR(INDEX(Inventario!$B$7:$B$46,MATCH(B214,Inventario!$A$7:$A$46,0)),"Clave no existe"))</f>
        <v/>
      </c>
      <c r="D214" s="18" t="str">
        <f aca="false">IF(B214="","",IFERROR(INDEX(Inventario!$C$7:$C$46,MATCH(B214,Inventario!$A$7:$A$46,0)),""))</f>
        <v/>
      </c>
      <c r="E214" s="19"/>
      <c r="F214" s="19"/>
      <c r="G214" s="20" t="str">
        <f aca="false">IF(OR(E214="",F214=""),IF(B214="","",IF(A214="","",8)),F214-E214)</f>
        <v/>
      </c>
      <c r="H214" s="14"/>
      <c r="I214" s="12"/>
      <c r="J214" s="14"/>
      <c r="K214" s="20" t="str">
        <f aca="false">IF(OR(J214="",N(G214)=0),"",J214/G214)</f>
        <v/>
      </c>
      <c r="L214" s="12"/>
      <c r="M214" s="12"/>
      <c r="N214" s="12"/>
    </row>
    <row r="215" customFormat="false" ht="15" hidden="false" customHeight="false" outlineLevel="0" collapsed="false">
      <c r="A215" s="16"/>
      <c r="B215" s="12"/>
      <c r="C215" s="18" t="str">
        <f aca="false">IF(B215="","",IFERROR(INDEX(Inventario!$B$7:$B$46,MATCH(B215,Inventario!$A$7:$A$46,0)),"Clave no existe"))</f>
        <v/>
      </c>
      <c r="D215" s="18" t="str">
        <f aca="false">IF(B215="","",IFERROR(INDEX(Inventario!$C$7:$C$46,MATCH(B215,Inventario!$A$7:$A$46,0)),""))</f>
        <v/>
      </c>
      <c r="E215" s="19"/>
      <c r="F215" s="19"/>
      <c r="G215" s="20" t="str">
        <f aca="false">IF(OR(E215="",F215=""),IF(B215="","",IF(A215="","",8)),F215-E215)</f>
        <v/>
      </c>
      <c r="H215" s="14"/>
      <c r="I215" s="12"/>
      <c r="J215" s="14"/>
      <c r="K215" s="20" t="str">
        <f aca="false">IF(OR(J215="",N(G215)=0),"",J215/G215)</f>
        <v/>
      </c>
      <c r="L215" s="12"/>
      <c r="M215" s="12"/>
      <c r="N215" s="12"/>
    </row>
    <row r="216" customFormat="false" ht="15" hidden="false" customHeight="false" outlineLevel="0" collapsed="false">
      <c r="A216" s="16"/>
      <c r="B216" s="12"/>
      <c r="C216" s="18" t="str">
        <f aca="false">IF(B216="","",IFERROR(INDEX(Inventario!$B$7:$B$46,MATCH(B216,Inventario!$A$7:$A$46,0)),"Clave no existe"))</f>
        <v/>
      </c>
      <c r="D216" s="18" t="str">
        <f aca="false">IF(B216="","",IFERROR(INDEX(Inventario!$C$7:$C$46,MATCH(B216,Inventario!$A$7:$A$46,0)),""))</f>
        <v/>
      </c>
      <c r="E216" s="19"/>
      <c r="F216" s="19"/>
      <c r="G216" s="20" t="str">
        <f aca="false">IF(OR(E216="",F216=""),IF(B216="","",IF(A216="","",8)),F216-E216)</f>
        <v/>
      </c>
      <c r="H216" s="14"/>
      <c r="I216" s="12"/>
      <c r="J216" s="14"/>
      <c r="K216" s="20" t="str">
        <f aca="false">IF(OR(J216="",N(G216)=0),"",J216/G216)</f>
        <v/>
      </c>
      <c r="L216" s="12"/>
      <c r="M216" s="12"/>
      <c r="N216" s="12"/>
    </row>
    <row r="217" customFormat="false" ht="15" hidden="false" customHeight="false" outlineLevel="0" collapsed="false">
      <c r="A217" s="16"/>
      <c r="B217" s="12"/>
      <c r="C217" s="18" t="str">
        <f aca="false">IF(B217="","",IFERROR(INDEX(Inventario!$B$7:$B$46,MATCH(B217,Inventario!$A$7:$A$46,0)),"Clave no existe"))</f>
        <v/>
      </c>
      <c r="D217" s="18" t="str">
        <f aca="false">IF(B217="","",IFERROR(INDEX(Inventario!$C$7:$C$46,MATCH(B217,Inventario!$A$7:$A$46,0)),""))</f>
        <v/>
      </c>
      <c r="E217" s="19"/>
      <c r="F217" s="19"/>
      <c r="G217" s="20" t="str">
        <f aca="false">IF(OR(E217="",F217=""),IF(B217="","",IF(A217="","",8)),F217-E217)</f>
        <v/>
      </c>
      <c r="H217" s="14"/>
      <c r="I217" s="12"/>
      <c r="J217" s="14"/>
      <c r="K217" s="20" t="str">
        <f aca="false">IF(OR(J217="",N(G217)=0),"",J217/G217)</f>
        <v/>
      </c>
      <c r="L217" s="12"/>
      <c r="M217" s="12"/>
      <c r="N217" s="12"/>
    </row>
    <row r="218" customFormat="false" ht="15" hidden="false" customHeight="false" outlineLevel="0" collapsed="false">
      <c r="A218" s="16"/>
      <c r="B218" s="12"/>
      <c r="C218" s="18" t="str">
        <f aca="false">IF(B218="","",IFERROR(INDEX(Inventario!$B$7:$B$46,MATCH(B218,Inventario!$A$7:$A$46,0)),"Clave no existe"))</f>
        <v/>
      </c>
      <c r="D218" s="18" t="str">
        <f aca="false">IF(B218="","",IFERROR(INDEX(Inventario!$C$7:$C$46,MATCH(B218,Inventario!$A$7:$A$46,0)),""))</f>
        <v/>
      </c>
      <c r="E218" s="19"/>
      <c r="F218" s="19"/>
      <c r="G218" s="20" t="str">
        <f aca="false">IF(OR(E218="",F218=""),IF(B218="","",IF(A218="","",8)),F218-E218)</f>
        <v/>
      </c>
      <c r="H218" s="14"/>
      <c r="I218" s="12"/>
      <c r="J218" s="14"/>
      <c r="K218" s="20" t="str">
        <f aca="false">IF(OR(J218="",N(G218)=0),"",J218/G218)</f>
        <v/>
      </c>
      <c r="L218" s="12"/>
      <c r="M218" s="12"/>
      <c r="N218" s="12"/>
    </row>
    <row r="219" customFormat="false" ht="15" hidden="false" customHeight="false" outlineLevel="0" collapsed="false">
      <c r="A219" s="16"/>
      <c r="B219" s="12"/>
      <c r="C219" s="18" t="str">
        <f aca="false">IF(B219="","",IFERROR(INDEX(Inventario!$B$7:$B$46,MATCH(B219,Inventario!$A$7:$A$46,0)),"Clave no existe"))</f>
        <v/>
      </c>
      <c r="D219" s="18" t="str">
        <f aca="false">IF(B219="","",IFERROR(INDEX(Inventario!$C$7:$C$46,MATCH(B219,Inventario!$A$7:$A$46,0)),""))</f>
        <v/>
      </c>
      <c r="E219" s="19"/>
      <c r="F219" s="19"/>
      <c r="G219" s="20" t="str">
        <f aca="false">IF(OR(E219="",F219=""),IF(B219="","",IF(A219="","",8)),F219-E219)</f>
        <v/>
      </c>
      <c r="H219" s="14"/>
      <c r="I219" s="12"/>
      <c r="J219" s="14"/>
      <c r="K219" s="20" t="str">
        <f aca="false">IF(OR(J219="",N(G219)=0),"",J219/G219)</f>
        <v/>
      </c>
      <c r="L219" s="12"/>
      <c r="M219" s="12"/>
      <c r="N219" s="12"/>
    </row>
    <row r="220" customFormat="false" ht="15" hidden="false" customHeight="false" outlineLevel="0" collapsed="false">
      <c r="A220" s="16"/>
      <c r="B220" s="12"/>
      <c r="C220" s="18" t="str">
        <f aca="false">IF(B220="","",IFERROR(INDEX(Inventario!$B$7:$B$46,MATCH(B220,Inventario!$A$7:$A$46,0)),"Clave no existe"))</f>
        <v/>
      </c>
      <c r="D220" s="18" t="str">
        <f aca="false">IF(B220="","",IFERROR(INDEX(Inventario!$C$7:$C$46,MATCH(B220,Inventario!$A$7:$A$46,0)),""))</f>
        <v/>
      </c>
      <c r="E220" s="19"/>
      <c r="F220" s="19"/>
      <c r="G220" s="20" t="str">
        <f aca="false">IF(OR(E220="",F220=""),IF(B220="","",IF(A220="","",8)),F220-E220)</f>
        <v/>
      </c>
      <c r="H220" s="14"/>
      <c r="I220" s="12"/>
      <c r="J220" s="14"/>
      <c r="K220" s="20" t="str">
        <f aca="false">IF(OR(J220="",N(G220)=0),"",J220/G220)</f>
        <v/>
      </c>
      <c r="L220" s="12"/>
      <c r="M220" s="12"/>
      <c r="N220" s="12"/>
    </row>
    <row r="221" customFormat="false" ht="15" hidden="false" customHeight="false" outlineLevel="0" collapsed="false">
      <c r="A221" s="16"/>
      <c r="B221" s="12"/>
      <c r="C221" s="18" t="str">
        <f aca="false">IF(B221="","",IFERROR(INDEX(Inventario!$B$7:$B$46,MATCH(B221,Inventario!$A$7:$A$46,0)),"Clave no existe"))</f>
        <v/>
      </c>
      <c r="D221" s="18" t="str">
        <f aca="false">IF(B221="","",IFERROR(INDEX(Inventario!$C$7:$C$46,MATCH(B221,Inventario!$A$7:$A$46,0)),""))</f>
        <v/>
      </c>
      <c r="E221" s="19"/>
      <c r="F221" s="19"/>
      <c r="G221" s="20" t="str">
        <f aca="false">IF(OR(E221="",F221=""),IF(B221="","",IF(A221="","",8)),F221-E221)</f>
        <v/>
      </c>
      <c r="H221" s="14"/>
      <c r="I221" s="12"/>
      <c r="J221" s="14"/>
      <c r="K221" s="20" t="str">
        <f aca="false">IF(OR(J221="",N(G221)=0),"",J221/G221)</f>
        <v/>
      </c>
      <c r="L221" s="12"/>
      <c r="M221" s="12"/>
      <c r="N221" s="12"/>
    </row>
    <row r="222" customFormat="false" ht="15" hidden="false" customHeight="false" outlineLevel="0" collapsed="false">
      <c r="A222" s="16"/>
      <c r="B222" s="12"/>
      <c r="C222" s="18" t="str">
        <f aca="false">IF(B222="","",IFERROR(INDEX(Inventario!$B$7:$B$46,MATCH(B222,Inventario!$A$7:$A$46,0)),"Clave no existe"))</f>
        <v/>
      </c>
      <c r="D222" s="18" t="str">
        <f aca="false">IF(B222="","",IFERROR(INDEX(Inventario!$C$7:$C$46,MATCH(B222,Inventario!$A$7:$A$46,0)),""))</f>
        <v/>
      </c>
      <c r="E222" s="19"/>
      <c r="F222" s="19"/>
      <c r="G222" s="20" t="str">
        <f aca="false">IF(OR(E222="",F222=""),IF(B222="","",IF(A222="","",8)),F222-E222)</f>
        <v/>
      </c>
      <c r="H222" s="14"/>
      <c r="I222" s="12"/>
      <c r="J222" s="14"/>
      <c r="K222" s="20" t="str">
        <f aca="false">IF(OR(J222="",N(G222)=0),"",J222/G222)</f>
        <v/>
      </c>
      <c r="L222" s="12"/>
      <c r="M222" s="12"/>
      <c r="N222" s="12"/>
    </row>
    <row r="223" customFormat="false" ht="15" hidden="false" customHeight="false" outlineLevel="0" collapsed="false">
      <c r="A223" s="16"/>
      <c r="B223" s="12"/>
      <c r="C223" s="18" t="str">
        <f aca="false">IF(B223="","",IFERROR(INDEX(Inventario!$B$7:$B$46,MATCH(B223,Inventario!$A$7:$A$46,0)),"Clave no existe"))</f>
        <v/>
      </c>
      <c r="D223" s="18" t="str">
        <f aca="false">IF(B223="","",IFERROR(INDEX(Inventario!$C$7:$C$46,MATCH(B223,Inventario!$A$7:$A$46,0)),""))</f>
        <v/>
      </c>
      <c r="E223" s="19"/>
      <c r="F223" s="19"/>
      <c r="G223" s="20" t="str">
        <f aca="false">IF(OR(E223="",F223=""),IF(B223="","",IF(A223="","",8)),F223-E223)</f>
        <v/>
      </c>
      <c r="H223" s="14"/>
      <c r="I223" s="12"/>
      <c r="J223" s="14"/>
      <c r="K223" s="20" t="str">
        <f aca="false">IF(OR(J223="",N(G223)=0),"",J223/G223)</f>
        <v/>
      </c>
      <c r="L223" s="12"/>
      <c r="M223" s="12"/>
      <c r="N223" s="12"/>
    </row>
    <row r="224" customFormat="false" ht="15" hidden="false" customHeight="false" outlineLevel="0" collapsed="false">
      <c r="A224" s="16"/>
      <c r="B224" s="12"/>
      <c r="C224" s="18" t="str">
        <f aca="false">IF(B224="","",IFERROR(INDEX(Inventario!$B$7:$B$46,MATCH(B224,Inventario!$A$7:$A$46,0)),"Clave no existe"))</f>
        <v/>
      </c>
      <c r="D224" s="18" t="str">
        <f aca="false">IF(B224="","",IFERROR(INDEX(Inventario!$C$7:$C$46,MATCH(B224,Inventario!$A$7:$A$46,0)),""))</f>
        <v/>
      </c>
      <c r="E224" s="19"/>
      <c r="F224" s="19"/>
      <c r="G224" s="20" t="str">
        <f aca="false">IF(OR(E224="",F224=""),IF(B224="","",IF(A224="","",8)),F224-E224)</f>
        <v/>
      </c>
      <c r="H224" s="14"/>
      <c r="I224" s="12"/>
      <c r="J224" s="14"/>
      <c r="K224" s="20" t="str">
        <f aca="false">IF(OR(J224="",N(G224)=0),"",J224/G224)</f>
        <v/>
      </c>
      <c r="L224" s="12"/>
      <c r="M224" s="12"/>
      <c r="N224" s="12"/>
    </row>
    <row r="225" customFormat="false" ht="15" hidden="false" customHeight="false" outlineLevel="0" collapsed="false">
      <c r="A225" s="16"/>
      <c r="B225" s="12"/>
      <c r="C225" s="18" t="str">
        <f aca="false">IF(B225="","",IFERROR(INDEX(Inventario!$B$7:$B$46,MATCH(B225,Inventario!$A$7:$A$46,0)),"Clave no existe"))</f>
        <v/>
      </c>
      <c r="D225" s="18" t="str">
        <f aca="false">IF(B225="","",IFERROR(INDEX(Inventario!$C$7:$C$46,MATCH(B225,Inventario!$A$7:$A$46,0)),""))</f>
        <v/>
      </c>
      <c r="E225" s="19"/>
      <c r="F225" s="19"/>
      <c r="G225" s="20" t="str">
        <f aca="false">IF(OR(E225="",F225=""),IF(B225="","",IF(A225="","",8)),F225-E225)</f>
        <v/>
      </c>
      <c r="H225" s="14"/>
      <c r="I225" s="12"/>
      <c r="J225" s="14"/>
      <c r="K225" s="20" t="str">
        <f aca="false">IF(OR(J225="",N(G225)=0),"",J225/G225)</f>
        <v/>
      </c>
      <c r="L225" s="12"/>
      <c r="M225" s="12"/>
      <c r="N225" s="12"/>
    </row>
    <row r="226" customFormat="false" ht="15" hidden="false" customHeight="false" outlineLevel="0" collapsed="false">
      <c r="A226" s="16"/>
      <c r="B226" s="12"/>
      <c r="C226" s="18" t="str">
        <f aca="false">IF(B226="","",IFERROR(INDEX(Inventario!$B$7:$B$46,MATCH(B226,Inventario!$A$7:$A$46,0)),"Clave no existe"))</f>
        <v/>
      </c>
      <c r="D226" s="18" t="str">
        <f aca="false">IF(B226="","",IFERROR(INDEX(Inventario!$C$7:$C$46,MATCH(B226,Inventario!$A$7:$A$46,0)),""))</f>
        <v/>
      </c>
      <c r="E226" s="19"/>
      <c r="F226" s="19"/>
      <c r="G226" s="20" t="str">
        <f aca="false">IF(OR(E226="",F226=""),IF(B226="","",IF(A226="","",8)),F226-E226)</f>
        <v/>
      </c>
      <c r="H226" s="14"/>
      <c r="I226" s="12"/>
      <c r="J226" s="14"/>
      <c r="K226" s="20" t="str">
        <f aca="false">IF(OR(J226="",N(G226)=0),"",J226/G226)</f>
        <v/>
      </c>
      <c r="L226" s="12"/>
      <c r="M226" s="12"/>
      <c r="N226" s="12"/>
    </row>
    <row r="227" customFormat="false" ht="15" hidden="false" customHeight="false" outlineLevel="0" collapsed="false">
      <c r="A227" s="16"/>
      <c r="B227" s="12"/>
      <c r="C227" s="18" t="str">
        <f aca="false">IF(B227="","",IFERROR(INDEX(Inventario!$B$7:$B$46,MATCH(B227,Inventario!$A$7:$A$46,0)),"Clave no existe"))</f>
        <v/>
      </c>
      <c r="D227" s="18" t="str">
        <f aca="false">IF(B227="","",IFERROR(INDEX(Inventario!$C$7:$C$46,MATCH(B227,Inventario!$A$7:$A$46,0)),""))</f>
        <v/>
      </c>
      <c r="E227" s="19"/>
      <c r="F227" s="19"/>
      <c r="G227" s="20" t="str">
        <f aca="false">IF(OR(E227="",F227=""),IF(B227="","",IF(A227="","",8)),F227-E227)</f>
        <v/>
      </c>
      <c r="H227" s="14"/>
      <c r="I227" s="12"/>
      <c r="J227" s="14"/>
      <c r="K227" s="20" t="str">
        <f aca="false">IF(OR(J227="",N(G227)=0),"",J227/G227)</f>
        <v/>
      </c>
      <c r="L227" s="12"/>
      <c r="M227" s="12"/>
      <c r="N227" s="12"/>
    </row>
    <row r="228" customFormat="false" ht="15" hidden="false" customHeight="false" outlineLevel="0" collapsed="false">
      <c r="A228" s="16"/>
      <c r="B228" s="12"/>
      <c r="C228" s="18" t="str">
        <f aca="false">IF(B228="","",IFERROR(INDEX(Inventario!$B$7:$B$46,MATCH(B228,Inventario!$A$7:$A$46,0)),"Clave no existe"))</f>
        <v/>
      </c>
      <c r="D228" s="18" t="str">
        <f aca="false">IF(B228="","",IFERROR(INDEX(Inventario!$C$7:$C$46,MATCH(B228,Inventario!$A$7:$A$46,0)),""))</f>
        <v/>
      </c>
      <c r="E228" s="19"/>
      <c r="F228" s="19"/>
      <c r="G228" s="20" t="str">
        <f aca="false">IF(OR(E228="",F228=""),IF(B228="","",IF(A228="","",8)),F228-E228)</f>
        <v/>
      </c>
      <c r="H228" s="14"/>
      <c r="I228" s="12"/>
      <c r="J228" s="14"/>
      <c r="K228" s="20" t="str">
        <f aca="false">IF(OR(J228="",N(G228)=0),"",J228/G228)</f>
        <v/>
      </c>
      <c r="L228" s="12"/>
      <c r="M228" s="12"/>
      <c r="N228" s="12"/>
    </row>
    <row r="229" customFormat="false" ht="15" hidden="false" customHeight="false" outlineLevel="0" collapsed="false">
      <c r="A229" s="16"/>
      <c r="B229" s="12"/>
      <c r="C229" s="18" t="str">
        <f aca="false">IF(B229="","",IFERROR(INDEX(Inventario!$B$7:$B$46,MATCH(B229,Inventario!$A$7:$A$46,0)),"Clave no existe"))</f>
        <v/>
      </c>
      <c r="D229" s="18" t="str">
        <f aca="false">IF(B229="","",IFERROR(INDEX(Inventario!$C$7:$C$46,MATCH(B229,Inventario!$A$7:$A$46,0)),""))</f>
        <v/>
      </c>
      <c r="E229" s="19"/>
      <c r="F229" s="19"/>
      <c r="G229" s="20" t="str">
        <f aca="false">IF(OR(E229="",F229=""),IF(B229="","",IF(A229="","",8)),F229-E229)</f>
        <v/>
      </c>
      <c r="H229" s="14"/>
      <c r="I229" s="12"/>
      <c r="J229" s="14"/>
      <c r="K229" s="20" t="str">
        <f aca="false">IF(OR(J229="",N(G229)=0),"",J229/G229)</f>
        <v/>
      </c>
      <c r="L229" s="12"/>
      <c r="M229" s="12"/>
      <c r="N229" s="12"/>
    </row>
    <row r="230" customFormat="false" ht="15" hidden="false" customHeight="false" outlineLevel="0" collapsed="false">
      <c r="A230" s="16"/>
      <c r="B230" s="12"/>
      <c r="C230" s="18" t="str">
        <f aca="false">IF(B230="","",IFERROR(INDEX(Inventario!$B$7:$B$46,MATCH(B230,Inventario!$A$7:$A$46,0)),"Clave no existe"))</f>
        <v/>
      </c>
      <c r="D230" s="18" t="str">
        <f aca="false">IF(B230="","",IFERROR(INDEX(Inventario!$C$7:$C$46,MATCH(B230,Inventario!$A$7:$A$46,0)),""))</f>
        <v/>
      </c>
      <c r="E230" s="19"/>
      <c r="F230" s="19"/>
      <c r="G230" s="20" t="str">
        <f aca="false">IF(OR(E230="",F230=""),IF(B230="","",IF(A230="","",8)),F230-E230)</f>
        <v/>
      </c>
      <c r="H230" s="14"/>
      <c r="I230" s="12"/>
      <c r="J230" s="14"/>
      <c r="K230" s="20" t="str">
        <f aca="false">IF(OR(J230="",N(G230)=0),"",J230/G230)</f>
        <v/>
      </c>
      <c r="L230" s="12"/>
      <c r="M230" s="12"/>
      <c r="N230" s="12"/>
    </row>
    <row r="231" customFormat="false" ht="15" hidden="false" customHeight="false" outlineLevel="0" collapsed="false">
      <c r="A231" s="16"/>
      <c r="B231" s="12"/>
      <c r="C231" s="18" t="str">
        <f aca="false">IF(B231="","",IFERROR(INDEX(Inventario!$B$7:$B$46,MATCH(B231,Inventario!$A$7:$A$46,0)),"Clave no existe"))</f>
        <v/>
      </c>
      <c r="D231" s="18" t="str">
        <f aca="false">IF(B231="","",IFERROR(INDEX(Inventario!$C$7:$C$46,MATCH(B231,Inventario!$A$7:$A$46,0)),""))</f>
        <v/>
      </c>
      <c r="E231" s="19"/>
      <c r="F231" s="19"/>
      <c r="G231" s="20" t="str">
        <f aca="false">IF(OR(E231="",F231=""),IF(B231="","",IF(A231="","",8)),F231-E231)</f>
        <v/>
      </c>
      <c r="H231" s="14"/>
      <c r="I231" s="12"/>
      <c r="J231" s="14"/>
      <c r="K231" s="20" t="str">
        <f aca="false">IF(OR(J231="",N(G231)=0),"",J231/G231)</f>
        <v/>
      </c>
      <c r="L231" s="12"/>
      <c r="M231" s="12"/>
      <c r="N231" s="12"/>
    </row>
    <row r="232" customFormat="false" ht="15" hidden="false" customHeight="false" outlineLevel="0" collapsed="false">
      <c r="A232" s="16"/>
      <c r="B232" s="12"/>
      <c r="C232" s="18" t="str">
        <f aca="false">IF(B232="","",IFERROR(INDEX(Inventario!$B$7:$B$46,MATCH(B232,Inventario!$A$7:$A$46,0)),"Clave no existe"))</f>
        <v/>
      </c>
      <c r="D232" s="18" t="str">
        <f aca="false">IF(B232="","",IFERROR(INDEX(Inventario!$C$7:$C$46,MATCH(B232,Inventario!$A$7:$A$46,0)),""))</f>
        <v/>
      </c>
      <c r="E232" s="19"/>
      <c r="F232" s="19"/>
      <c r="G232" s="20" t="str">
        <f aca="false">IF(OR(E232="",F232=""),IF(B232="","",IF(A232="","",8)),F232-E232)</f>
        <v/>
      </c>
      <c r="H232" s="14"/>
      <c r="I232" s="12"/>
      <c r="J232" s="14"/>
      <c r="K232" s="20" t="str">
        <f aca="false">IF(OR(J232="",N(G232)=0),"",J232/G232)</f>
        <v/>
      </c>
      <c r="L232" s="12"/>
      <c r="M232" s="12"/>
      <c r="N232" s="12"/>
    </row>
    <row r="233" customFormat="false" ht="15" hidden="false" customHeight="false" outlineLevel="0" collapsed="false">
      <c r="A233" s="16"/>
      <c r="B233" s="12"/>
      <c r="C233" s="18" t="str">
        <f aca="false">IF(B233="","",IFERROR(INDEX(Inventario!$B$7:$B$46,MATCH(B233,Inventario!$A$7:$A$46,0)),"Clave no existe"))</f>
        <v/>
      </c>
      <c r="D233" s="18" t="str">
        <f aca="false">IF(B233="","",IFERROR(INDEX(Inventario!$C$7:$C$46,MATCH(B233,Inventario!$A$7:$A$46,0)),""))</f>
        <v/>
      </c>
      <c r="E233" s="19"/>
      <c r="F233" s="19"/>
      <c r="G233" s="20" t="str">
        <f aca="false">IF(OR(E233="",F233=""),IF(B233="","",IF(A233="","",8)),F233-E233)</f>
        <v/>
      </c>
      <c r="H233" s="14"/>
      <c r="I233" s="12"/>
      <c r="J233" s="14"/>
      <c r="K233" s="20" t="str">
        <f aca="false">IF(OR(J233="",N(G233)=0),"",J233/G233)</f>
        <v/>
      </c>
      <c r="L233" s="12"/>
      <c r="M233" s="12"/>
      <c r="N233" s="12"/>
    </row>
    <row r="234" customFormat="false" ht="15" hidden="false" customHeight="false" outlineLevel="0" collapsed="false">
      <c r="A234" s="16"/>
      <c r="B234" s="12"/>
      <c r="C234" s="18" t="str">
        <f aca="false">IF(B234="","",IFERROR(INDEX(Inventario!$B$7:$B$46,MATCH(B234,Inventario!$A$7:$A$46,0)),"Clave no existe"))</f>
        <v/>
      </c>
      <c r="D234" s="18" t="str">
        <f aca="false">IF(B234="","",IFERROR(INDEX(Inventario!$C$7:$C$46,MATCH(B234,Inventario!$A$7:$A$46,0)),""))</f>
        <v/>
      </c>
      <c r="E234" s="19"/>
      <c r="F234" s="19"/>
      <c r="G234" s="20" t="str">
        <f aca="false">IF(OR(E234="",F234=""),IF(B234="","",IF(A234="","",8)),F234-E234)</f>
        <v/>
      </c>
      <c r="H234" s="14"/>
      <c r="I234" s="12"/>
      <c r="J234" s="14"/>
      <c r="K234" s="20" t="str">
        <f aca="false">IF(OR(J234="",N(G234)=0),"",J234/G234)</f>
        <v/>
      </c>
      <c r="L234" s="12"/>
      <c r="M234" s="12"/>
      <c r="N234" s="12"/>
    </row>
    <row r="235" customFormat="false" ht="15" hidden="false" customHeight="false" outlineLevel="0" collapsed="false">
      <c r="A235" s="16"/>
      <c r="B235" s="12"/>
      <c r="C235" s="18" t="str">
        <f aca="false">IF(B235="","",IFERROR(INDEX(Inventario!$B$7:$B$46,MATCH(B235,Inventario!$A$7:$A$46,0)),"Clave no existe"))</f>
        <v/>
      </c>
      <c r="D235" s="18" t="str">
        <f aca="false">IF(B235="","",IFERROR(INDEX(Inventario!$C$7:$C$46,MATCH(B235,Inventario!$A$7:$A$46,0)),""))</f>
        <v/>
      </c>
      <c r="E235" s="19"/>
      <c r="F235" s="19"/>
      <c r="G235" s="20" t="str">
        <f aca="false">IF(OR(E235="",F235=""),IF(B235="","",IF(A235="","",8)),F235-E235)</f>
        <v/>
      </c>
      <c r="H235" s="14"/>
      <c r="I235" s="12"/>
      <c r="J235" s="14"/>
      <c r="K235" s="20" t="str">
        <f aca="false">IF(OR(J235="",N(G235)=0),"",J235/G235)</f>
        <v/>
      </c>
      <c r="L235" s="12"/>
      <c r="M235" s="12"/>
      <c r="N235" s="12"/>
    </row>
    <row r="236" customFormat="false" ht="15" hidden="false" customHeight="false" outlineLevel="0" collapsed="false">
      <c r="A236" s="16"/>
      <c r="B236" s="12"/>
      <c r="C236" s="18" t="str">
        <f aca="false">IF(B236="","",IFERROR(INDEX(Inventario!$B$7:$B$46,MATCH(B236,Inventario!$A$7:$A$46,0)),"Clave no existe"))</f>
        <v/>
      </c>
      <c r="D236" s="18" t="str">
        <f aca="false">IF(B236="","",IFERROR(INDEX(Inventario!$C$7:$C$46,MATCH(B236,Inventario!$A$7:$A$46,0)),""))</f>
        <v/>
      </c>
      <c r="E236" s="19"/>
      <c r="F236" s="19"/>
      <c r="G236" s="20" t="str">
        <f aca="false">IF(OR(E236="",F236=""),IF(B236="","",IF(A236="","",8)),F236-E236)</f>
        <v/>
      </c>
      <c r="H236" s="14"/>
      <c r="I236" s="12"/>
      <c r="J236" s="14"/>
      <c r="K236" s="20" t="str">
        <f aca="false">IF(OR(J236="",N(G236)=0),"",J236/G236)</f>
        <v/>
      </c>
      <c r="L236" s="12"/>
      <c r="M236" s="12"/>
      <c r="N236" s="12"/>
    </row>
    <row r="237" customFormat="false" ht="15" hidden="false" customHeight="false" outlineLevel="0" collapsed="false">
      <c r="A237" s="16"/>
      <c r="B237" s="12"/>
      <c r="C237" s="18" t="str">
        <f aca="false">IF(B237="","",IFERROR(INDEX(Inventario!$B$7:$B$46,MATCH(B237,Inventario!$A$7:$A$46,0)),"Clave no existe"))</f>
        <v/>
      </c>
      <c r="D237" s="18" t="str">
        <f aca="false">IF(B237="","",IFERROR(INDEX(Inventario!$C$7:$C$46,MATCH(B237,Inventario!$A$7:$A$46,0)),""))</f>
        <v/>
      </c>
      <c r="E237" s="19"/>
      <c r="F237" s="19"/>
      <c r="G237" s="20" t="str">
        <f aca="false">IF(OR(E237="",F237=""),IF(B237="","",IF(A237="","",8)),F237-E237)</f>
        <v/>
      </c>
      <c r="H237" s="14"/>
      <c r="I237" s="12"/>
      <c r="J237" s="14"/>
      <c r="K237" s="20" t="str">
        <f aca="false">IF(OR(J237="",N(G237)=0),"",J237/G237)</f>
        <v/>
      </c>
      <c r="L237" s="12"/>
      <c r="M237" s="12"/>
      <c r="N237" s="12"/>
    </row>
    <row r="238" customFormat="false" ht="15" hidden="false" customHeight="false" outlineLevel="0" collapsed="false">
      <c r="A238" s="16"/>
      <c r="B238" s="12"/>
      <c r="C238" s="18" t="str">
        <f aca="false">IF(B238="","",IFERROR(INDEX(Inventario!$B$7:$B$46,MATCH(B238,Inventario!$A$7:$A$46,0)),"Clave no existe"))</f>
        <v/>
      </c>
      <c r="D238" s="18" t="str">
        <f aca="false">IF(B238="","",IFERROR(INDEX(Inventario!$C$7:$C$46,MATCH(B238,Inventario!$A$7:$A$46,0)),""))</f>
        <v/>
      </c>
      <c r="E238" s="19"/>
      <c r="F238" s="19"/>
      <c r="G238" s="20" t="str">
        <f aca="false">IF(OR(E238="",F238=""),IF(B238="","",IF(A238="","",8)),F238-E238)</f>
        <v/>
      </c>
      <c r="H238" s="14"/>
      <c r="I238" s="12"/>
      <c r="J238" s="14"/>
      <c r="K238" s="20" t="str">
        <f aca="false">IF(OR(J238="",N(G238)=0),"",J238/G238)</f>
        <v/>
      </c>
      <c r="L238" s="12"/>
      <c r="M238" s="12"/>
      <c r="N238" s="12"/>
    </row>
    <row r="239" customFormat="false" ht="15" hidden="false" customHeight="false" outlineLevel="0" collapsed="false">
      <c r="A239" s="16"/>
      <c r="B239" s="12"/>
      <c r="C239" s="18" t="str">
        <f aca="false">IF(B239="","",IFERROR(INDEX(Inventario!$B$7:$B$46,MATCH(B239,Inventario!$A$7:$A$46,0)),"Clave no existe"))</f>
        <v/>
      </c>
      <c r="D239" s="18" t="str">
        <f aca="false">IF(B239="","",IFERROR(INDEX(Inventario!$C$7:$C$46,MATCH(B239,Inventario!$A$7:$A$46,0)),""))</f>
        <v/>
      </c>
      <c r="E239" s="19"/>
      <c r="F239" s="19"/>
      <c r="G239" s="20" t="str">
        <f aca="false">IF(OR(E239="",F239=""),IF(B239="","",IF(A239="","",8)),F239-E239)</f>
        <v/>
      </c>
      <c r="H239" s="14"/>
      <c r="I239" s="12"/>
      <c r="J239" s="14"/>
      <c r="K239" s="20" t="str">
        <f aca="false">IF(OR(J239="",N(G239)=0),"",J239/G239)</f>
        <v/>
      </c>
      <c r="L239" s="12"/>
      <c r="M239" s="12"/>
      <c r="N239" s="12"/>
    </row>
    <row r="240" customFormat="false" ht="15" hidden="false" customHeight="false" outlineLevel="0" collapsed="false">
      <c r="A240" s="16"/>
      <c r="B240" s="12"/>
      <c r="C240" s="18" t="str">
        <f aca="false">IF(B240="","",IFERROR(INDEX(Inventario!$B$7:$B$46,MATCH(B240,Inventario!$A$7:$A$46,0)),"Clave no existe"))</f>
        <v/>
      </c>
      <c r="D240" s="18" t="str">
        <f aca="false">IF(B240="","",IFERROR(INDEX(Inventario!$C$7:$C$46,MATCH(B240,Inventario!$A$7:$A$46,0)),""))</f>
        <v/>
      </c>
      <c r="E240" s="19"/>
      <c r="F240" s="19"/>
      <c r="G240" s="20" t="str">
        <f aca="false">IF(OR(E240="",F240=""),IF(B240="","",IF(A240="","",8)),F240-E240)</f>
        <v/>
      </c>
      <c r="H240" s="14"/>
      <c r="I240" s="12"/>
      <c r="J240" s="14"/>
      <c r="K240" s="20" t="str">
        <f aca="false">IF(OR(J240="",N(G240)=0),"",J240/G240)</f>
        <v/>
      </c>
      <c r="L240" s="12"/>
      <c r="M240" s="12"/>
      <c r="N240" s="12"/>
    </row>
    <row r="241" customFormat="false" ht="15" hidden="false" customHeight="false" outlineLevel="0" collapsed="false">
      <c r="A241" s="16"/>
      <c r="B241" s="12"/>
      <c r="C241" s="18" t="str">
        <f aca="false">IF(B241="","",IFERROR(INDEX(Inventario!$B$7:$B$46,MATCH(B241,Inventario!$A$7:$A$46,0)),"Clave no existe"))</f>
        <v/>
      </c>
      <c r="D241" s="18" t="str">
        <f aca="false">IF(B241="","",IFERROR(INDEX(Inventario!$C$7:$C$46,MATCH(B241,Inventario!$A$7:$A$46,0)),""))</f>
        <v/>
      </c>
      <c r="E241" s="19"/>
      <c r="F241" s="19"/>
      <c r="G241" s="20" t="str">
        <f aca="false">IF(OR(E241="",F241=""),IF(B241="","",IF(A241="","",8)),F241-E241)</f>
        <v/>
      </c>
      <c r="H241" s="14"/>
      <c r="I241" s="12"/>
      <c r="J241" s="14"/>
      <c r="K241" s="20" t="str">
        <f aca="false">IF(OR(J241="",N(G241)=0),"",J241/G241)</f>
        <v/>
      </c>
      <c r="L241" s="12"/>
      <c r="M241" s="12"/>
      <c r="N241" s="12"/>
    </row>
    <row r="242" customFormat="false" ht="15" hidden="false" customHeight="false" outlineLevel="0" collapsed="false">
      <c r="A242" s="16"/>
      <c r="B242" s="12"/>
      <c r="C242" s="18" t="str">
        <f aca="false">IF(B242="","",IFERROR(INDEX(Inventario!$B$7:$B$46,MATCH(B242,Inventario!$A$7:$A$46,0)),"Clave no existe"))</f>
        <v/>
      </c>
      <c r="D242" s="18" t="str">
        <f aca="false">IF(B242="","",IFERROR(INDEX(Inventario!$C$7:$C$46,MATCH(B242,Inventario!$A$7:$A$46,0)),""))</f>
        <v/>
      </c>
      <c r="E242" s="19"/>
      <c r="F242" s="19"/>
      <c r="G242" s="20" t="str">
        <f aca="false">IF(OR(E242="",F242=""),IF(B242="","",IF(A242="","",8)),F242-E242)</f>
        <v/>
      </c>
      <c r="H242" s="14"/>
      <c r="I242" s="12"/>
      <c r="J242" s="14"/>
      <c r="K242" s="20" t="str">
        <f aca="false">IF(OR(J242="",N(G242)=0),"",J242/G242)</f>
        <v/>
      </c>
      <c r="L242" s="12"/>
      <c r="M242" s="12"/>
      <c r="N242" s="12"/>
    </row>
    <row r="243" customFormat="false" ht="15" hidden="false" customHeight="false" outlineLevel="0" collapsed="false">
      <c r="A243" s="16"/>
      <c r="B243" s="12"/>
      <c r="C243" s="18" t="str">
        <f aca="false">IF(B243="","",IFERROR(INDEX(Inventario!$B$7:$B$46,MATCH(B243,Inventario!$A$7:$A$46,0)),"Clave no existe"))</f>
        <v/>
      </c>
      <c r="D243" s="18" t="str">
        <f aca="false">IF(B243="","",IFERROR(INDEX(Inventario!$C$7:$C$46,MATCH(B243,Inventario!$A$7:$A$46,0)),""))</f>
        <v/>
      </c>
      <c r="E243" s="19"/>
      <c r="F243" s="19"/>
      <c r="G243" s="20" t="str">
        <f aca="false">IF(OR(E243="",F243=""),IF(B243="","",IF(A243="","",8)),F243-E243)</f>
        <v/>
      </c>
      <c r="H243" s="14"/>
      <c r="I243" s="12"/>
      <c r="J243" s="14"/>
      <c r="K243" s="20" t="str">
        <f aca="false">IF(OR(J243="",N(G243)=0),"",J243/G243)</f>
        <v/>
      </c>
      <c r="L243" s="12"/>
      <c r="M243" s="12"/>
      <c r="N243" s="12"/>
    </row>
    <row r="244" customFormat="false" ht="15" hidden="false" customHeight="false" outlineLevel="0" collapsed="false">
      <c r="A244" s="16"/>
      <c r="B244" s="12"/>
      <c r="C244" s="18" t="str">
        <f aca="false">IF(B244="","",IFERROR(INDEX(Inventario!$B$7:$B$46,MATCH(B244,Inventario!$A$7:$A$46,0)),"Clave no existe"))</f>
        <v/>
      </c>
      <c r="D244" s="18" t="str">
        <f aca="false">IF(B244="","",IFERROR(INDEX(Inventario!$C$7:$C$46,MATCH(B244,Inventario!$A$7:$A$46,0)),""))</f>
        <v/>
      </c>
      <c r="E244" s="19"/>
      <c r="F244" s="19"/>
      <c r="G244" s="20" t="str">
        <f aca="false">IF(OR(E244="",F244=""),IF(B244="","",IF(A244="","",8)),F244-E244)</f>
        <v/>
      </c>
      <c r="H244" s="14"/>
      <c r="I244" s="12"/>
      <c r="J244" s="14"/>
      <c r="K244" s="20" t="str">
        <f aca="false">IF(OR(J244="",N(G244)=0),"",J244/G244)</f>
        <v/>
      </c>
      <c r="L244" s="12"/>
      <c r="M244" s="12"/>
      <c r="N244" s="12"/>
    </row>
    <row r="245" customFormat="false" ht="15" hidden="false" customHeight="false" outlineLevel="0" collapsed="false">
      <c r="A245" s="16"/>
      <c r="B245" s="12"/>
      <c r="C245" s="18" t="str">
        <f aca="false">IF(B245="","",IFERROR(INDEX(Inventario!$B$7:$B$46,MATCH(B245,Inventario!$A$7:$A$46,0)),"Clave no existe"))</f>
        <v/>
      </c>
      <c r="D245" s="18" t="str">
        <f aca="false">IF(B245="","",IFERROR(INDEX(Inventario!$C$7:$C$46,MATCH(B245,Inventario!$A$7:$A$46,0)),""))</f>
        <v/>
      </c>
      <c r="E245" s="19"/>
      <c r="F245" s="19"/>
      <c r="G245" s="20" t="str">
        <f aca="false">IF(OR(E245="",F245=""),IF(B245="","",IF(A245="","",8)),F245-E245)</f>
        <v/>
      </c>
      <c r="H245" s="14"/>
      <c r="I245" s="12"/>
      <c r="J245" s="14"/>
      <c r="K245" s="20" t="str">
        <f aca="false">IF(OR(J245="",N(G245)=0),"",J245/G245)</f>
        <v/>
      </c>
      <c r="L245" s="12"/>
      <c r="M245" s="12"/>
      <c r="N245" s="12"/>
    </row>
    <row r="246" customFormat="false" ht="15" hidden="false" customHeight="false" outlineLevel="0" collapsed="false">
      <c r="A246" s="16"/>
      <c r="B246" s="12"/>
      <c r="C246" s="18" t="str">
        <f aca="false">IF(B246="","",IFERROR(INDEX(Inventario!$B$7:$B$46,MATCH(B246,Inventario!$A$7:$A$46,0)),"Clave no existe"))</f>
        <v/>
      </c>
      <c r="D246" s="18" t="str">
        <f aca="false">IF(B246="","",IFERROR(INDEX(Inventario!$C$7:$C$46,MATCH(B246,Inventario!$A$7:$A$46,0)),""))</f>
        <v/>
      </c>
      <c r="E246" s="19"/>
      <c r="F246" s="19"/>
      <c r="G246" s="20" t="str">
        <f aca="false">IF(OR(E246="",F246=""),IF(B246="","",IF(A246="","",8)),F246-E246)</f>
        <v/>
      </c>
      <c r="H246" s="14"/>
      <c r="I246" s="12"/>
      <c r="J246" s="14"/>
      <c r="K246" s="20" t="str">
        <f aca="false">IF(OR(J246="",N(G246)=0),"",J246/G246)</f>
        <v/>
      </c>
      <c r="L246" s="12"/>
      <c r="M246" s="12"/>
      <c r="N246" s="12"/>
    </row>
    <row r="247" customFormat="false" ht="15" hidden="false" customHeight="false" outlineLevel="0" collapsed="false">
      <c r="A247" s="16"/>
      <c r="B247" s="12"/>
      <c r="C247" s="18" t="str">
        <f aca="false">IF(B247="","",IFERROR(INDEX(Inventario!$B$7:$B$46,MATCH(B247,Inventario!$A$7:$A$46,0)),"Clave no existe"))</f>
        <v/>
      </c>
      <c r="D247" s="18" t="str">
        <f aca="false">IF(B247="","",IFERROR(INDEX(Inventario!$C$7:$C$46,MATCH(B247,Inventario!$A$7:$A$46,0)),""))</f>
        <v/>
      </c>
      <c r="E247" s="19"/>
      <c r="F247" s="19"/>
      <c r="G247" s="20" t="str">
        <f aca="false">IF(OR(E247="",F247=""),IF(B247="","",IF(A247="","",8)),F247-E247)</f>
        <v/>
      </c>
      <c r="H247" s="14"/>
      <c r="I247" s="12"/>
      <c r="J247" s="14"/>
      <c r="K247" s="20" t="str">
        <f aca="false">IF(OR(J247="",N(G247)=0),"",J247/G247)</f>
        <v/>
      </c>
      <c r="L247" s="12"/>
      <c r="M247" s="12"/>
      <c r="N247" s="12"/>
    </row>
    <row r="248" customFormat="false" ht="15" hidden="false" customHeight="false" outlineLevel="0" collapsed="false">
      <c r="A248" s="16"/>
      <c r="B248" s="12"/>
      <c r="C248" s="18" t="str">
        <f aca="false">IF(B248="","",IFERROR(INDEX(Inventario!$B$7:$B$46,MATCH(B248,Inventario!$A$7:$A$46,0)),"Clave no existe"))</f>
        <v/>
      </c>
      <c r="D248" s="18" t="str">
        <f aca="false">IF(B248="","",IFERROR(INDEX(Inventario!$C$7:$C$46,MATCH(B248,Inventario!$A$7:$A$46,0)),""))</f>
        <v/>
      </c>
      <c r="E248" s="19"/>
      <c r="F248" s="19"/>
      <c r="G248" s="20" t="str">
        <f aca="false">IF(OR(E248="",F248=""),IF(B248="","",IF(A248="","",8)),F248-E248)</f>
        <v/>
      </c>
      <c r="H248" s="14"/>
      <c r="I248" s="12"/>
      <c r="J248" s="14"/>
      <c r="K248" s="20" t="str">
        <f aca="false">IF(OR(J248="",N(G248)=0),"",J248/G248)</f>
        <v/>
      </c>
      <c r="L248" s="12"/>
      <c r="M248" s="12"/>
      <c r="N248" s="12"/>
    </row>
    <row r="249" customFormat="false" ht="15" hidden="false" customHeight="false" outlineLevel="0" collapsed="false">
      <c r="A249" s="16"/>
      <c r="B249" s="12"/>
      <c r="C249" s="18" t="str">
        <f aca="false">IF(B249="","",IFERROR(INDEX(Inventario!$B$7:$B$46,MATCH(B249,Inventario!$A$7:$A$46,0)),"Clave no existe"))</f>
        <v/>
      </c>
      <c r="D249" s="18" t="str">
        <f aca="false">IF(B249="","",IFERROR(INDEX(Inventario!$C$7:$C$46,MATCH(B249,Inventario!$A$7:$A$46,0)),""))</f>
        <v/>
      </c>
      <c r="E249" s="19"/>
      <c r="F249" s="19"/>
      <c r="G249" s="20" t="str">
        <f aca="false">IF(OR(E249="",F249=""),IF(B249="","",IF(A249="","",8)),F249-E249)</f>
        <v/>
      </c>
      <c r="H249" s="14"/>
      <c r="I249" s="12"/>
      <c r="J249" s="14"/>
      <c r="K249" s="20" t="str">
        <f aca="false">IF(OR(J249="",N(G249)=0),"",J249/G249)</f>
        <v/>
      </c>
      <c r="L249" s="12"/>
      <c r="M249" s="12"/>
      <c r="N249" s="12"/>
    </row>
    <row r="250" customFormat="false" ht="15" hidden="false" customHeight="false" outlineLevel="0" collapsed="false">
      <c r="A250" s="16"/>
      <c r="B250" s="12"/>
      <c r="C250" s="18" t="str">
        <f aca="false">IF(B250="","",IFERROR(INDEX(Inventario!$B$7:$B$46,MATCH(B250,Inventario!$A$7:$A$46,0)),"Clave no existe"))</f>
        <v/>
      </c>
      <c r="D250" s="18" t="str">
        <f aca="false">IF(B250="","",IFERROR(INDEX(Inventario!$C$7:$C$46,MATCH(B250,Inventario!$A$7:$A$46,0)),""))</f>
        <v/>
      </c>
      <c r="E250" s="19"/>
      <c r="F250" s="19"/>
      <c r="G250" s="20" t="str">
        <f aca="false">IF(OR(E250="",F250=""),IF(B250="","",IF(A250="","",8)),F250-E250)</f>
        <v/>
      </c>
      <c r="H250" s="14"/>
      <c r="I250" s="12"/>
      <c r="J250" s="14"/>
      <c r="K250" s="20" t="str">
        <f aca="false">IF(OR(J250="",N(G250)=0),"",J250/G250)</f>
        <v/>
      </c>
      <c r="L250" s="12"/>
      <c r="M250" s="12"/>
      <c r="N250" s="12"/>
    </row>
    <row r="251" customFormat="false" ht="15" hidden="false" customHeight="false" outlineLevel="0" collapsed="false">
      <c r="A251" s="16"/>
      <c r="B251" s="12"/>
      <c r="C251" s="18" t="str">
        <f aca="false">IF(B251="","",IFERROR(INDEX(Inventario!$B$7:$B$46,MATCH(B251,Inventario!$A$7:$A$46,0)),"Clave no existe"))</f>
        <v/>
      </c>
      <c r="D251" s="18" t="str">
        <f aca="false">IF(B251="","",IFERROR(INDEX(Inventario!$C$7:$C$46,MATCH(B251,Inventario!$A$7:$A$46,0)),""))</f>
        <v/>
      </c>
      <c r="E251" s="19"/>
      <c r="F251" s="19"/>
      <c r="G251" s="20" t="str">
        <f aca="false">IF(OR(E251="",F251=""),IF(B251="","",IF(A251="","",8)),F251-E251)</f>
        <v/>
      </c>
      <c r="H251" s="14"/>
      <c r="I251" s="12"/>
      <c r="J251" s="14"/>
      <c r="K251" s="20" t="str">
        <f aca="false">IF(OR(J251="",N(G251)=0),"",J251/G251)</f>
        <v/>
      </c>
      <c r="L251" s="12"/>
      <c r="M251" s="12"/>
      <c r="N251" s="12"/>
    </row>
    <row r="252" customFormat="false" ht="15" hidden="false" customHeight="false" outlineLevel="0" collapsed="false">
      <c r="A252" s="16"/>
      <c r="B252" s="12"/>
      <c r="C252" s="18" t="str">
        <f aca="false">IF(B252="","",IFERROR(INDEX(Inventario!$B$7:$B$46,MATCH(B252,Inventario!$A$7:$A$46,0)),"Clave no existe"))</f>
        <v/>
      </c>
      <c r="D252" s="18" t="str">
        <f aca="false">IF(B252="","",IFERROR(INDEX(Inventario!$C$7:$C$46,MATCH(B252,Inventario!$A$7:$A$46,0)),""))</f>
        <v/>
      </c>
      <c r="E252" s="19"/>
      <c r="F252" s="19"/>
      <c r="G252" s="20" t="str">
        <f aca="false">IF(OR(E252="",F252=""),IF(B252="","",IF(A252="","",8)),F252-E252)</f>
        <v/>
      </c>
      <c r="H252" s="14"/>
      <c r="I252" s="12"/>
      <c r="J252" s="14"/>
      <c r="K252" s="20" t="str">
        <f aca="false">IF(OR(J252="",N(G252)=0),"",J252/G252)</f>
        <v/>
      </c>
      <c r="L252" s="12"/>
      <c r="M252" s="12"/>
      <c r="N252" s="12"/>
    </row>
    <row r="253" customFormat="false" ht="15" hidden="false" customHeight="false" outlineLevel="0" collapsed="false">
      <c r="A253" s="16"/>
      <c r="B253" s="12"/>
      <c r="C253" s="18" t="str">
        <f aca="false">IF(B253="","",IFERROR(INDEX(Inventario!$B$7:$B$46,MATCH(B253,Inventario!$A$7:$A$46,0)),"Clave no existe"))</f>
        <v/>
      </c>
      <c r="D253" s="18" t="str">
        <f aca="false">IF(B253="","",IFERROR(INDEX(Inventario!$C$7:$C$46,MATCH(B253,Inventario!$A$7:$A$46,0)),""))</f>
        <v/>
      </c>
      <c r="E253" s="19"/>
      <c r="F253" s="19"/>
      <c r="G253" s="20" t="str">
        <f aca="false">IF(OR(E253="",F253=""),IF(B253="","",IF(A253="","",8)),F253-E253)</f>
        <v/>
      </c>
      <c r="H253" s="14"/>
      <c r="I253" s="12"/>
      <c r="J253" s="14"/>
      <c r="K253" s="20" t="str">
        <f aca="false">IF(OR(J253="",N(G253)=0),"",J253/G253)</f>
        <v/>
      </c>
      <c r="L253" s="12"/>
      <c r="M253" s="12"/>
      <c r="N253" s="12"/>
    </row>
    <row r="254" customFormat="false" ht="15" hidden="false" customHeight="false" outlineLevel="0" collapsed="false">
      <c r="A254" s="16"/>
      <c r="B254" s="12"/>
      <c r="C254" s="18" t="str">
        <f aca="false">IF(B254="","",IFERROR(INDEX(Inventario!$B$7:$B$46,MATCH(B254,Inventario!$A$7:$A$46,0)),"Clave no existe"))</f>
        <v/>
      </c>
      <c r="D254" s="18" t="str">
        <f aca="false">IF(B254="","",IFERROR(INDEX(Inventario!$C$7:$C$46,MATCH(B254,Inventario!$A$7:$A$46,0)),""))</f>
        <v/>
      </c>
      <c r="E254" s="19"/>
      <c r="F254" s="19"/>
      <c r="G254" s="20" t="str">
        <f aca="false">IF(OR(E254="",F254=""),IF(B254="","",IF(A254="","",8)),F254-E254)</f>
        <v/>
      </c>
      <c r="H254" s="14"/>
      <c r="I254" s="12"/>
      <c r="J254" s="14"/>
      <c r="K254" s="20" t="str">
        <f aca="false">IF(OR(J254="",N(G254)=0),"",J254/G254)</f>
        <v/>
      </c>
      <c r="L254" s="12"/>
      <c r="M254" s="12"/>
      <c r="N254" s="12"/>
    </row>
    <row r="255" customFormat="false" ht="15" hidden="false" customHeight="false" outlineLevel="0" collapsed="false">
      <c r="A255" s="16"/>
      <c r="B255" s="12"/>
      <c r="C255" s="18" t="str">
        <f aca="false">IF(B255="","",IFERROR(INDEX(Inventario!$B$7:$B$46,MATCH(B255,Inventario!$A$7:$A$46,0)),"Clave no existe"))</f>
        <v/>
      </c>
      <c r="D255" s="18" t="str">
        <f aca="false">IF(B255="","",IFERROR(INDEX(Inventario!$C$7:$C$46,MATCH(B255,Inventario!$A$7:$A$46,0)),""))</f>
        <v/>
      </c>
      <c r="E255" s="19"/>
      <c r="F255" s="19"/>
      <c r="G255" s="20" t="str">
        <f aca="false">IF(OR(E255="",F255=""),IF(B255="","",IF(A255="","",8)),F255-E255)</f>
        <v/>
      </c>
      <c r="H255" s="14"/>
      <c r="I255" s="12"/>
      <c r="J255" s="14"/>
      <c r="K255" s="20" t="str">
        <f aca="false">IF(OR(J255="",N(G255)=0),"",J255/G255)</f>
        <v/>
      </c>
      <c r="L255" s="12"/>
      <c r="M255" s="12"/>
      <c r="N255" s="12"/>
    </row>
    <row r="256" customFormat="false" ht="15" hidden="false" customHeight="false" outlineLevel="0" collapsed="false">
      <c r="A256" s="16"/>
      <c r="B256" s="12"/>
      <c r="C256" s="18" t="str">
        <f aca="false">IF(B256="","",IFERROR(INDEX(Inventario!$B$7:$B$46,MATCH(B256,Inventario!$A$7:$A$46,0)),"Clave no existe"))</f>
        <v/>
      </c>
      <c r="D256" s="18" t="str">
        <f aca="false">IF(B256="","",IFERROR(INDEX(Inventario!$C$7:$C$46,MATCH(B256,Inventario!$A$7:$A$46,0)),""))</f>
        <v/>
      </c>
      <c r="E256" s="19"/>
      <c r="F256" s="19"/>
      <c r="G256" s="20" t="str">
        <f aca="false">IF(OR(E256="",F256=""),IF(B256="","",IF(A256="","",8)),F256-E256)</f>
        <v/>
      </c>
      <c r="H256" s="14"/>
      <c r="I256" s="12"/>
      <c r="J256" s="14"/>
      <c r="K256" s="20" t="str">
        <f aca="false">IF(OR(J256="",N(G256)=0),"",J256/G256)</f>
        <v/>
      </c>
      <c r="L256" s="12"/>
      <c r="M256" s="12"/>
      <c r="N256" s="12"/>
    </row>
    <row r="257" customFormat="false" ht="15" hidden="false" customHeight="false" outlineLevel="0" collapsed="false">
      <c r="A257" s="16"/>
      <c r="B257" s="12"/>
      <c r="C257" s="18" t="str">
        <f aca="false">IF(B257="","",IFERROR(INDEX(Inventario!$B$7:$B$46,MATCH(B257,Inventario!$A$7:$A$46,0)),"Clave no existe"))</f>
        <v/>
      </c>
      <c r="D257" s="18" t="str">
        <f aca="false">IF(B257="","",IFERROR(INDEX(Inventario!$C$7:$C$46,MATCH(B257,Inventario!$A$7:$A$46,0)),""))</f>
        <v/>
      </c>
      <c r="E257" s="19"/>
      <c r="F257" s="19"/>
      <c r="G257" s="20" t="str">
        <f aca="false">IF(OR(E257="",F257=""),IF(B257="","",IF(A257="","",8)),F257-E257)</f>
        <v/>
      </c>
      <c r="H257" s="14"/>
      <c r="I257" s="12"/>
      <c r="J257" s="14"/>
      <c r="K257" s="20" t="str">
        <f aca="false">IF(OR(J257="",N(G257)=0),"",J257/G257)</f>
        <v/>
      </c>
      <c r="L257" s="12"/>
      <c r="M257" s="12"/>
      <c r="N257" s="12"/>
    </row>
    <row r="258" customFormat="false" ht="15" hidden="false" customHeight="false" outlineLevel="0" collapsed="false">
      <c r="A258" s="16"/>
      <c r="B258" s="12"/>
      <c r="C258" s="18" t="str">
        <f aca="false">IF(B258="","",IFERROR(INDEX(Inventario!$B$7:$B$46,MATCH(B258,Inventario!$A$7:$A$46,0)),"Clave no existe"))</f>
        <v/>
      </c>
      <c r="D258" s="18" t="str">
        <f aca="false">IF(B258="","",IFERROR(INDEX(Inventario!$C$7:$C$46,MATCH(B258,Inventario!$A$7:$A$46,0)),""))</f>
        <v/>
      </c>
      <c r="E258" s="19"/>
      <c r="F258" s="19"/>
      <c r="G258" s="20" t="str">
        <f aca="false">IF(OR(E258="",F258=""),IF(B258="","",IF(A258="","",8)),F258-E258)</f>
        <v/>
      </c>
      <c r="H258" s="14"/>
      <c r="I258" s="12"/>
      <c r="J258" s="14"/>
      <c r="K258" s="20" t="str">
        <f aca="false">IF(OR(J258="",N(G258)=0),"",J258/G258)</f>
        <v/>
      </c>
      <c r="L258" s="12"/>
      <c r="M258" s="12"/>
      <c r="N258" s="12"/>
    </row>
    <row r="259" customFormat="false" ht="15" hidden="false" customHeight="false" outlineLevel="0" collapsed="false">
      <c r="A259" s="16"/>
      <c r="B259" s="12"/>
      <c r="C259" s="18" t="str">
        <f aca="false">IF(B259="","",IFERROR(INDEX(Inventario!$B$7:$B$46,MATCH(B259,Inventario!$A$7:$A$46,0)),"Clave no existe"))</f>
        <v/>
      </c>
      <c r="D259" s="18" t="str">
        <f aca="false">IF(B259="","",IFERROR(INDEX(Inventario!$C$7:$C$46,MATCH(B259,Inventario!$A$7:$A$46,0)),""))</f>
        <v/>
      </c>
      <c r="E259" s="19"/>
      <c r="F259" s="19"/>
      <c r="G259" s="20" t="str">
        <f aca="false">IF(OR(E259="",F259=""),IF(B259="","",IF(A259="","",8)),F259-E259)</f>
        <v/>
      </c>
      <c r="H259" s="14"/>
      <c r="I259" s="12"/>
      <c r="J259" s="14"/>
      <c r="K259" s="20" t="str">
        <f aca="false">IF(OR(J259="",N(G259)=0),"",J259/G259)</f>
        <v/>
      </c>
      <c r="L259" s="12"/>
      <c r="M259" s="12"/>
      <c r="N259" s="12"/>
    </row>
    <row r="260" customFormat="false" ht="15" hidden="false" customHeight="false" outlineLevel="0" collapsed="false">
      <c r="A260" s="16"/>
      <c r="B260" s="12"/>
      <c r="C260" s="18" t="str">
        <f aca="false">IF(B260="","",IFERROR(INDEX(Inventario!$B$7:$B$46,MATCH(B260,Inventario!$A$7:$A$46,0)),"Clave no existe"))</f>
        <v/>
      </c>
      <c r="D260" s="18" t="str">
        <f aca="false">IF(B260="","",IFERROR(INDEX(Inventario!$C$7:$C$46,MATCH(B260,Inventario!$A$7:$A$46,0)),""))</f>
        <v/>
      </c>
      <c r="E260" s="19"/>
      <c r="F260" s="19"/>
      <c r="G260" s="20" t="str">
        <f aca="false">IF(OR(E260="",F260=""),IF(B260="","",IF(A260="","",8)),F260-E260)</f>
        <v/>
      </c>
      <c r="H260" s="14"/>
      <c r="I260" s="12"/>
      <c r="J260" s="14"/>
      <c r="K260" s="20" t="str">
        <f aca="false">IF(OR(J260="",N(G260)=0),"",J260/G260)</f>
        <v/>
      </c>
      <c r="L260" s="12"/>
      <c r="M260" s="12"/>
      <c r="N260" s="12"/>
    </row>
    <row r="261" customFormat="false" ht="15" hidden="false" customHeight="false" outlineLevel="0" collapsed="false">
      <c r="A261" s="16"/>
      <c r="B261" s="12"/>
      <c r="C261" s="18" t="str">
        <f aca="false">IF(B261="","",IFERROR(INDEX(Inventario!$B$7:$B$46,MATCH(B261,Inventario!$A$7:$A$46,0)),"Clave no existe"))</f>
        <v/>
      </c>
      <c r="D261" s="18" t="str">
        <f aca="false">IF(B261="","",IFERROR(INDEX(Inventario!$C$7:$C$46,MATCH(B261,Inventario!$A$7:$A$46,0)),""))</f>
        <v/>
      </c>
      <c r="E261" s="19"/>
      <c r="F261" s="19"/>
      <c r="G261" s="20" t="str">
        <f aca="false">IF(OR(E261="",F261=""),IF(B261="","",IF(A261="","",8)),F261-E261)</f>
        <v/>
      </c>
      <c r="H261" s="14"/>
      <c r="I261" s="12"/>
      <c r="J261" s="14"/>
      <c r="K261" s="20" t="str">
        <f aca="false">IF(OR(J261="",N(G261)=0),"",J261/G261)</f>
        <v/>
      </c>
      <c r="L261" s="12"/>
      <c r="M261" s="12"/>
      <c r="N261" s="12"/>
    </row>
    <row r="262" customFormat="false" ht="15" hidden="false" customHeight="false" outlineLevel="0" collapsed="false">
      <c r="A262" s="16"/>
      <c r="B262" s="12"/>
      <c r="C262" s="18" t="str">
        <f aca="false">IF(B262="","",IFERROR(INDEX(Inventario!$B$7:$B$46,MATCH(B262,Inventario!$A$7:$A$46,0)),"Clave no existe"))</f>
        <v/>
      </c>
      <c r="D262" s="18" t="str">
        <f aca="false">IF(B262="","",IFERROR(INDEX(Inventario!$C$7:$C$46,MATCH(B262,Inventario!$A$7:$A$46,0)),""))</f>
        <v/>
      </c>
      <c r="E262" s="19"/>
      <c r="F262" s="19"/>
      <c r="G262" s="20" t="str">
        <f aca="false">IF(OR(E262="",F262=""),IF(B262="","",IF(A262="","",8)),F262-E262)</f>
        <v/>
      </c>
      <c r="H262" s="14"/>
      <c r="I262" s="12"/>
      <c r="J262" s="14"/>
      <c r="K262" s="20" t="str">
        <f aca="false">IF(OR(J262="",N(G262)=0),"",J262/G262)</f>
        <v/>
      </c>
      <c r="L262" s="12"/>
      <c r="M262" s="12"/>
      <c r="N262" s="12"/>
    </row>
    <row r="263" customFormat="false" ht="15" hidden="false" customHeight="false" outlineLevel="0" collapsed="false">
      <c r="A263" s="16"/>
      <c r="B263" s="12"/>
      <c r="C263" s="18" t="str">
        <f aca="false">IF(B263="","",IFERROR(INDEX(Inventario!$B$7:$B$46,MATCH(B263,Inventario!$A$7:$A$46,0)),"Clave no existe"))</f>
        <v/>
      </c>
      <c r="D263" s="18" t="str">
        <f aca="false">IF(B263="","",IFERROR(INDEX(Inventario!$C$7:$C$46,MATCH(B263,Inventario!$A$7:$A$46,0)),""))</f>
        <v/>
      </c>
      <c r="E263" s="19"/>
      <c r="F263" s="19"/>
      <c r="G263" s="20" t="str">
        <f aca="false">IF(OR(E263="",F263=""),IF(B263="","",IF(A263="","",8)),F263-E263)</f>
        <v/>
      </c>
      <c r="H263" s="14"/>
      <c r="I263" s="12"/>
      <c r="J263" s="14"/>
      <c r="K263" s="20" t="str">
        <f aca="false">IF(OR(J263="",N(G263)=0),"",J263/G263)</f>
        <v/>
      </c>
      <c r="L263" s="12"/>
      <c r="M263" s="12"/>
      <c r="N263" s="12"/>
    </row>
    <row r="264" customFormat="false" ht="15" hidden="false" customHeight="false" outlineLevel="0" collapsed="false">
      <c r="A264" s="16"/>
      <c r="B264" s="12"/>
      <c r="C264" s="18" t="str">
        <f aca="false">IF(B264="","",IFERROR(INDEX(Inventario!$B$7:$B$46,MATCH(B264,Inventario!$A$7:$A$46,0)),"Clave no existe"))</f>
        <v/>
      </c>
      <c r="D264" s="18" t="str">
        <f aca="false">IF(B264="","",IFERROR(INDEX(Inventario!$C$7:$C$46,MATCH(B264,Inventario!$A$7:$A$46,0)),""))</f>
        <v/>
      </c>
      <c r="E264" s="19"/>
      <c r="F264" s="19"/>
      <c r="G264" s="20" t="str">
        <f aca="false">IF(OR(E264="",F264=""),IF(B264="","",IF(A264="","",8)),F264-E264)</f>
        <v/>
      </c>
      <c r="H264" s="14"/>
      <c r="I264" s="12"/>
      <c r="J264" s="14"/>
      <c r="K264" s="20" t="str">
        <f aca="false">IF(OR(J264="",N(G264)=0),"",J264/G264)</f>
        <v/>
      </c>
      <c r="L264" s="12"/>
      <c r="M264" s="12"/>
      <c r="N264" s="12"/>
    </row>
    <row r="265" customFormat="false" ht="15" hidden="false" customHeight="false" outlineLevel="0" collapsed="false">
      <c r="A265" s="16"/>
      <c r="B265" s="12"/>
      <c r="C265" s="18" t="str">
        <f aca="false">IF(B265="","",IFERROR(INDEX(Inventario!$B$7:$B$46,MATCH(B265,Inventario!$A$7:$A$46,0)),"Clave no existe"))</f>
        <v/>
      </c>
      <c r="D265" s="18" t="str">
        <f aca="false">IF(B265="","",IFERROR(INDEX(Inventario!$C$7:$C$46,MATCH(B265,Inventario!$A$7:$A$46,0)),""))</f>
        <v/>
      </c>
      <c r="E265" s="19"/>
      <c r="F265" s="19"/>
      <c r="G265" s="20" t="str">
        <f aca="false">IF(OR(E265="",F265=""),IF(B265="","",IF(A265="","",8)),F265-E265)</f>
        <v/>
      </c>
      <c r="H265" s="14"/>
      <c r="I265" s="12"/>
      <c r="J265" s="14"/>
      <c r="K265" s="20" t="str">
        <f aca="false">IF(OR(J265="",N(G265)=0),"",J265/G265)</f>
        <v/>
      </c>
      <c r="L265" s="12"/>
      <c r="M265" s="12"/>
      <c r="N265" s="12"/>
    </row>
    <row r="266" customFormat="false" ht="15" hidden="false" customHeight="false" outlineLevel="0" collapsed="false">
      <c r="A266" s="16"/>
      <c r="B266" s="12"/>
      <c r="C266" s="18" t="str">
        <f aca="false">IF(B266="","",IFERROR(INDEX(Inventario!$B$7:$B$46,MATCH(B266,Inventario!$A$7:$A$46,0)),"Clave no existe"))</f>
        <v/>
      </c>
      <c r="D266" s="18" t="str">
        <f aca="false">IF(B266="","",IFERROR(INDEX(Inventario!$C$7:$C$46,MATCH(B266,Inventario!$A$7:$A$46,0)),""))</f>
        <v/>
      </c>
      <c r="E266" s="19"/>
      <c r="F266" s="19"/>
      <c r="G266" s="20" t="str">
        <f aca="false">IF(OR(E266="",F266=""),IF(B266="","",IF(A266="","",8)),F266-E266)</f>
        <v/>
      </c>
      <c r="H266" s="14"/>
      <c r="I266" s="12"/>
      <c r="J266" s="14"/>
      <c r="K266" s="20" t="str">
        <f aca="false">IF(OR(J266="",N(G266)=0),"",J266/G266)</f>
        <v/>
      </c>
      <c r="L266" s="12"/>
      <c r="M266" s="12"/>
      <c r="N266" s="12"/>
    </row>
    <row r="267" customFormat="false" ht="15" hidden="false" customHeight="false" outlineLevel="0" collapsed="false">
      <c r="A267" s="16"/>
      <c r="B267" s="12"/>
      <c r="C267" s="18" t="str">
        <f aca="false">IF(B267="","",IFERROR(INDEX(Inventario!$B$7:$B$46,MATCH(B267,Inventario!$A$7:$A$46,0)),"Clave no existe"))</f>
        <v/>
      </c>
      <c r="D267" s="18" t="str">
        <f aca="false">IF(B267="","",IFERROR(INDEX(Inventario!$C$7:$C$46,MATCH(B267,Inventario!$A$7:$A$46,0)),""))</f>
        <v/>
      </c>
      <c r="E267" s="19"/>
      <c r="F267" s="19"/>
      <c r="G267" s="20" t="str">
        <f aca="false">IF(OR(E267="",F267=""),IF(B267="","",IF(A267="","",8)),F267-E267)</f>
        <v/>
      </c>
      <c r="H267" s="14"/>
      <c r="I267" s="12"/>
      <c r="J267" s="14"/>
      <c r="K267" s="20" t="str">
        <f aca="false">IF(OR(J267="",N(G267)=0),"",J267/G267)</f>
        <v/>
      </c>
      <c r="L267" s="12"/>
      <c r="M267" s="12"/>
      <c r="N267" s="12"/>
    </row>
    <row r="268" customFormat="false" ht="15" hidden="false" customHeight="false" outlineLevel="0" collapsed="false">
      <c r="A268" s="16"/>
      <c r="B268" s="12"/>
      <c r="C268" s="18" t="str">
        <f aca="false">IF(B268="","",IFERROR(INDEX(Inventario!$B$7:$B$46,MATCH(B268,Inventario!$A$7:$A$46,0)),"Clave no existe"))</f>
        <v/>
      </c>
      <c r="D268" s="18" t="str">
        <f aca="false">IF(B268="","",IFERROR(INDEX(Inventario!$C$7:$C$46,MATCH(B268,Inventario!$A$7:$A$46,0)),""))</f>
        <v/>
      </c>
      <c r="E268" s="19"/>
      <c r="F268" s="19"/>
      <c r="G268" s="20" t="str">
        <f aca="false">IF(OR(E268="",F268=""),IF(B268="","",IF(A268="","",8)),F268-E268)</f>
        <v/>
      </c>
      <c r="H268" s="14"/>
      <c r="I268" s="12"/>
      <c r="J268" s="14"/>
      <c r="K268" s="20" t="str">
        <f aca="false">IF(OR(J268="",N(G268)=0),"",J268/G268)</f>
        <v/>
      </c>
      <c r="L268" s="12"/>
      <c r="M268" s="12"/>
      <c r="N268" s="12"/>
    </row>
    <row r="269" customFormat="false" ht="15" hidden="false" customHeight="false" outlineLevel="0" collapsed="false">
      <c r="A269" s="16"/>
      <c r="B269" s="12"/>
      <c r="C269" s="18" t="str">
        <f aca="false">IF(B269="","",IFERROR(INDEX(Inventario!$B$7:$B$46,MATCH(B269,Inventario!$A$7:$A$46,0)),"Clave no existe"))</f>
        <v/>
      </c>
      <c r="D269" s="18" t="str">
        <f aca="false">IF(B269="","",IFERROR(INDEX(Inventario!$C$7:$C$46,MATCH(B269,Inventario!$A$7:$A$46,0)),""))</f>
        <v/>
      </c>
      <c r="E269" s="19"/>
      <c r="F269" s="19"/>
      <c r="G269" s="20" t="str">
        <f aca="false">IF(OR(E269="",F269=""),IF(B269="","",IF(A269="","",8)),F269-E269)</f>
        <v/>
      </c>
      <c r="H269" s="14"/>
      <c r="I269" s="12"/>
      <c r="J269" s="14"/>
      <c r="K269" s="20" t="str">
        <f aca="false">IF(OR(J269="",N(G269)=0),"",J269/G269)</f>
        <v/>
      </c>
      <c r="L269" s="12"/>
      <c r="M269" s="12"/>
      <c r="N269" s="12"/>
    </row>
    <row r="270" customFormat="false" ht="15" hidden="false" customHeight="false" outlineLevel="0" collapsed="false">
      <c r="A270" s="16"/>
      <c r="B270" s="12"/>
      <c r="C270" s="18" t="str">
        <f aca="false">IF(B270="","",IFERROR(INDEX(Inventario!$B$7:$B$46,MATCH(B270,Inventario!$A$7:$A$46,0)),"Clave no existe"))</f>
        <v/>
      </c>
      <c r="D270" s="18" t="str">
        <f aca="false">IF(B270="","",IFERROR(INDEX(Inventario!$C$7:$C$46,MATCH(B270,Inventario!$A$7:$A$46,0)),""))</f>
        <v/>
      </c>
      <c r="E270" s="19"/>
      <c r="F270" s="19"/>
      <c r="G270" s="20" t="str">
        <f aca="false">IF(OR(E270="",F270=""),IF(B270="","",IF(A270="","",8)),F270-E270)</f>
        <v/>
      </c>
      <c r="H270" s="14"/>
      <c r="I270" s="12"/>
      <c r="J270" s="14"/>
      <c r="K270" s="20" t="str">
        <f aca="false">IF(OR(J270="",N(G270)=0),"",J270/G270)</f>
        <v/>
      </c>
      <c r="L270" s="12"/>
      <c r="M270" s="12"/>
      <c r="N270" s="12"/>
    </row>
    <row r="271" customFormat="false" ht="15" hidden="false" customHeight="false" outlineLevel="0" collapsed="false">
      <c r="A271" s="16"/>
      <c r="B271" s="12"/>
      <c r="C271" s="18" t="str">
        <f aca="false">IF(B271="","",IFERROR(INDEX(Inventario!$B$7:$B$46,MATCH(B271,Inventario!$A$7:$A$46,0)),"Clave no existe"))</f>
        <v/>
      </c>
      <c r="D271" s="18" t="str">
        <f aca="false">IF(B271="","",IFERROR(INDEX(Inventario!$C$7:$C$46,MATCH(B271,Inventario!$A$7:$A$46,0)),""))</f>
        <v/>
      </c>
      <c r="E271" s="19"/>
      <c r="F271" s="19"/>
      <c r="G271" s="20" t="str">
        <f aca="false">IF(OR(E271="",F271=""),IF(B271="","",IF(A271="","",8)),F271-E271)</f>
        <v/>
      </c>
      <c r="H271" s="14"/>
      <c r="I271" s="12"/>
      <c r="J271" s="14"/>
      <c r="K271" s="20" t="str">
        <f aca="false">IF(OR(J271="",N(G271)=0),"",J271/G271)</f>
        <v/>
      </c>
      <c r="L271" s="12"/>
      <c r="M271" s="12"/>
      <c r="N271" s="12"/>
    </row>
    <row r="272" customFormat="false" ht="15" hidden="false" customHeight="false" outlineLevel="0" collapsed="false">
      <c r="A272" s="16"/>
      <c r="B272" s="12"/>
      <c r="C272" s="18" t="str">
        <f aca="false">IF(B272="","",IFERROR(INDEX(Inventario!$B$7:$B$46,MATCH(B272,Inventario!$A$7:$A$46,0)),"Clave no existe"))</f>
        <v/>
      </c>
      <c r="D272" s="18" t="str">
        <f aca="false">IF(B272="","",IFERROR(INDEX(Inventario!$C$7:$C$46,MATCH(B272,Inventario!$A$7:$A$46,0)),""))</f>
        <v/>
      </c>
      <c r="E272" s="19"/>
      <c r="F272" s="19"/>
      <c r="G272" s="20" t="str">
        <f aca="false">IF(OR(E272="",F272=""),IF(B272="","",IF(A272="","",8)),F272-E272)</f>
        <v/>
      </c>
      <c r="H272" s="14"/>
      <c r="I272" s="12"/>
      <c r="J272" s="14"/>
      <c r="K272" s="20" t="str">
        <f aca="false">IF(OR(J272="",N(G272)=0),"",J272/G272)</f>
        <v/>
      </c>
      <c r="L272" s="12"/>
      <c r="M272" s="12"/>
      <c r="N272" s="12"/>
    </row>
    <row r="273" customFormat="false" ht="15" hidden="false" customHeight="false" outlineLevel="0" collapsed="false">
      <c r="A273" s="16"/>
      <c r="B273" s="12"/>
      <c r="C273" s="18" t="str">
        <f aca="false">IF(B273="","",IFERROR(INDEX(Inventario!$B$7:$B$46,MATCH(B273,Inventario!$A$7:$A$46,0)),"Clave no existe"))</f>
        <v/>
      </c>
      <c r="D273" s="18" t="str">
        <f aca="false">IF(B273="","",IFERROR(INDEX(Inventario!$C$7:$C$46,MATCH(B273,Inventario!$A$7:$A$46,0)),""))</f>
        <v/>
      </c>
      <c r="E273" s="19"/>
      <c r="F273" s="19"/>
      <c r="G273" s="20" t="str">
        <f aca="false">IF(OR(E273="",F273=""),IF(B273="","",IF(A273="","",8)),F273-E273)</f>
        <v/>
      </c>
      <c r="H273" s="14"/>
      <c r="I273" s="12"/>
      <c r="J273" s="14"/>
      <c r="K273" s="20" t="str">
        <f aca="false">IF(OR(J273="",N(G273)=0),"",J273/G273)</f>
        <v/>
      </c>
      <c r="L273" s="12"/>
      <c r="M273" s="12"/>
      <c r="N273" s="12"/>
    </row>
    <row r="274" customFormat="false" ht="15" hidden="false" customHeight="false" outlineLevel="0" collapsed="false">
      <c r="A274" s="16"/>
      <c r="B274" s="12"/>
      <c r="C274" s="18" t="str">
        <f aca="false">IF(B274="","",IFERROR(INDEX(Inventario!$B$7:$B$46,MATCH(B274,Inventario!$A$7:$A$46,0)),"Clave no existe"))</f>
        <v/>
      </c>
      <c r="D274" s="18" t="str">
        <f aca="false">IF(B274="","",IFERROR(INDEX(Inventario!$C$7:$C$46,MATCH(B274,Inventario!$A$7:$A$46,0)),""))</f>
        <v/>
      </c>
      <c r="E274" s="19"/>
      <c r="F274" s="19"/>
      <c r="G274" s="20" t="str">
        <f aca="false">IF(OR(E274="",F274=""),IF(B274="","",IF(A274="","",8)),F274-E274)</f>
        <v/>
      </c>
      <c r="H274" s="14"/>
      <c r="I274" s="12"/>
      <c r="J274" s="14"/>
      <c r="K274" s="20" t="str">
        <f aca="false">IF(OR(J274="",N(G274)=0),"",J274/G274)</f>
        <v/>
      </c>
      <c r="L274" s="12"/>
      <c r="M274" s="12"/>
      <c r="N274" s="12"/>
    </row>
    <row r="275" customFormat="false" ht="15" hidden="false" customHeight="false" outlineLevel="0" collapsed="false">
      <c r="A275" s="16"/>
      <c r="B275" s="12"/>
      <c r="C275" s="18" t="str">
        <f aca="false">IF(B275="","",IFERROR(INDEX(Inventario!$B$7:$B$46,MATCH(B275,Inventario!$A$7:$A$46,0)),"Clave no existe"))</f>
        <v/>
      </c>
      <c r="D275" s="18" t="str">
        <f aca="false">IF(B275="","",IFERROR(INDEX(Inventario!$C$7:$C$46,MATCH(B275,Inventario!$A$7:$A$46,0)),""))</f>
        <v/>
      </c>
      <c r="E275" s="19"/>
      <c r="F275" s="19"/>
      <c r="G275" s="20" t="str">
        <f aca="false">IF(OR(E275="",F275=""),IF(B275="","",IF(A275="","",8)),F275-E275)</f>
        <v/>
      </c>
      <c r="H275" s="14"/>
      <c r="I275" s="12"/>
      <c r="J275" s="14"/>
      <c r="K275" s="20" t="str">
        <f aca="false">IF(OR(J275="",N(G275)=0),"",J275/G275)</f>
        <v/>
      </c>
      <c r="L275" s="12"/>
      <c r="M275" s="12"/>
      <c r="N275" s="12"/>
    </row>
    <row r="276" customFormat="false" ht="15" hidden="false" customHeight="false" outlineLevel="0" collapsed="false">
      <c r="A276" s="16"/>
      <c r="B276" s="12"/>
      <c r="C276" s="18" t="str">
        <f aca="false">IF(B276="","",IFERROR(INDEX(Inventario!$B$7:$B$46,MATCH(B276,Inventario!$A$7:$A$46,0)),"Clave no existe"))</f>
        <v/>
      </c>
      <c r="D276" s="18" t="str">
        <f aca="false">IF(B276="","",IFERROR(INDEX(Inventario!$C$7:$C$46,MATCH(B276,Inventario!$A$7:$A$46,0)),""))</f>
        <v/>
      </c>
      <c r="E276" s="19"/>
      <c r="F276" s="19"/>
      <c r="G276" s="20" t="str">
        <f aca="false">IF(OR(E276="",F276=""),IF(B276="","",IF(A276="","",8)),F276-E276)</f>
        <v/>
      </c>
      <c r="H276" s="14"/>
      <c r="I276" s="12"/>
      <c r="J276" s="14"/>
      <c r="K276" s="20" t="str">
        <f aca="false">IF(OR(J276="",N(G276)=0),"",J276/G276)</f>
        <v/>
      </c>
      <c r="L276" s="12"/>
      <c r="M276" s="12"/>
      <c r="N276" s="12"/>
    </row>
    <row r="277" customFormat="false" ht="15" hidden="false" customHeight="false" outlineLevel="0" collapsed="false">
      <c r="A277" s="16"/>
      <c r="B277" s="12"/>
      <c r="C277" s="18" t="str">
        <f aca="false">IF(B277="","",IFERROR(INDEX(Inventario!$B$7:$B$46,MATCH(B277,Inventario!$A$7:$A$46,0)),"Clave no existe"))</f>
        <v/>
      </c>
      <c r="D277" s="18" t="str">
        <f aca="false">IF(B277="","",IFERROR(INDEX(Inventario!$C$7:$C$46,MATCH(B277,Inventario!$A$7:$A$46,0)),""))</f>
        <v/>
      </c>
      <c r="E277" s="19"/>
      <c r="F277" s="19"/>
      <c r="G277" s="20" t="str">
        <f aca="false">IF(OR(E277="",F277=""),IF(B277="","",IF(A277="","",8)),F277-E277)</f>
        <v/>
      </c>
      <c r="H277" s="14"/>
      <c r="I277" s="12"/>
      <c r="J277" s="14"/>
      <c r="K277" s="20" t="str">
        <f aca="false">IF(OR(J277="",N(G277)=0),"",J277/G277)</f>
        <v/>
      </c>
      <c r="L277" s="12"/>
      <c r="M277" s="12"/>
      <c r="N277" s="12"/>
    </row>
    <row r="278" customFormat="false" ht="15" hidden="false" customHeight="false" outlineLevel="0" collapsed="false">
      <c r="A278" s="16"/>
      <c r="B278" s="12"/>
      <c r="C278" s="18" t="str">
        <f aca="false">IF(B278="","",IFERROR(INDEX(Inventario!$B$7:$B$46,MATCH(B278,Inventario!$A$7:$A$46,0)),"Clave no existe"))</f>
        <v/>
      </c>
      <c r="D278" s="18" t="str">
        <f aca="false">IF(B278="","",IFERROR(INDEX(Inventario!$C$7:$C$46,MATCH(B278,Inventario!$A$7:$A$46,0)),""))</f>
        <v/>
      </c>
      <c r="E278" s="19"/>
      <c r="F278" s="19"/>
      <c r="G278" s="20" t="str">
        <f aca="false">IF(OR(E278="",F278=""),IF(B278="","",IF(A278="","",8)),F278-E278)</f>
        <v/>
      </c>
      <c r="H278" s="14"/>
      <c r="I278" s="12"/>
      <c r="J278" s="14"/>
      <c r="K278" s="20" t="str">
        <f aca="false">IF(OR(J278="",N(G278)=0),"",J278/G278)</f>
        <v/>
      </c>
      <c r="L278" s="12"/>
      <c r="M278" s="12"/>
      <c r="N278" s="12"/>
    </row>
    <row r="279" customFormat="false" ht="15" hidden="false" customHeight="false" outlineLevel="0" collapsed="false">
      <c r="A279" s="16"/>
      <c r="B279" s="12"/>
      <c r="C279" s="18" t="str">
        <f aca="false">IF(B279="","",IFERROR(INDEX(Inventario!$B$7:$B$46,MATCH(B279,Inventario!$A$7:$A$46,0)),"Clave no existe"))</f>
        <v/>
      </c>
      <c r="D279" s="18" t="str">
        <f aca="false">IF(B279="","",IFERROR(INDEX(Inventario!$C$7:$C$46,MATCH(B279,Inventario!$A$7:$A$46,0)),""))</f>
        <v/>
      </c>
      <c r="E279" s="19"/>
      <c r="F279" s="19"/>
      <c r="G279" s="20" t="str">
        <f aca="false">IF(OR(E279="",F279=""),IF(B279="","",IF(A279="","",8)),F279-E279)</f>
        <v/>
      </c>
      <c r="H279" s="14"/>
      <c r="I279" s="12"/>
      <c r="J279" s="14"/>
      <c r="K279" s="20" t="str">
        <f aca="false">IF(OR(J279="",N(G279)=0),"",J279/G279)</f>
        <v/>
      </c>
      <c r="L279" s="12"/>
      <c r="M279" s="12"/>
      <c r="N279" s="12"/>
    </row>
    <row r="280" customFormat="false" ht="15" hidden="false" customHeight="false" outlineLevel="0" collapsed="false">
      <c r="A280" s="16"/>
      <c r="B280" s="12"/>
      <c r="C280" s="18" t="str">
        <f aca="false">IF(B280="","",IFERROR(INDEX(Inventario!$B$7:$B$46,MATCH(B280,Inventario!$A$7:$A$46,0)),"Clave no existe"))</f>
        <v/>
      </c>
      <c r="D280" s="18" t="str">
        <f aca="false">IF(B280="","",IFERROR(INDEX(Inventario!$C$7:$C$46,MATCH(B280,Inventario!$A$7:$A$46,0)),""))</f>
        <v/>
      </c>
      <c r="E280" s="19"/>
      <c r="F280" s="19"/>
      <c r="G280" s="20" t="str">
        <f aca="false">IF(OR(E280="",F280=""),IF(B280="","",IF(A280="","",8)),F280-E280)</f>
        <v/>
      </c>
      <c r="H280" s="14"/>
      <c r="I280" s="12"/>
      <c r="J280" s="14"/>
      <c r="K280" s="20" t="str">
        <f aca="false">IF(OR(J280="",N(G280)=0),"",J280/G280)</f>
        <v/>
      </c>
      <c r="L280" s="12"/>
      <c r="M280" s="12"/>
      <c r="N280" s="12"/>
    </row>
    <row r="281" customFormat="false" ht="15" hidden="false" customHeight="false" outlineLevel="0" collapsed="false">
      <c r="A281" s="16"/>
      <c r="B281" s="12"/>
      <c r="C281" s="18" t="str">
        <f aca="false">IF(B281="","",IFERROR(INDEX(Inventario!$B$7:$B$46,MATCH(B281,Inventario!$A$7:$A$46,0)),"Clave no existe"))</f>
        <v/>
      </c>
      <c r="D281" s="18" t="str">
        <f aca="false">IF(B281="","",IFERROR(INDEX(Inventario!$C$7:$C$46,MATCH(B281,Inventario!$A$7:$A$46,0)),""))</f>
        <v/>
      </c>
      <c r="E281" s="19"/>
      <c r="F281" s="19"/>
      <c r="G281" s="20" t="str">
        <f aca="false">IF(OR(E281="",F281=""),IF(B281="","",IF(A281="","",8)),F281-E281)</f>
        <v/>
      </c>
      <c r="H281" s="14"/>
      <c r="I281" s="12"/>
      <c r="J281" s="14"/>
      <c r="K281" s="20" t="str">
        <f aca="false">IF(OR(J281="",N(G281)=0),"",J281/G281)</f>
        <v/>
      </c>
      <c r="L281" s="12"/>
      <c r="M281" s="12"/>
      <c r="N281" s="12"/>
    </row>
    <row r="282" customFormat="false" ht="15" hidden="false" customHeight="false" outlineLevel="0" collapsed="false">
      <c r="A282" s="16"/>
      <c r="B282" s="12"/>
      <c r="C282" s="18" t="str">
        <f aca="false">IF(B282="","",IFERROR(INDEX(Inventario!$B$7:$B$46,MATCH(B282,Inventario!$A$7:$A$46,0)),"Clave no existe"))</f>
        <v/>
      </c>
      <c r="D282" s="18" t="str">
        <f aca="false">IF(B282="","",IFERROR(INDEX(Inventario!$C$7:$C$46,MATCH(B282,Inventario!$A$7:$A$46,0)),""))</f>
        <v/>
      </c>
      <c r="E282" s="19"/>
      <c r="F282" s="19"/>
      <c r="G282" s="20" t="str">
        <f aca="false">IF(OR(E282="",F282=""),IF(B282="","",IF(A282="","",8)),F282-E282)</f>
        <v/>
      </c>
      <c r="H282" s="14"/>
      <c r="I282" s="12"/>
      <c r="J282" s="14"/>
      <c r="K282" s="20" t="str">
        <f aca="false">IF(OR(J282="",N(G282)=0),"",J282/G282)</f>
        <v/>
      </c>
      <c r="L282" s="12"/>
      <c r="M282" s="12"/>
      <c r="N282" s="12"/>
    </row>
    <row r="283" customFormat="false" ht="15" hidden="false" customHeight="false" outlineLevel="0" collapsed="false">
      <c r="A283" s="16"/>
      <c r="B283" s="12"/>
      <c r="C283" s="18" t="str">
        <f aca="false">IF(B283="","",IFERROR(INDEX(Inventario!$B$7:$B$46,MATCH(B283,Inventario!$A$7:$A$46,0)),"Clave no existe"))</f>
        <v/>
      </c>
      <c r="D283" s="18" t="str">
        <f aca="false">IF(B283="","",IFERROR(INDEX(Inventario!$C$7:$C$46,MATCH(B283,Inventario!$A$7:$A$46,0)),""))</f>
        <v/>
      </c>
      <c r="E283" s="19"/>
      <c r="F283" s="19"/>
      <c r="G283" s="20" t="str">
        <f aca="false">IF(OR(E283="",F283=""),IF(B283="","",IF(A283="","",8)),F283-E283)</f>
        <v/>
      </c>
      <c r="H283" s="14"/>
      <c r="I283" s="12"/>
      <c r="J283" s="14"/>
      <c r="K283" s="20" t="str">
        <f aca="false">IF(OR(J283="",N(G283)=0),"",J283/G283)</f>
        <v/>
      </c>
      <c r="L283" s="12"/>
      <c r="M283" s="12"/>
      <c r="N283" s="12"/>
    </row>
    <row r="284" customFormat="false" ht="15" hidden="false" customHeight="false" outlineLevel="0" collapsed="false">
      <c r="A284" s="16"/>
      <c r="B284" s="12"/>
      <c r="C284" s="18" t="str">
        <f aca="false">IF(B284="","",IFERROR(INDEX(Inventario!$B$7:$B$46,MATCH(B284,Inventario!$A$7:$A$46,0)),"Clave no existe"))</f>
        <v/>
      </c>
      <c r="D284" s="18" t="str">
        <f aca="false">IF(B284="","",IFERROR(INDEX(Inventario!$C$7:$C$46,MATCH(B284,Inventario!$A$7:$A$46,0)),""))</f>
        <v/>
      </c>
      <c r="E284" s="19"/>
      <c r="F284" s="19"/>
      <c r="G284" s="20" t="str">
        <f aca="false">IF(OR(E284="",F284=""),IF(B284="","",IF(A284="","",8)),F284-E284)</f>
        <v/>
      </c>
      <c r="H284" s="14"/>
      <c r="I284" s="12"/>
      <c r="J284" s="14"/>
      <c r="K284" s="20" t="str">
        <f aca="false">IF(OR(J284="",N(G284)=0),"",J284/G284)</f>
        <v/>
      </c>
      <c r="L284" s="12"/>
      <c r="M284" s="12"/>
      <c r="N284" s="12"/>
    </row>
    <row r="285" customFormat="false" ht="15" hidden="false" customHeight="false" outlineLevel="0" collapsed="false">
      <c r="A285" s="16"/>
      <c r="B285" s="12"/>
      <c r="C285" s="18" t="str">
        <f aca="false">IF(B285="","",IFERROR(INDEX(Inventario!$B$7:$B$46,MATCH(B285,Inventario!$A$7:$A$46,0)),"Clave no existe"))</f>
        <v/>
      </c>
      <c r="D285" s="18" t="str">
        <f aca="false">IF(B285="","",IFERROR(INDEX(Inventario!$C$7:$C$46,MATCH(B285,Inventario!$A$7:$A$46,0)),""))</f>
        <v/>
      </c>
      <c r="E285" s="19"/>
      <c r="F285" s="19"/>
      <c r="G285" s="20" t="str">
        <f aca="false">IF(OR(E285="",F285=""),IF(B285="","",IF(A285="","",8)),F285-E285)</f>
        <v/>
      </c>
      <c r="H285" s="14"/>
      <c r="I285" s="12"/>
      <c r="J285" s="14"/>
      <c r="K285" s="20" t="str">
        <f aca="false">IF(OR(J285="",N(G285)=0),"",J285/G285)</f>
        <v/>
      </c>
      <c r="L285" s="12"/>
      <c r="M285" s="12"/>
      <c r="N285" s="12"/>
    </row>
    <row r="286" customFormat="false" ht="15" hidden="false" customHeight="false" outlineLevel="0" collapsed="false">
      <c r="A286" s="16"/>
      <c r="B286" s="12"/>
      <c r="C286" s="18" t="str">
        <f aca="false">IF(B286="","",IFERROR(INDEX(Inventario!$B$7:$B$46,MATCH(B286,Inventario!$A$7:$A$46,0)),"Clave no existe"))</f>
        <v/>
      </c>
      <c r="D286" s="18" t="str">
        <f aca="false">IF(B286="","",IFERROR(INDEX(Inventario!$C$7:$C$46,MATCH(B286,Inventario!$A$7:$A$46,0)),""))</f>
        <v/>
      </c>
      <c r="E286" s="19"/>
      <c r="F286" s="19"/>
      <c r="G286" s="20" t="str">
        <f aca="false">IF(OR(E286="",F286=""),IF(B286="","",IF(A286="","",8)),F286-E286)</f>
        <v/>
      </c>
      <c r="H286" s="14"/>
      <c r="I286" s="12"/>
      <c r="J286" s="14"/>
      <c r="K286" s="20" t="str">
        <f aca="false">IF(OR(J286="",N(G286)=0),"",J286/G286)</f>
        <v/>
      </c>
      <c r="L286" s="12"/>
      <c r="M286" s="12"/>
      <c r="N286" s="12"/>
    </row>
    <row r="287" customFormat="false" ht="15" hidden="false" customHeight="false" outlineLevel="0" collapsed="false">
      <c r="A287" s="16"/>
      <c r="B287" s="12"/>
      <c r="C287" s="18" t="str">
        <f aca="false">IF(B287="","",IFERROR(INDEX(Inventario!$B$7:$B$46,MATCH(B287,Inventario!$A$7:$A$46,0)),"Clave no existe"))</f>
        <v/>
      </c>
      <c r="D287" s="18" t="str">
        <f aca="false">IF(B287="","",IFERROR(INDEX(Inventario!$C$7:$C$46,MATCH(B287,Inventario!$A$7:$A$46,0)),""))</f>
        <v/>
      </c>
      <c r="E287" s="19"/>
      <c r="F287" s="19"/>
      <c r="G287" s="20" t="str">
        <f aca="false">IF(OR(E287="",F287=""),IF(B287="","",IF(A287="","",8)),F287-E287)</f>
        <v/>
      </c>
      <c r="H287" s="14"/>
      <c r="I287" s="12"/>
      <c r="J287" s="14"/>
      <c r="K287" s="20" t="str">
        <f aca="false">IF(OR(J287="",N(G287)=0),"",J287/G287)</f>
        <v/>
      </c>
      <c r="L287" s="12"/>
      <c r="M287" s="12"/>
      <c r="N287" s="12"/>
    </row>
    <row r="288" customFormat="false" ht="15" hidden="false" customHeight="false" outlineLevel="0" collapsed="false">
      <c r="A288" s="16"/>
      <c r="B288" s="12"/>
      <c r="C288" s="18" t="str">
        <f aca="false">IF(B288="","",IFERROR(INDEX(Inventario!$B$7:$B$46,MATCH(B288,Inventario!$A$7:$A$46,0)),"Clave no existe"))</f>
        <v/>
      </c>
      <c r="D288" s="18" t="str">
        <f aca="false">IF(B288="","",IFERROR(INDEX(Inventario!$C$7:$C$46,MATCH(B288,Inventario!$A$7:$A$46,0)),""))</f>
        <v/>
      </c>
      <c r="E288" s="19"/>
      <c r="F288" s="19"/>
      <c r="G288" s="20" t="str">
        <f aca="false">IF(OR(E288="",F288=""),IF(B288="","",IF(A288="","",8)),F288-E288)</f>
        <v/>
      </c>
      <c r="H288" s="14"/>
      <c r="I288" s="12"/>
      <c r="J288" s="14"/>
      <c r="K288" s="20" t="str">
        <f aca="false">IF(OR(J288="",N(G288)=0),"",J288/G288)</f>
        <v/>
      </c>
      <c r="L288" s="12"/>
      <c r="M288" s="12"/>
      <c r="N288" s="12"/>
    </row>
    <row r="289" customFormat="false" ht="15" hidden="false" customHeight="false" outlineLevel="0" collapsed="false">
      <c r="A289" s="16"/>
      <c r="B289" s="12"/>
      <c r="C289" s="18" t="str">
        <f aca="false">IF(B289="","",IFERROR(INDEX(Inventario!$B$7:$B$46,MATCH(B289,Inventario!$A$7:$A$46,0)),"Clave no existe"))</f>
        <v/>
      </c>
      <c r="D289" s="18" t="str">
        <f aca="false">IF(B289="","",IFERROR(INDEX(Inventario!$C$7:$C$46,MATCH(B289,Inventario!$A$7:$A$46,0)),""))</f>
        <v/>
      </c>
      <c r="E289" s="19"/>
      <c r="F289" s="19"/>
      <c r="G289" s="20" t="str">
        <f aca="false">IF(OR(E289="",F289=""),IF(B289="","",IF(A289="","",8)),F289-E289)</f>
        <v/>
      </c>
      <c r="H289" s="14"/>
      <c r="I289" s="12"/>
      <c r="J289" s="14"/>
      <c r="K289" s="20" t="str">
        <f aca="false">IF(OR(J289="",N(G289)=0),"",J289/G289)</f>
        <v/>
      </c>
      <c r="L289" s="12"/>
      <c r="M289" s="12"/>
      <c r="N289" s="12"/>
    </row>
    <row r="290" customFormat="false" ht="15" hidden="false" customHeight="false" outlineLevel="0" collapsed="false">
      <c r="A290" s="16"/>
      <c r="B290" s="12"/>
      <c r="C290" s="18" t="str">
        <f aca="false">IF(B290="","",IFERROR(INDEX(Inventario!$B$7:$B$46,MATCH(B290,Inventario!$A$7:$A$46,0)),"Clave no existe"))</f>
        <v/>
      </c>
      <c r="D290" s="18" t="str">
        <f aca="false">IF(B290="","",IFERROR(INDEX(Inventario!$C$7:$C$46,MATCH(B290,Inventario!$A$7:$A$46,0)),""))</f>
        <v/>
      </c>
      <c r="E290" s="19"/>
      <c r="F290" s="19"/>
      <c r="G290" s="20" t="str">
        <f aca="false">IF(OR(E290="",F290=""),IF(B290="","",IF(A290="","",8)),F290-E290)</f>
        <v/>
      </c>
      <c r="H290" s="14"/>
      <c r="I290" s="12"/>
      <c r="J290" s="14"/>
      <c r="K290" s="20" t="str">
        <f aca="false">IF(OR(J290="",N(G290)=0),"",J290/G290)</f>
        <v/>
      </c>
      <c r="L290" s="12"/>
      <c r="M290" s="12"/>
      <c r="N290" s="12"/>
    </row>
    <row r="291" customFormat="false" ht="15" hidden="false" customHeight="false" outlineLevel="0" collapsed="false">
      <c r="A291" s="16"/>
      <c r="B291" s="12"/>
      <c r="C291" s="18" t="str">
        <f aca="false">IF(B291="","",IFERROR(INDEX(Inventario!$B$7:$B$46,MATCH(B291,Inventario!$A$7:$A$46,0)),"Clave no existe"))</f>
        <v/>
      </c>
      <c r="D291" s="18" t="str">
        <f aca="false">IF(B291="","",IFERROR(INDEX(Inventario!$C$7:$C$46,MATCH(B291,Inventario!$A$7:$A$46,0)),""))</f>
        <v/>
      </c>
      <c r="E291" s="19"/>
      <c r="F291" s="19"/>
      <c r="G291" s="20" t="str">
        <f aca="false">IF(OR(E291="",F291=""),IF(B291="","",IF(A291="","",8)),F291-E291)</f>
        <v/>
      </c>
      <c r="H291" s="14"/>
      <c r="I291" s="12"/>
      <c r="J291" s="14"/>
      <c r="K291" s="20" t="str">
        <f aca="false">IF(OR(J291="",N(G291)=0),"",J291/G291)</f>
        <v/>
      </c>
      <c r="L291" s="12"/>
      <c r="M291" s="12"/>
      <c r="N291" s="12"/>
    </row>
    <row r="292" customFormat="false" ht="15" hidden="false" customHeight="false" outlineLevel="0" collapsed="false">
      <c r="A292" s="16"/>
      <c r="B292" s="12"/>
      <c r="C292" s="18" t="str">
        <f aca="false">IF(B292="","",IFERROR(INDEX(Inventario!$B$7:$B$46,MATCH(B292,Inventario!$A$7:$A$46,0)),"Clave no existe"))</f>
        <v/>
      </c>
      <c r="D292" s="18" t="str">
        <f aca="false">IF(B292="","",IFERROR(INDEX(Inventario!$C$7:$C$46,MATCH(B292,Inventario!$A$7:$A$46,0)),""))</f>
        <v/>
      </c>
      <c r="E292" s="19"/>
      <c r="F292" s="19"/>
      <c r="G292" s="20" t="str">
        <f aca="false">IF(OR(E292="",F292=""),IF(B292="","",IF(A292="","",8)),F292-E292)</f>
        <v/>
      </c>
      <c r="H292" s="14"/>
      <c r="I292" s="12"/>
      <c r="J292" s="14"/>
      <c r="K292" s="20" t="str">
        <f aca="false">IF(OR(J292="",N(G292)=0),"",J292/G292)</f>
        <v/>
      </c>
      <c r="L292" s="12"/>
      <c r="M292" s="12"/>
      <c r="N292" s="12"/>
    </row>
    <row r="293" customFormat="false" ht="15" hidden="false" customHeight="false" outlineLevel="0" collapsed="false">
      <c r="A293" s="16"/>
      <c r="B293" s="12"/>
      <c r="C293" s="18" t="str">
        <f aca="false">IF(B293="","",IFERROR(INDEX(Inventario!$B$7:$B$46,MATCH(B293,Inventario!$A$7:$A$46,0)),"Clave no existe"))</f>
        <v/>
      </c>
      <c r="D293" s="18" t="str">
        <f aca="false">IF(B293="","",IFERROR(INDEX(Inventario!$C$7:$C$46,MATCH(B293,Inventario!$A$7:$A$46,0)),""))</f>
        <v/>
      </c>
      <c r="E293" s="19"/>
      <c r="F293" s="19"/>
      <c r="G293" s="20" t="str">
        <f aca="false">IF(OR(E293="",F293=""),IF(B293="","",IF(A293="","",8)),F293-E293)</f>
        <v/>
      </c>
      <c r="H293" s="14"/>
      <c r="I293" s="12"/>
      <c r="J293" s="14"/>
      <c r="K293" s="20" t="str">
        <f aca="false">IF(OR(J293="",N(G293)=0),"",J293/G293)</f>
        <v/>
      </c>
      <c r="L293" s="12"/>
      <c r="M293" s="12"/>
      <c r="N293" s="12"/>
    </row>
    <row r="294" customFormat="false" ht="15" hidden="false" customHeight="false" outlineLevel="0" collapsed="false">
      <c r="A294" s="16"/>
      <c r="B294" s="12"/>
      <c r="C294" s="18" t="str">
        <f aca="false">IF(B294="","",IFERROR(INDEX(Inventario!$B$7:$B$46,MATCH(B294,Inventario!$A$7:$A$46,0)),"Clave no existe"))</f>
        <v/>
      </c>
      <c r="D294" s="18" t="str">
        <f aca="false">IF(B294="","",IFERROR(INDEX(Inventario!$C$7:$C$46,MATCH(B294,Inventario!$A$7:$A$46,0)),""))</f>
        <v/>
      </c>
      <c r="E294" s="19"/>
      <c r="F294" s="19"/>
      <c r="G294" s="20" t="str">
        <f aca="false">IF(OR(E294="",F294=""),IF(B294="","",IF(A294="","",8)),F294-E294)</f>
        <v/>
      </c>
      <c r="H294" s="14"/>
      <c r="I294" s="12"/>
      <c r="J294" s="14"/>
      <c r="K294" s="20" t="str">
        <f aca="false">IF(OR(J294="",N(G294)=0),"",J294/G294)</f>
        <v/>
      </c>
      <c r="L294" s="12"/>
      <c r="M294" s="12"/>
      <c r="N294" s="12"/>
    </row>
    <row r="295" customFormat="false" ht="15" hidden="false" customHeight="false" outlineLevel="0" collapsed="false">
      <c r="A295" s="16"/>
      <c r="B295" s="12"/>
      <c r="C295" s="18" t="str">
        <f aca="false">IF(B295="","",IFERROR(INDEX(Inventario!$B$7:$B$46,MATCH(B295,Inventario!$A$7:$A$46,0)),"Clave no existe"))</f>
        <v/>
      </c>
      <c r="D295" s="18" t="str">
        <f aca="false">IF(B295="","",IFERROR(INDEX(Inventario!$C$7:$C$46,MATCH(B295,Inventario!$A$7:$A$46,0)),""))</f>
        <v/>
      </c>
      <c r="E295" s="19"/>
      <c r="F295" s="19"/>
      <c r="G295" s="20" t="str">
        <f aca="false">IF(OR(E295="",F295=""),IF(B295="","",IF(A295="","",8)),F295-E295)</f>
        <v/>
      </c>
      <c r="H295" s="14"/>
      <c r="I295" s="12"/>
      <c r="J295" s="14"/>
      <c r="K295" s="20" t="str">
        <f aca="false">IF(OR(J295="",N(G295)=0),"",J295/G295)</f>
        <v/>
      </c>
      <c r="L295" s="12"/>
      <c r="M295" s="12"/>
      <c r="N295" s="12"/>
    </row>
    <row r="296" customFormat="false" ht="15" hidden="false" customHeight="false" outlineLevel="0" collapsed="false">
      <c r="A296" s="16"/>
      <c r="B296" s="12"/>
      <c r="C296" s="18" t="str">
        <f aca="false">IF(B296="","",IFERROR(INDEX(Inventario!$B$7:$B$46,MATCH(B296,Inventario!$A$7:$A$46,0)),"Clave no existe"))</f>
        <v/>
      </c>
      <c r="D296" s="18" t="str">
        <f aca="false">IF(B296="","",IFERROR(INDEX(Inventario!$C$7:$C$46,MATCH(B296,Inventario!$A$7:$A$46,0)),""))</f>
        <v/>
      </c>
      <c r="E296" s="19"/>
      <c r="F296" s="19"/>
      <c r="G296" s="20" t="str">
        <f aca="false">IF(OR(E296="",F296=""),IF(B296="","",IF(A296="","",8)),F296-E296)</f>
        <v/>
      </c>
      <c r="H296" s="14"/>
      <c r="I296" s="12"/>
      <c r="J296" s="14"/>
      <c r="K296" s="20" t="str">
        <f aca="false">IF(OR(J296="",N(G296)=0),"",J296/G296)</f>
        <v/>
      </c>
      <c r="L296" s="12"/>
      <c r="M296" s="12"/>
      <c r="N296" s="12"/>
    </row>
    <row r="297" customFormat="false" ht="15" hidden="false" customHeight="false" outlineLevel="0" collapsed="false">
      <c r="A297" s="16"/>
      <c r="B297" s="12"/>
      <c r="C297" s="18" t="str">
        <f aca="false">IF(B297="","",IFERROR(INDEX(Inventario!$B$7:$B$46,MATCH(B297,Inventario!$A$7:$A$46,0)),"Clave no existe"))</f>
        <v/>
      </c>
      <c r="D297" s="18" t="str">
        <f aca="false">IF(B297="","",IFERROR(INDEX(Inventario!$C$7:$C$46,MATCH(B297,Inventario!$A$7:$A$46,0)),""))</f>
        <v/>
      </c>
      <c r="E297" s="19"/>
      <c r="F297" s="19"/>
      <c r="G297" s="20" t="str">
        <f aca="false">IF(OR(E297="",F297=""),IF(B297="","",IF(A297="","",8)),F297-E297)</f>
        <v/>
      </c>
      <c r="H297" s="14"/>
      <c r="I297" s="12"/>
      <c r="J297" s="14"/>
      <c r="K297" s="20" t="str">
        <f aca="false">IF(OR(J297="",N(G297)=0),"",J297/G297)</f>
        <v/>
      </c>
      <c r="L297" s="12"/>
      <c r="M297" s="12"/>
      <c r="N297" s="12"/>
    </row>
    <row r="298" customFormat="false" ht="15" hidden="false" customHeight="false" outlineLevel="0" collapsed="false">
      <c r="A298" s="16"/>
      <c r="B298" s="12"/>
      <c r="C298" s="18" t="str">
        <f aca="false">IF(B298="","",IFERROR(INDEX(Inventario!$B$7:$B$46,MATCH(B298,Inventario!$A$7:$A$46,0)),"Clave no existe"))</f>
        <v/>
      </c>
      <c r="D298" s="18" t="str">
        <f aca="false">IF(B298="","",IFERROR(INDEX(Inventario!$C$7:$C$46,MATCH(B298,Inventario!$A$7:$A$46,0)),""))</f>
        <v/>
      </c>
      <c r="E298" s="19"/>
      <c r="F298" s="19"/>
      <c r="G298" s="20" t="str">
        <f aca="false">IF(OR(E298="",F298=""),IF(B298="","",IF(A298="","",8)),F298-E298)</f>
        <v/>
      </c>
      <c r="H298" s="14"/>
      <c r="I298" s="12"/>
      <c r="J298" s="14"/>
      <c r="K298" s="20" t="str">
        <f aca="false">IF(OR(J298="",N(G298)=0),"",J298/G298)</f>
        <v/>
      </c>
      <c r="L298" s="12"/>
      <c r="M298" s="12"/>
      <c r="N298" s="12"/>
    </row>
    <row r="299" customFormat="false" ht="15" hidden="false" customHeight="false" outlineLevel="0" collapsed="false">
      <c r="A299" s="16"/>
      <c r="B299" s="12"/>
      <c r="C299" s="18" t="str">
        <f aca="false">IF(B299="","",IFERROR(INDEX(Inventario!$B$7:$B$46,MATCH(B299,Inventario!$A$7:$A$46,0)),"Clave no existe"))</f>
        <v/>
      </c>
      <c r="D299" s="18" t="str">
        <f aca="false">IF(B299="","",IFERROR(INDEX(Inventario!$C$7:$C$46,MATCH(B299,Inventario!$A$7:$A$46,0)),""))</f>
        <v/>
      </c>
      <c r="E299" s="19"/>
      <c r="F299" s="19"/>
      <c r="G299" s="20" t="str">
        <f aca="false">IF(OR(E299="",F299=""),IF(B299="","",IF(A299="","",8)),F299-E299)</f>
        <v/>
      </c>
      <c r="H299" s="14"/>
      <c r="I299" s="12"/>
      <c r="J299" s="14"/>
      <c r="K299" s="20" t="str">
        <f aca="false">IF(OR(J299="",N(G299)=0),"",J299/G299)</f>
        <v/>
      </c>
      <c r="L299" s="12"/>
      <c r="M299" s="12"/>
      <c r="N299" s="12"/>
    </row>
    <row r="300" customFormat="false" ht="15" hidden="false" customHeight="false" outlineLevel="0" collapsed="false">
      <c r="A300" s="16"/>
      <c r="B300" s="12"/>
      <c r="C300" s="18" t="str">
        <f aca="false">IF(B300="","",IFERROR(INDEX(Inventario!$B$7:$B$46,MATCH(B300,Inventario!$A$7:$A$46,0)),"Clave no existe"))</f>
        <v/>
      </c>
      <c r="D300" s="18" t="str">
        <f aca="false">IF(B300="","",IFERROR(INDEX(Inventario!$C$7:$C$46,MATCH(B300,Inventario!$A$7:$A$46,0)),""))</f>
        <v/>
      </c>
      <c r="E300" s="19"/>
      <c r="F300" s="19"/>
      <c r="G300" s="20" t="str">
        <f aca="false">IF(OR(E300="",F300=""),IF(B300="","",IF(A300="","",8)),F300-E300)</f>
        <v/>
      </c>
      <c r="H300" s="14"/>
      <c r="I300" s="12"/>
      <c r="J300" s="14"/>
      <c r="K300" s="20" t="str">
        <f aca="false">IF(OR(J300="",N(G300)=0),"",J300/G300)</f>
        <v/>
      </c>
      <c r="L300" s="12"/>
      <c r="M300" s="12"/>
      <c r="N300" s="12"/>
    </row>
    <row r="301" customFormat="false" ht="15" hidden="false" customHeight="false" outlineLevel="0" collapsed="false">
      <c r="A301" s="16"/>
      <c r="B301" s="12"/>
      <c r="C301" s="18" t="str">
        <f aca="false">IF(B301="","",IFERROR(INDEX(Inventario!$B$7:$B$46,MATCH(B301,Inventario!$A$7:$A$46,0)),"Clave no existe"))</f>
        <v/>
      </c>
      <c r="D301" s="18" t="str">
        <f aca="false">IF(B301="","",IFERROR(INDEX(Inventario!$C$7:$C$46,MATCH(B301,Inventario!$A$7:$A$46,0)),""))</f>
        <v/>
      </c>
      <c r="E301" s="19"/>
      <c r="F301" s="19"/>
      <c r="G301" s="20" t="str">
        <f aca="false">IF(OR(E301="",F301=""),IF(B301="","",IF(A301="","",8)),F301-E301)</f>
        <v/>
      </c>
      <c r="H301" s="14"/>
      <c r="I301" s="12"/>
      <c r="J301" s="14"/>
      <c r="K301" s="20" t="str">
        <f aca="false">IF(OR(J301="",N(G301)=0),"",J301/G301)</f>
        <v/>
      </c>
      <c r="L301" s="12"/>
      <c r="M301" s="12"/>
      <c r="N301" s="12"/>
    </row>
    <row r="302" customFormat="false" ht="15" hidden="false" customHeight="false" outlineLevel="0" collapsed="false">
      <c r="A302" s="16"/>
      <c r="B302" s="12"/>
      <c r="C302" s="18" t="str">
        <f aca="false">IF(B302="","",IFERROR(INDEX(Inventario!$B$7:$B$46,MATCH(B302,Inventario!$A$7:$A$46,0)),"Clave no existe"))</f>
        <v/>
      </c>
      <c r="D302" s="18" t="str">
        <f aca="false">IF(B302="","",IFERROR(INDEX(Inventario!$C$7:$C$46,MATCH(B302,Inventario!$A$7:$A$46,0)),""))</f>
        <v/>
      </c>
      <c r="E302" s="19"/>
      <c r="F302" s="19"/>
      <c r="G302" s="20" t="str">
        <f aca="false">IF(OR(E302="",F302=""),IF(B302="","",IF(A302="","",8)),F302-E302)</f>
        <v/>
      </c>
      <c r="H302" s="14"/>
      <c r="I302" s="12"/>
      <c r="J302" s="14"/>
      <c r="K302" s="20" t="str">
        <f aca="false">IF(OR(J302="",N(G302)=0),"",J302/G302)</f>
        <v/>
      </c>
      <c r="L302" s="12"/>
      <c r="M302" s="12"/>
      <c r="N302" s="12"/>
    </row>
    <row r="303" customFormat="false" ht="15" hidden="false" customHeight="false" outlineLevel="0" collapsed="false">
      <c r="A303" s="16"/>
      <c r="B303" s="12"/>
      <c r="C303" s="18" t="str">
        <f aca="false">IF(B303="","",IFERROR(INDEX(Inventario!$B$7:$B$46,MATCH(B303,Inventario!$A$7:$A$46,0)),"Clave no existe"))</f>
        <v/>
      </c>
      <c r="D303" s="18" t="str">
        <f aca="false">IF(B303="","",IFERROR(INDEX(Inventario!$C$7:$C$46,MATCH(B303,Inventario!$A$7:$A$46,0)),""))</f>
        <v/>
      </c>
      <c r="E303" s="19"/>
      <c r="F303" s="19"/>
      <c r="G303" s="20" t="str">
        <f aca="false">IF(OR(E303="",F303=""),IF(B303="","",IF(A303="","",8)),F303-E303)</f>
        <v/>
      </c>
      <c r="H303" s="14"/>
      <c r="I303" s="12"/>
      <c r="J303" s="14"/>
      <c r="K303" s="20" t="str">
        <f aca="false">IF(OR(J303="",N(G303)=0),"",J303/G303)</f>
        <v/>
      </c>
      <c r="L303" s="12"/>
      <c r="M303" s="12"/>
      <c r="N303" s="12"/>
    </row>
    <row r="304" customFormat="false" ht="15" hidden="false" customHeight="false" outlineLevel="0" collapsed="false">
      <c r="A304" s="16"/>
      <c r="B304" s="12"/>
      <c r="C304" s="18" t="str">
        <f aca="false">IF(B304="","",IFERROR(INDEX(Inventario!$B$7:$B$46,MATCH(B304,Inventario!$A$7:$A$46,0)),"Clave no existe"))</f>
        <v/>
      </c>
      <c r="D304" s="18" t="str">
        <f aca="false">IF(B304="","",IFERROR(INDEX(Inventario!$C$7:$C$46,MATCH(B304,Inventario!$A$7:$A$46,0)),""))</f>
        <v/>
      </c>
      <c r="E304" s="19"/>
      <c r="F304" s="19"/>
      <c r="G304" s="20" t="str">
        <f aca="false">IF(OR(E304="",F304=""),IF(B304="","",IF(A304="","",8)),F304-E304)</f>
        <v/>
      </c>
      <c r="H304" s="14"/>
      <c r="I304" s="12"/>
      <c r="J304" s="14"/>
      <c r="K304" s="20" t="str">
        <f aca="false">IF(OR(J304="",N(G304)=0),"",J304/G304)</f>
        <v/>
      </c>
      <c r="L304" s="12"/>
      <c r="M304" s="12"/>
      <c r="N304" s="12"/>
    </row>
    <row r="305" customFormat="false" ht="15" hidden="false" customHeight="false" outlineLevel="0" collapsed="false">
      <c r="A305" s="16"/>
      <c r="B305" s="12"/>
      <c r="C305" s="18" t="str">
        <f aca="false">IF(B305="","",IFERROR(INDEX(Inventario!$B$7:$B$46,MATCH(B305,Inventario!$A$7:$A$46,0)),"Clave no existe"))</f>
        <v/>
      </c>
      <c r="D305" s="18" t="str">
        <f aca="false">IF(B305="","",IFERROR(INDEX(Inventario!$C$7:$C$46,MATCH(B305,Inventario!$A$7:$A$46,0)),""))</f>
        <v/>
      </c>
      <c r="E305" s="19"/>
      <c r="F305" s="19"/>
      <c r="G305" s="20" t="str">
        <f aca="false">IF(OR(E305="",F305=""),IF(B305="","",IF(A305="","",8)),F305-E305)</f>
        <v/>
      </c>
      <c r="H305" s="14"/>
      <c r="I305" s="12"/>
      <c r="J305" s="14"/>
      <c r="K305" s="20" t="str">
        <f aca="false">IF(OR(J305="",N(G305)=0),"",J305/G305)</f>
        <v/>
      </c>
      <c r="L305" s="12"/>
      <c r="M305" s="12"/>
      <c r="N305" s="12"/>
    </row>
    <row r="306" customFormat="false" ht="15" hidden="false" customHeight="false" outlineLevel="0" collapsed="false">
      <c r="A306" s="16"/>
      <c r="B306" s="12"/>
      <c r="C306" s="18" t="str">
        <f aca="false">IF(B306="","",IFERROR(INDEX(Inventario!$B$7:$B$46,MATCH(B306,Inventario!$A$7:$A$46,0)),"Clave no existe"))</f>
        <v/>
      </c>
      <c r="D306" s="18" t="str">
        <f aca="false">IF(B306="","",IFERROR(INDEX(Inventario!$C$7:$C$46,MATCH(B306,Inventario!$A$7:$A$46,0)),""))</f>
        <v/>
      </c>
      <c r="E306" s="19"/>
      <c r="F306" s="19"/>
      <c r="G306" s="20" t="str">
        <f aca="false">IF(OR(E306="",F306=""),IF(B306="","",IF(A306="","",8)),F306-E306)</f>
        <v/>
      </c>
      <c r="H306" s="14"/>
      <c r="I306" s="12"/>
      <c r="J306" s="14"/>
      <c r="K306" s="20" t="str">
        <f aca="false">IF(OR(J306="",N(G306)=0),"",J306/G306)</f>
        <v/>
      </c>
      <c r="L306" s="12"/>
      <c r="M306" s="12"/>
      <c r="N306" s="12"/>
    </row>
    <row r="307" customFormat="false" ht="15" hidden="false" customHeight="false" outlineLevel="0" collapsed="false">
      <c r="A307" s="16"/>
      <c r="B307" s="12"/>
      <c r="C307" s="18" t="str">
        <f aca="false">IF(B307="","",IFERROR(INDEX(Inventario!$B$7:$B$46,MATCH(B307,Inventario!$A$7:$A$46,0)),"Clave no existe"))</f>
        <v/>
      </c>
      <c r="D307" s="18" t="str">
        <f aca="false">IF(B307="","",IFERROR(INDEX(Inventario!$C$7:$C$46,MATCH(B307,Inventario!$A$7:$A$46,0)),""))</f>
        <v/>
      </c>
      <c r="E307" s="19"/>
      <c r="F307" s="19"/>
      <c r="G307" s="20" t="str">
        <f aca="false">IF(OR(E307="",F307=""),IF(B307="","",IF(A307="","",8)),F307-E307)</f>
        <v/>
      </c>
      <c r="H307" s="14"/>
      <c r="I307" s="12"/>
      <c r="J307" s="14"/>
      <c r="K307" s="20" t="str">
        <f aca="false">IF(OR(J307="",N(G307)=0),"",J307/G307)</f>
        <v/>
      </c>
      <c r="L307" s="12"/>
      <c r="M307" s="12"/>
      <c r="N307" s="12"/>
    </row>
    <row r="308" customFormat="false" ht="15" hidden="false" customHeight="false" outlineLevel="0" collapsed="false">
      <c r="A308" s="16"/>
      <c r="B308" s="12"/>
      <c r="C308" s="18" t="str">
        <f aca="false">IF(B308="","",IFERROR(INDEX(Inventario!$B$7:$B$46,MATCH(B308,Inventario!$A$7:$A$46,0)),"Clave no existe"))</f>
        <v/>
      </c>
      <c r="D308" s="18" t="str">
        <f aca="false">IF(B308="","",IFERROR(INDEX(Inventario!$C$7:$C$46,MATCH(B308,Inventario!$A$7:$A$46,0)),""))</f>
        <v/>
      </c>
      <c r="E308" s="19"/>
      <c r="F308" s="19"/>
      <c r="G308" s="20" t="str">
        <f aca="false">IF(OR(E308="",F308=""),IF(B308="","",IF(A308="","",8)),F308-E308)</f>
        <v/>
      </c>
      <c r="H308" s="14"/>
      <c r="I308" s="12"/>
      <c r="J308" s="14"/>
      <c r="K308" s="20" t="str">
        <f aca="false">IF(OR(J308="",N(G308)=0),"",J308/G308)</f>
        <v/>
      </c>
      <c r="L308" s="12"/>
      <c r="M308" s="12"/>
      <c r="N308" s="12"/>
    </row>
    <row r="309" customFormat="false" ht="15" hidden="false" customHeight="false" outlineLevel="0" collapsed="false">
      <c r="A309" s="16"/>
      <c r="B309" s="12"/>
      <c r="C309" s="18" t="str">
        <f aca="false">IF(B309="","",IFERROR(INDEX(Inventario!$B$7:$B$46,MATCH(B309,Inventario!$A$7:$A$46,0)),"Clave no existe"))</f>
        <v/>
      </c>
      <c r="D309" s="18" t="str">
        <f aca="false">IF(B309="","",IFERROR(INDEX(Inventario!$C$7:$C$46,MATCH(B309,Inventario!$A$7:$A$46,0)),""))</f>
        <v/>
      </c>
      <c r="E309" s="19"/>
      <c r="F309" s="19"/>
      <c r="G309" s="20" t="str">
        <f aca="false">IF(OR(E309="",F309=""),IF(B309="","",IF(A309="","",8)),F309-E309)</f>
        <v/>
      </c>
      <c r="H309" s="14"/>
      <c r="I309" s="12"/>
      <c r="J309" s="14"/>
      <c r="K309" s="20" t="str">
        <f aca="false">IF(OR(J309="",N(G309)=0),"",J309/G309)</f>
        <v/>
      </c>
      <c r="L309" s="12"/>
      <c r="M309" s="12"/>
      <c r="N309" s="12"/>
    </row>
    <row r="310" customFormat="false" ht="15" hidden="false" customHeight="false" outlineLevel="0" collapsed="false">
      <c r="A310" s="16"/>
      <c r="B310" s="12"/>
      <c r="C310" s="18" t="str">
        <f aca="false">IF(B310="","",IFERROR(INDEX(Inventario!$B$7:$B$46,MATCH(B310,Inventario!$A$7:$A$46,0)),"Clave no existe"))</f>
        <v/>
      </c>
      <c r="D310" s="18" t="str">
        <f aca="false">IF(B310="","",IFERROR(INDEX(Inventario!$C$7:$C$46,MATCH(B310,Inventario!$A$7:$A$46,0)),""))</f>
        <v/>
      </c>
      <c r="E310" s="19"/>
      <c r="F310" s="19"/>
      <c r="G310" s="20" t="str">
        <f aca="false">IF(OR(E310="",F310=""),IF(B310="","",IF(A310="","",8)),F310-E310)</f>
        <v/>
      </c>
      <c r="H310" s="14"/>
      <c r="I310" s="12"/>
      <c r="J310" s="14"/>
      <c r="K310" s="20" t="str">
        <f aca="false">IF(OR(J310="",N(G310)=0),"",J310/G310)</f>
        <v/>
      </c>
      <c r="L310" s="12"/>
      <c r="M310" s="12"/>
      <c r="N310" s="12"/>
    </row>
    <row r="311" customFormat="false" ht="15" hidden="false" customHeight="false" outlineLevel="0" collapsed="false">
      <c r="A311" s="16"/>
      <c r="B311" s="12"/>
      <c r="C311" s="18" t="str">
        <f aca="false">IF(B311="","",IFERROR(INDEX(Inventario!$B$7:$B$46,MATCH(B311,Inventario!$A$7:$A$46,0)),"Clave no existe"))</f>
        <v/>
      </c>
      <c r="D311" s="18" t="str">
        <f aca="false">IF(B311="","",IFERROR(INDEX(Inventario!$C$7:$C$46,MATCH(B311,Inventario!$A$7:$A$46,0)),""))</f>
        <v/>
      </c>
      <c r="E311" s="19"/>
      <c r="F311" s="19"/>
      <c r="G311" s="20" t="str">
        <f aca="false">IF(OR(E311="",F311=""),IF(B311="","",IF(A311="","",8)),F311-E311)</f>
        <v/>
      </c>
      <c r="H311" s="14"/>
      <c r="I311" s="12"/>
      <c r="J311" s="14"/>
      <c r="K311" s="20" t="str">
        <f aca="false">IF(OR(J311="",N(G311)=0),"",J311/G311)</f>
        <v/>
      </c>
      <c r="L311" s="12"/>
      <c r="M311" s="12"/>
      <c r="N311" s="12"/>
    </row>
    <row r="312" customFormat="false" ht="15" hidden="false" customHeight="false" outlineLevel="0" collapsed="false">
      <c r="A312" s="16"/>
      <c r="B312" s="12"/>
      <c r="C312" s="18" t="str">
        <f aca="false">IF(B312="","",IFERROR(INDEX(Inventario!$B$7:$B$46,MATCH(B312,Inventario!$A$7:$A$46,0)),"Clave no existe"))</f>
        <v/>
      </c>
      <c r="D312" s="18" t="str">
        <f aca="false">IF(B312="","",IFERROR(INDEX(Inventario!$C$7:$C$46,MATCH(B312,Inventario!$A$7:$A$46,0)),""))</f>
        <v/>
      </c>
      <c r="E312" s="19"/>
      <c r="F312" s="19"/>
      <c r="G312" s="20" t="str">
        <f aca="false">IF(OR(E312="",F312=""),IF(B312="","",IF(A312="","",8)),F312-E312)</f>
        <v/>
      </c>
      <c r="H312" s="14"/>
      <c r="I312" s="12"/>
      <c r="J312" s="14"/>
      <c r="K312" s="20" t="str">
        <f aca="false">IF(OR(J312="",N(G312)=0),"",J312/G312)</f>
        <v/>
      </c>
      <c r="L312" s="12"/>
      <c r="M312" s="12"/>
      <c r="N312" s="12"/>
    </row>
    <row r="313" customFormat="false" ht="15" hidden="false" customHeight="false" outlineLevel="0" collapsed="false">
      <c r="A313" s="16"/>
      <c r="B313" s="12"/>
      <c r="C313" s="18" t="str">
        <f aca="false">IF(B313="","",IFERROR(INDEX(Inventario!$B$7:$B$46,MATCH(B313,Inventario!$A$7:$A$46,0)),"Clave no existe"))</f>
        <v/>
      </c>
      <c r="D313" s="18" t="str">
        <f aca="false">IF(B313="","",IFERROR(INDEX(Inventario!$C$7:$C$46,MATCH(B313,Inventario!$A$7:$A$46,0)),""))</f>
        <v/>
      </c>
      <c r="E313" s="19"/>
      <c r="F313" s="19"/>
      <c r="G313" s="20" t="str">
        <f aca="false">IF(OR(E313="",F313=""),IF(B313="","",IF(A313="","",8)),F313-E313)</f>
        <v/>
      </c>
      <c r="H313" s="14"/>
      <c r="I313" s="12"/>
      <c r="J313" s="14"/>
      <c r="K313" s="20" t="str">
        <f aca="false">IF(OR(J313="",N(G313)=0),"",J313/G313)</f>
        <v/>
      </c>
      <c r="L313" s="12"/>
      <c r="M313" s="12"/>
      <c r="N313" s="12"/>
    </row>
    <row r="314" customFormat="false" ht="15" hidden="false" customHeight="false" outlineLevel="0" collapsed="false">
      <c r="A314" s="16"/>
      <c r="B314" s="12"/>
      <c r="C314" s="18" t="str">
        <f aca="false">IF(B314="","",IFERROR(INDEX(Inventario!$B$7:$B$46,MATCH(B314,Inventario!$A$7:$A$46,0)),"Clave no existe"))</f>
        <v/>
      </c>
      <c r="D314" s="18" t="str">
        <f aca="false">IF(B314="","",IFERROR(INDEX(Inventario!$C$7:$C$46,MATCH(B314,Inventario!$A$7:$A$46,0)),""))</f>
        <v/>
      </c>
      <c r="E314" s="19"/>
      <c r="F314" s="19"/>
      <c r="G314" s="20" t="str">
        <f aca="false">IF(OR(E314="",F314=""),IF(B314="","",IF(A314="","",8)),F314-E314)</f>
        <v/>
      </c>
      <c r="H314" s="14"/>
      <c r="I314" s="12"/>
      <c r="J314" s="14"/>
      <c r="K314" s="20" t="str">
        <f aca="false">IF(OR(J314="",N(G314)=0),"",J314/G314)</f>
        <v/>
      </c>
      <c r="L314" s="12"/>
      <c r="M314" s="12"/>
      <c r="N314" s="12"/>
    </row>
    <row r="315" customFormat="false" ht="15" hidden="false" customHeight="false" outlineLevel="0" collapsed="false">
      <c r="A315" s="16"/>
      <c r="B315" s="12"/>
      <c r="C315" s="18" t="str">
        <f aca="false">IF(B315="","",IFERROR(INDEX(Inventario!$B$7:$B$46,MATCH(B315,Inventario!$A$7:$A$46,0)),"Clave no existe"))</f>
        <v/>
      </c>
      <c r="D315" s="18" t="str">
        <f aca="false">IF(B315="","",IFERROR(INDEX(Inventario!$C$7:$C$46,MATCH(B315,Inventario!$A$7:$A$46,0)),""))</f>
        <v/>
      </c>
      <c r="E315" s="19"/>
      <c r="F315" s="19"/>
      <c r="G315" s="20" t="str">
        <f aca="false">IF(OR(E315="",F315=""),IF(B315="","",IF(A315="","",8)),F315-E315)</f>
        <v/>
      </c>
      <c r="H315" s="14"/>
      <c r="I315" s="12"/>
      <c r="J315" s="14"/>
      <c r="K315" s="20" t="str">
        <f aca="false">IF(OR(J315="",N(G315)=0),"",J315/G315)</f>
        <v/>
      </c>
      <c r="L315" s="12"/>
      <c r="M315" s="12"/>
      <c r="N315" s="12"/>
    </row>
    <row r="316" customFormat="false" ht="15" hidden="false" customHeight="false" outlineLevel="0" collapsed="false">
      <c r="A316" s="16"/>
      <c r="B316" s="12"/>
      <c r="C316" s="18" t="str">
        <f aca="false">IF(B316="","",IFERROR(INDEX(Inventario!$B$7:$B$46,MATCH(B316,Inventario!$A$7:$A$46,0)),"Clave no existe"))</f>
        <v/>
      </c>
      <c r="D316" s="18" t="str">
        <f aca="false">IF(B316="","",IFERROR(INDEX(Inventario!$C$7:$C$46,MATCH(B316,Inventario!$A$7:$A$46,0)),""))</f>
        <v/>
      </c>
      <c r="E316" s="19"/>
      <c r="F316" s="19"/>
      <c r="G316" s="20" t="str">
        <f aca="false">IF(OR(E316="",F316=""),IF(B316="","",IF(A316="","",8)),F316-E316)</f>
        <v/>
      </c>
      <c r="H316" s="14"/>
      <c r="I316" s="12"/>
      <c r="J316" s="14"/>
      <c r="K316" s="20" t="str">
        <f aca="false">IF(OR(J316="",N(G316)=0),"",J316/G316)</f>
        <v/>
      </c>
      <c r="L316" s="12"/>
      <c r="M316" s="12"/>
      <c r="N316" s="12"/>
    </row>
    <row r="317" customFormat="false" ht="15" hidden="false" customHeight="false" outlineLevel="0" collapsed="false">
      <c r="A317" s="16"/>
      <c r="B317" s="12"/>
      <c r="C317" s="18" t="str">
        <f aca="false">IF(B317="","",IFERROR(INDEX(Inventario!$B$7:$B$46,MATCH(B317,Inventario!$A$7:$A$46,0)),"Clave no existe"))</f>
        <v/>
      </c>
      <c r="D317" s="18" t="str">
        <f aca="false">IF(B317="","",IFERROR(INDEX(Inventario!$C$7:$C$46,MATCH(B317,Inventario!$A$7:$A$46,0)),""))</f>
        <v/>
      </c>
      <c r="E317" s="19"/>
      <c r="F317" s="19"/>
      <c r="G317" s="20" t="str">
        <f aca="false">IF(OR(E317="",F317=""),IF(B317="","",IF(A317="","",8)),F317-E317)</f>
        <v/>
      </c>
      <c r="H317" s="14"/>
      <c r="I317" s="12"/>
      <c r="J317" s="14"/>
      <c r="K317" s="20" t="str">
        <f aca="false">IF(OR(J317="",N(G317)=0),"",J317/G317)</f>
        <v/>
      </c>
      <c r="L317" s="12"/>
      <c r="M317" s="12"/>
      <c r="N317" s="12"/>
    </row>
    <row r="318" customFormat="false" ht="15" hidden="false" customHeight="false" outlineLevel="0" collapsed="false">
      <c r="A318" s="16"/>
      <c r="B318" s="12"/>
      <c r="C318" s="18" t="str">
        <f aca="false">IF(B318="","",IFERROR(INDEX(Inventario!$B$7:$B$46,MATCH(B318,Inventario!$A$7:$A$46,0)),"Clave no existe"))</f>
        <v/>
      </c>
      <c r="D318" s="18" t="str">
        <f aca="false">IF(B318="","",IFERROR(INDEX(Inventario!$C$7:$C$46,MATCH(B318,Inventario!$A$7:$A$46,0)),""))</f>
        <v/>
      </c>
      <c r="E318" s="19"/>
      <c r="F318" s="19"/>
      <c r="G318" s="20" t="str">
        <f aca="false">IF(OR(E318="",F318=""),IF(B318="","",IF(A318="","",8)),F318-E318)</f>
        <v/>
      </c>
      <c r="H318" s="14"/>
      <c r="I318" s="12"/>
      <c r="J318" s="14"/>
      <c r="K318" s="20" t="str">
        <f aca="false">IF(OR(J318="",N(G318)=0),"",J318/G318)</f>
        <v/>
      </c>
      <c r="L318" s="12"/>
      <c r="M318" s="12"/>
      <c r="N318" s="12"/>
    </row>
    <row r="319" customFormat="false" ht="15" hidden="false" customHeight="false" outlineLevel="0" collapsed="false">
      <c r="A319" s="16"/>
      <c r="B319" s="12"/>
      <c r="C319" s="18" t="str">
        <f aca="false">IF(B319="","",IFERROR(INDEX(Inventario!$B$7:$B$46,MATCH(B319,Inventario!$A$7:$A$46,0)),"Clave no existe"))</f>
        <v/>
      </c>
      <c r="D319" s="18" t="str">
        <f aca="false">IF(B319="","",IFERROR(INDEX(Inventario!$C$7:$C$46,MATCH(B319,Inventario!$A$7:$A$46,0)),""))</f>
        <v/>
      </c>
      <c r="E319" s="19"/>
      <c r="F319" s="19"/>
      <c r="G319" s="20" t="str">
        <f aca="false">IF(OR(E319="",F319=""),IF(B319="","",IF(A319="","",8)),F319-E319)</f>
        <v/>
      </c>
      <c r="H319" s="14"/>
      <c r="I319" s="12"/>
      <c r="J319" s="14"/>
      <c r="K319" s="20" t="str">
        <f aca="false">IF(OR(J319="",N(G319)=0),"",J319/G319)</f>
        <v/>
      </c>
      <c r="L319" s="12"/>
      <c r="M319" s="12"/>
      <c r="N319" s="12"/>
    </row>
    <row r="320" customFormat="false" ht="15" hidden="false" customHeight="false" outlineLevel="0" collapsed="false">
      <c r="A320" s="16"/>
      <c r="B320" s="12"/>
      <c r="C320" s="18" t="str">
        <f aca="false">IF(B320="","",IFERROR(INDEX(Inventario!$B$7:$B$46,MATCH(B320,Inventario!$A$7:$A$46,0)),"Clave no existe"))</f>
        <v/>
      </c>
      <c r="D320" s="18" t="str">
        <f aca="false">IF(B320="","",IFERROR(INDEX(Inventario!$C$7:$C$46,MATCH(B320,Inventario!$A$7:$A$46,0)),""))</f>
        <v/>
      </c>
      <c r="E320" s="19"/>
      <c r="F320" s="19"/>
      <c r="G320" s="20" t="str">
        <f aca="false">IF(OR(E320="",F320=""),IF(B320="","",IF(A320="","",8)),F320-E320)</f>
        <v/>
      </c>
      <c r="H320" s="14"/>
      <c r="I320" s="12"/>
      <c r="J320" s="14"/>
      <c r="K320" s="20" t="str">
        <f aca="false">IF(OR(J320="",N(G320)=0),"",J320/G320)</f>
        <v/>
      </c>
      <c r="L320" s="12"/>
      <c r="M320" s="12"/>
      <c r="N320" s="12"/>
    </row>
    <row r="321" customFormat="false" ht="15" hidden="false" customHeight="false" outlineLevel="0" collapsed="false">
      <c r="A321" s="16"/>
      <c r="B321" s="12"/>
      <c r="C321" s="18" t="str">
        <f aca="false">IF(B321="","",IFERROR(INDEX(Inventario!$B$7:$B$46,MATCH(B321,Inventario!$A$7:$A$46,0)),"Clave no existe"))</f>
        <v/>
      </c>
      <c r="D321" s="18" t="str">
        <f aca="false">IF(B321="","",IFERROR(INDEX(Inventario!$C$7:$C$46,MATCH(B321,Inventario!$A$7:$A$46,0)),""))</f>
        <v/>
      </c>
      <c r="E321" s="19"/>
      <c r="F321" s="19"/>
      <c r="G321" s="20" t="str">
        <f aca="false">IF(OR(E321="",F321=""),IF(B321="","",IF(A321="","",8)),F321-E321)</f>
        <v/>
      </c>
      <c r="H321" s="14"/>
      <c r="I321" s="12"/>
      <c r="J321" s="14"/>
      <c r="K321" s="20" t="str">
        <f aca="false">IF(OR(J321="",N(G321)=0),"",J321/G321)</f>
        <v/>
      </c>
      <c r="L321" s="12"/>
      <c r="M321" s="12"/>
      <c r="N321" s="12"/>
    </row>
    <row r="322" customFormat="false" ht="15" hidden="false" customHeight="false" outlineLevel="0" collapsed="false">
      <c r="A322" s="16"/>
      <c r="B322" s="12"/>
      <c r="C322" s="18" t="str">
        <f aca="false">IF(B322="","",IFERROR(INDEX(Inventario!$B$7:$B$46,MATCH(B322,Inventario!$A$7:$A$46,0)),"Clave no existe"))</f>
        <v/>
      </c>
      <c r="D322" s="18" t="str">
        <f aca="false">IF(B322="","",IFERROR(INDEX(Inventario!$C$7:$C$46,MATCH(B322,Inventario!$A$7:$A$46,0)),""))</f>
        <v/>
      </c>
      <c r="E322" s="19"/>
      <c r="F322" s="19"/>
      <c r="G322" s="20" t="str">
        <f aca="false">IF(OR(E322="",F322=""),IF(B322="","",IF(A322="","",8)),F322-E322)</f>
        <v/>
      </c>
      <c r="H322" s="14"/>
      <c r="I322" s="12"/>
      <c r="J322" s="14"/>
      <c r="K322" s="20" t="str">
        <f aca="false">IF(OR(J322="",N(G322)=0),"",J322/G322)</f>
        <v/>
      </c>
      <c r="L322" s="12"/>
      <c r="M322" s="12"/>
      <c r="N322" s="12"/>
    </row>
    <row r="323" customFormat="false" ht="15" hidden="false" customHeight="false" outlineLevel="0" collapsed="false">
      <c r="A323" s="16"/>
      <c r="B323" s="12"/>
      <c r="C323" s="18" t="str">
        <f aca="false">IF(B323="","",IFERROR(INDEX(Inventario!$B$7:$B$46,MATCH(B323,Inventario!$A$7:$A$46,0)),"Clave no existe"))</f>
        <v/>
      </c>
      <c r="D323" s="18" t="str">
        <f aca="false">IF(B323="","",IFERROR(INDEX(Inventario!$C$7:$C$46,MATCH(B323,Inventario!$A$7:$A$46,0)),""))</f>
        <v/>
      </c>
      <c r="E323" s="19"/>
      <c r="F323" s="19"/>
      <c r="G323" s="20" t="str">
        <f aca="false">IF(OR(E323="",F323=""),IF(B323="","",IF(A323="","",8)),F323-E323)</f>
        <v/>
      </c>
      <c r="H323" s="14"/>
      <c r="I323" s="12"/>
      <c r="J323" s="14"/>
      <c r="K323" s="20" t="str">
        <f aca="false">IF(OR(J323="",N(G323)=0),"",J323/G323)</f>
        <v/>
      </c>
      <c r="L323" s="12"/>
      <c r="M323" s="12"/>
      <c r="N323" s="12"/>
    </row>
    <row r="324" customFormat="false" ht="15" hidden="false" customHeight="false" outlineLevel="0" collapsed="false">
      <c r="A324" s="16"/>
      <c r="B324" s="12"/>
      <c r="C324" s="18" t="str">
        <f aca="false">IF(B324="","",IFERROR(INDEX(Inventario!$B$7:$B$46,MATCH(B324,Inventario!$A$7:$A$46,0)),"Clave no existe"))</f>
        <v/>
      </c>
      <c r="D324" s="18" t="str">
        <f aca="false">IF(B324="","",IFERROR(INDEX(Inventario!$C$7:$C$46,MATCH(B324,Inventario!$A$7:$A$46,0)),""))</f>
        <v/>
      </c>
      <c r="E324" s="19"/>
      <c r="F324" s="19"/>
      <c r="G324" s="20" t="str">
        <f aca="false">IF(OR(E324="",F324=""),IF(B324="","",IF(A324="","",8)),F324-E324)</f>
        <v/>
      </c>
      <c r="H324" s="14"/>
      <c r="I324" s="12"/>
      <c r="J324" s="14"/>
      <c r="K324" s="20" t="str">
        <f aca="false">IF(OR(J324="",N(G324)=0),"",J324/G324)</f>
        <v/>
      </c>
      <c r="L324" s="12"/>
      <c r="M324" s="12"/>
      <c r="N324" s="12"/>
    </row>
    <row r="325" customFormat="false" ht="15" hidden="false" customHeight="false" outlineLevel="0" collapsed="false">
      <c r="A325" s="16"/>
      <c r="B325" s="12"/>
      <c r="C325" s="18" t="str">
        <f aca="false">IF(B325="","",IFERROR(INDEX(Inventario!$B$7:$B$46,MATCH(B325,Inventario!$A$7:$A$46,0)),"Clave no existe"))</f>
        <v/>
      </c>
      <c r="D325" s="18" t="str">
        <f aca="false">IF(B325="","",IFERROR(INDEX(Inventario!$C$7:$C$46,MATCH(B325,Inventario!$A$7:$A$46,0)),""))</f>
        <v/>
      </c>
      <c r="E325" s="19"/>
      <c r="F325" s="19"/>
      <c r="G325" s="20" t="str">
        <f aca="false">IF(OR(E325="",F325=""),IF(B325="","",IF(A325="","",8)),F325-E325)</f>
        <v/>
      </c>
      <c r="H325" s="14"/>
      <c r="I325" s="12"/>
      <c r="J325" s="14"/>
      <c r="K325" s="20" t="str">
        <f aca="false">IF(OR(J325="",N(G325)=0),"",J325/G325)</f>
        <v/>
      </c>
      <c r="L325" s="12"/>
      <c r="M325" s="12"/>
      <c r="N325" s="12"/>
    </row>
    <row r="326" customFormat="false" ht="15" hidden="false" customHeight="false" outlineLevel="0" collapsed="false">
      <c r="A326" s="16"/>
      <c r="B326" s="12"/>
      <c r="C326" s="18" t="str">
        <f aca="false">IF(B326="","",IFERROR(INDEX(Inventario!$B$7:$B$46,MATCH(B326,Inventario!$A$7:$A$46,0)),"Clave no existe"))</f>
        <v/>
      </c>
      <c r="D326" s="18" t="str">
        <f aca="false">IF(B326="","",IFERROR(INDEX(Inventario!$C$7:$C$46,MATCH(B326,Inventario!$A$7:$A$46,0)),""))</f>
        <v/>
      </c>
      <c r="E326" s="19"/>
      <c r="F326" s="19"/>
      <c r="G326" s="20" t="str">
        <f aca="false">IF(OR(E326="",F326=""),IF(B326="","",IF(A326="","",8)),F326-E326)</f>
        <v/>
      </c>
      <c r="H326" s="14"/>
      <c r="I326" s="12"/>
      <c r="J326" s="14"/>
      <c r="K326" s="20" t="str">
        <f aca="false">IF(OR(J326="",N(G326)=0),"",J326/G326)</f>
        <v/>
      </c>
      <c r="L326" s="12"/>
      <c r="M326" s="12"/>
      <c r="N326" s="12"/>
    </row>
    <row r="327" customFormat="false" ht="15" hidden="false" customHeight="false" outlineLevel="0" collapsed="false">
      <c r="A327" s="16"/>
      <c r="B327" s="12"/>
      <c r="C327" s="18" t="str">
        <f aca="false">IF(B327="","",IFERROR(INDEX(Inventario!$B$7:$B$46,MATCH(B327,Inventario!$A$7:$A$46,0)),"Clave no existe"))</f>
        <v/>
      </c>
      <c r="D327" s="18" t="str">
        <f aca="false">IF(B327="","",IFERROR(INDEX(Inventario!$C$7:$C$46,MATCH(B327,Inventario!$A$7:$A$46,0)),""))</f>
        <v/>
      </c>
      <c r="E327" s="19"/>
      <c r="F327" s="19"/>
      <c r="G327" s="20" t="str">
        <f aca="false">IF(OR(E327="",F327=""),IF(B327="","",IF(A327="","",8)),F327-E327)</f>
        <v/>
      </c>
      <c r="H327" s="14"/>
      <c r="I327" s="12"/>
      <c r="J327" s="14"/>
      <c r="K327" s="20" t="str">
        <f aca="false">IF(OR(J327="",N(G327)=0),"",J327/G327)</f>
        <v/>
      </c>
      <c r="L327" s="12"/>
      <c r="M327" s="12"/>
      <c r="N327" s="12"/>
    </row>
    <row r="328" customFormat="false" ht="15" hidden="false" customHeight="false" outlineLevel="0" collapsed="false">
      <c r="A328" s="16"/>
      <c r="B328" s="12"/>
      <c r="C328" s="18" t="str">
        <f aca="false">IF(B328="","",IFERROR(INDEX(Inventario!$B$7:$B$46,MATCH(B328,Inventario!$A$7:$A$46,0)),"Clave no existe"))</f>
        <v/>
      </c>
      <c r="D328" s="18" t="str">
        <f aca="false">IF(B328="","",IFERROR(INDEX(Inventario!$C$7:$C$46,MATCH(B328,Inventario!$A$7:$A$46,0)),""))</f>
        <v/>
      </c>
      <c r="E328" s="19"/>
      <c r="F328" s="19"/>
      <c r="G328" s="20" t="str">
        <f aca="false">IF(OR(E328="",F328=""),IF(B328="","",IF(A328="","",8)),F328-E328)</f>
        <v/>
      </c>
      <c r="H328" s="14"/>
      <c r="I328" s="12"/>
      <c r="J328" s="14"/>
      <c r="K328" s="20" t="str">
        <f aca="false">IF(OR(J328="",N(G328)=0),"",J328/G328)</f>
        <v/>
      </c>
      <c r="L328" s="12"/>
      <c r="M328" s="12"/>
      <c r="N328" s="12"/>
    </row>
    <row r="329" customFormat="false" ht="15" hidden="false" customHeight="false" outlineLevel="0" collapsed="false">
      <c r="A329" s="16"/>
      <c r="B329" s="12"/>
      <c r="C329" s="18" t="str">
        <f aca="false">IF(B329="","",IFERROR(INDEX(Inventario!$B$7:$B$46,MATCH(B329,Inventario!$A$7:$A$46,0)),"Clave no existe"))</f>
        <v/>
      </c>
      <c r="D329" s="18" t="str">
        <f aca="false">IF(B329="","",IFERROR(INDEX(Inventario!$C$7:$C$46,MATCH(B329,Inventario!$A$7:$A$46,0)),""))</f>
        <v/>
      </c>
      <c r="E329" s="19"/>
      <c r="F329" s="19"/>
      <c r="G329" s="20" t="str">
        <f aca="false">IF(OR(E329="",F329=""),IF(B329="","",IF(A329="","",8)),F329-E329)</f>
        <v/>
      </c>
      <c r="H329" s="14"/>
      <c r="I329" s="12"/>
      <c r="J329" s="14"/>
      <c r="K329" s="20" t="str">
        <f aca="false">IF(OR(J329="",N(G329)=0),"",J329/G329)</f>
        <v/>
      </c>
      <c r="L329" s="12"/>
      <c r="M329" s="12"/>
      <c r="N329" s="12"/>
    </row>
    <row r="330" customFormat="false" ht="15" hidden="false" customHeight="false" outlineLevel="0" collapsed="false">
      <c r="A330" s="16"/>
      <c r="B330" s="12"/>
      <c r="C330" s="18" t="str">
        <f aca="false">IF(B330="","",IFERROR(INDEX(Inventario!$B$7:$B$46,MATCH(B330,Inventario!$A$7:$A$46,0)),"Clave no existe"))</f>
        <v/>
      </c>
      <c r="D330" s="18" t="str">
        <f aca="false">IF(B330="","",IFERROR(INDEX(Inventario!$C$7:$C$46,MATCH(B330,Inventario!$A$7:$A$46,0)),""))</f>
        <v/>
      </c>
      <c r="E330" s="19"/>
      <c r="F330" s="19"/>
      <c r="G330" s="20" t="str">
        <f aca="false">IF(OR(E330="",F330=""),IF(B330="","",IF(A330="","",8)),F330-E330)</f>
        <v/>
      </c>
      <c r="H330" s="14"/>
      <c r="I330" s="12"/>
      <c r="J330" s="14"/>
      <c r="K330" s="20" t="str">
        <f aca="false">IF(OR(J330="",N(G330)=0),"",J330/G330)</f>
        <v/>
      </c>
      <c r="L330" s="12"/>
      <c r="M330" s="12"/>
      <c r="N330" s="12"/>
    </row>
    <row r="331" customFormat="false" ht="15" hidden="false" customHeight="false" outlineLevel="0" collapsed="false">
      <c r="A331" s="16"/>
      <c r="B331" s="12"/>
      <c r="C331" s="18" t="str">
        <f aca="false">IF(B331="","",IFERROR(INDEX(Inventario!$B$7:$B$46,MATCH(B331,Inventario!$A$7:$A$46,0)),"Clave no existe"))</f>
        <v/>
      </c>
      <c r="D331" s="18" t="str">
        <f aca="false">IF(B331="","",IFERROR(INDEX(Inventario!$C$7:$C$46,MATCH(B331,Inventario!$A$7:$A$46,0)),""))</f>
        <v/>
      </c>
      <c r="E331" s="19"/>
      <c r="F331" s="19"/>
      <c r="G331" s="20" t="str">
        <f aca="false">IF(OR(E331="",F331=""),IF(B331="","",IF(A331="","",8)),F331-E331)</f>
        <v/>
      </c>
      <c r="H331" s="14"/>
      <c r="I331" s="12"/>
      <c r="J331" s="14"/>
      <c r="K331" s="20" t="str">
        <f aca="false">IF(OR(J331="",N(G331)=0),"",J331/G331)</f>
        <v/>
      </c>
      <c r="L331" s="12"/>
      <c r="M331" s="12"/>
      <c r="N331" s="12"/>
    </row>
    <row r="332" customFormat="false" ht="15" hidden="false" customHeight="false" outlineLevel="0" collapsed="false">
      <c r="A332" s="16"/>
      <c r="B332" s="12"/>
      <c r="C332" s="18" t="str">
        <f aca="false">IF(B332="","",IFERROR(INDEX(Inventario!$B$7:$B$46,MATCH(B332,Inventario!$A$7:$A$46,0)),"Clave no existe"))</f>
        <v/>
      </c>
      <c r="D332" s="18" t="str">
        <f aca="false">IF(B332="","",IFERROR(INDEX(Inventario!$C$7:$C$46,MATCH(B332,Inventario!$A$7:$A$46,0)),""))</f>
        <v/>
      </c>
      <c r="E332" s="19"/>
      <c r="F332" s="19"/>
      <c r="G332" s="20" t="str">
        <f aca="false">IF(OR(E332="",F332=""),IF(B332="","",IF(A332="","",8)),F332-E332)</f>
        <v/>
      </c>
      <c r="H332" s="14"/>
      <c r="I332" s="12"/>
      <c r="J332" s="14"/>
      <c r="K332" s="20" t="str">
        <f aca="false">IF(OR(J332="",N(G332)=0),"",J332/G332)</f>
        <v/>
      </c>
      <c r="L332" s="12"/>
      <c r="M332" s="12"/>
      <c r="N332" s="12"/>
    </row>
    <row r="333" customFormat="false" ht="15" hidden="false" customHeight="false" outlineLevel="0" collapsed="false">
      <c r="A333" s="16"/>
      <c r="B333" s="12"/>
      <c r="C333" s="18" t="str">
        <f aca="false">IF(B333="","",IFERROR(INDEX(Inventario!$B$7:$B$46,MATCH(B333,Inventario!$A$7:$A$46,0)),"Clave no existe"))</f>
        <v/>
      </c>
      <c r="D333" s="18" t="str">
        <f aca="false">IF(B333="","",IFERROR(INDEX(Inventario!$C$7:$C$46,MATCH(B333,Inventario!$A$7:$A$46,0)),""))</f>
        <v/>
      </c>
      <c r="E333" s="19"/>
      <c r="F333" s="19"/>
      <c r="G333" s="20" t="str">
        <f aca="false">IF(OR(E333="",F333=""),IF(B333="","",IF(A333="","",8)),F333-E333)</f>
        <v/>
      </c>
      <c r="H333" s="14"/>
      <c r="I333" s="12"/>
      <c r="J333" s="14"/>
      <c r="K333" s="20" t="str">
        <f aca="false">IF(OR(J333="",N(G333)=0),"",J333/G333)</f>
        <v/>
      </c>
      <c r="L333" s="12"/>
      <c r="M333" s="12"/>
      <c r="N333" s="12"/>
    </row>
    <row r="334" customFormat="false" ht="15" hidden="false" customHeight="false" outlineLevel="0" collapsed="false">
      <c r="A334" s="16"/>
      <c r="B334" s="12"/>
      <c r="C334" s="18" t="str">
        <f aca="false">IF(B334="","",IFERROR(INDEX(Inventario!$B$7:$B$46,MATCH(B334,Inventario!$A$7:$A$46,0)),"Clave no existe"))</f>
        <v/>
      </c>
      <c r="D334" s="18" t="str">
        <f aca="false">IF(B334="","",IFERROR(INDEX(Inventario!$C$7:$C$46,MATCH(B334,Inventario!$A$7:$A$46,0)),""))</f>
        <v/>
      </c>
      <c r="E334" s="19"/>
      <c r="F334" s="19"/>
      <c r="G334" s="20" t="str">
        <f aca="false">IF(OR(E334="",F334=""),IF(B334="","",IF(A334="","",8)),F334-E334)</f>
        <v/>
      </c>
      <c r="H334" s="14"/>
      <c r="I334" s="12"/>
      <c r="J334" s="14"/>
      <c r="K334" s="20" t="str">
        <f aca="false">IF(OR(J334="",N(G334)=0),"",J334/G334)</f>
        <v/>
      </c>
      <c r="L334" s="12"/>
      <c r="M334" s="12"/>
      <c r="N334" s="12"/>
    </row>
    <row r="335" customFormat="false" ht="15" hidden="false" customHeight="false" outlineLevel="0" collapsed="false">
      <c r="A335" s="16"/>
      <c r="B335" s="12"/>
      <c r="C335" s="18" t="str">
        <f aca="false">IF(B335="","",IFERROR(INDEX(Inventario!$B$7:$B$46,MATCH(B335,Inventario!$A$7:$A$46,0)),"Clave no existe"))</f>
        <v/>
      </c>
      <c r="D335" s="18" t="str">
        <f aca="false">IF(B335="","",IFERROR(INDEX(Inventario!$C$7:$C$46,MATCH(B335,Inventario!$A$7:$A$46,0)),""))</f>
        <v/>
      </c>
      <c r="E335" s="19"/>
      <c r="F335" s="19"/>
      <c r="G335" s="20" t="str">
        <f aca="false">IF(OR(E335="",F335=""),IF(B335="","",IF(A335="","",8)),F335-E335)</f>
        <v/>
      </c>
      <c r="H335" s="14"/>
      <c r="I335" s="12"/>
      <c r="J335" s="14"/>
      <c r="K335" s="20" t="str">
        <f aca="false">IF(OR(J335="",N(G335)=0),"",J335/G335)</f>
        <v/>
      </c>
      <c r="L335" s="12"/>
      <c r="M335" s="12"/>
      <c r="N335" s="12"/>
    </row>
    <row r="336" customFormat="false" ht="15" hidden="false" customHeight="false" outlineLevel="0" collapsed="false">
      <c r="A336" s="16"/>
      <c r="B336" s="12"/>
      <c r="C336" s="18" t="str">
        <f aca="false">IF(B336="","",IFERROR(INDEX(Inventario!$B$7:$B$46,MATCH(B336,Inventario!$A$7:$A$46,0)),"Clave no existe"))</f>
        <v/>
      </c>
      <c r="D336" s="18" t="str">
        <f aca="false">IF(B336="","",IFERROR(INDEX(Inventario!$C$7:$C$46,MATCH(B336,Inventario!$A$7:$A$46,0)),""))</f>
        <v/>
      </c>
      <c r="E336" s="19"/>
      <c r="F336" s="19"/>
      <c r="G336" s="20" t="str">
        <f aca="false">IF(OR(E336="",F336=""),IF(B336="","",IF(A336="","",8)),F336-E336)</f>
        <v/>
      </c>
      <c r="H336" s="14"/>
      <c r="I336" s="12"/>
      <c r="J336" s="14"/>
      <c r="K336" s="20" t="str">
        <f aca="false">IF(OR(J336="",N(G336)=0),"",J336/G336)</f>
        <v/>
      </c>
      <c r="L336" s="12"/>
      <c r="M336" s="12"/>
      <c r="N336" s="12"/>
    </row>
    <row r="337" customFormat="false" ht="15" hidden="false" customHeight="false" outlineLevel="0" collapsed="false">
      <c r="A337" s="16"/>
      <c r="B337" s="12"/>
      <c r="C337" s="18" t="str">
        <f aca="false">IF(B337="","",IFERROR(INDEX(Inventario!$B$7:$B$46,MATCH(B337,Inventario!$A$7:$A$46,0)),"Clave no existe"))</f>
        <v/>
      </c>
      <c r="D337" s="18" t="str">
        <f aca="false">IF(B337="","",IFERROR(INDEX(Inventario!$C$7:$C$46,MATCH(B337,Inventario!$A$7:$A$46,0)),""))</f>
        <v/>
      </c>
      <c r="E337" s="19"/>
      <c r="F337" s="19"/>
      <c r="G337" s="20" t="str">
        <f aca="false">IF(OR(E337="",F337=""),IF(B337="","",IF(A337="","",8)),F337-E337)</f>
        <v/>
      </c>
      <c r="H337" s="14"/>
      <c r="I337" s="12"/>
      <c r="J337" s="14"/>
      <c r="K337" s="20" t="str">
        <f aca="false">IF(OR(J337="",N(G337)=0),"",J337/G337)</f>
        <v/>
      </c>
      <c r="L337" s="12"/>
      <c r="M337" s="12"/>
      <c r="N337" s="12"/>
    </row>
    <row r="338" customFormat="false" ht="15" hidden="false" customHeight="false" outlineLevel="0" collapsed="false">
      <c r="A338" s="16"/>
      <c r="B338" s="12"/>
      <c r="C338" s="18" t="str">
        <f aca="false">IF(B338="","",IFERROR(INDEX(Inventario!$B$7:$B$46,MATCH(B338,Inventario!$A$7:$A$46,0)),"Clave no existe"))</f>
        <v/>
      </c>
      <c r="D338" s="18" t="str">
        <f aca="false">IF(B338="","",IFERROR(INDEX(Inventario!$C$7:$C$46,MATCH(B338,Inventario!$A$7:$A$46,0)),""))</f>
        <v/>
      </c>
      <c r="E338" s="19"/>
      <c r="F338" s="19"/>
      <c r="G338" s="20" t="str">
        <f aca="false">IF(OR(E338="",F338=""),IF(B338="","",IF(A338="","",8)),F338-E338)</f>
        <v/>
      </c>
      <c r="H338" s="14"/>
      <c r="I338" s="12"/>
      <c r="J338" s="14"/>
      <c r="K338" s="20" t="str">
        <f aca="false">IF(OR(J338="",N(G338)=0),"",J338/G338)</f>
        <v/>
      </c>
      <c r="L338" s="12"/>
      <c r="M338" s="12"/>
      <c r="N338" s="12"/>
    </row>
    <row r="339" customFormat="false" ht="15" hidden="false" customHeight="false" outlineLevel="0" collapsed="false">
      <c r="A339" s="16"/>
      <c r="B339" s="12"/>
      <c r="C339" s="18" t="str">
        <f aca="false">IF(B339="","",IFERROR(INDEX(Inventario!$B$7:$B$46,MATCH(B339,Inventario!$A$7:$A$46,0)),"Clave no existe"))</f>
        <v/>
      </c>
      <c r="D339" s="18" t="str">
        <f aca="false">IF(B339="","",IFERROR(INDEX(Inventario!$C$7:$C$46,MATCH(B339,Inventario!$A$7:$A$46,0)),""))</f>
        <v/>
      </c>
      <c r="E339" s="19"/>
      <c r="F339" s="19"/>
      <c r="G339" s="20" t="str">
        <f aca="false">IF(OR(E339="",F339=""),IF(B339="","",IF(A339="","",8)),F339-E339)</f>
        <v/>
      </c>
      <c r="H339" s="14"/>
      <c r="I339" s="12"/>
      <c r="J339" s="14"/>
      <c r="K339" s="20" t="str">
        <f aca="false">IF(OR(J339="",N(G339)=0),"",J339/G339)</f>
        <v/>
      </c>
      <c r="L339" s="12"/>
      <c r="M339" s="12"/>
      <c r="N339" s="12"/>
    </row>
    <row r="340" customFormat="false" ht="15" hidden="false" customHeight="false" outlineLevel="0" collapsed="false">
      <c r="A340" s="16"/>
      <c r="B340" s="12"/>
      <c r="C340" s="18" t="str">
        <f aca="false">IF(B340="","",IFERROR(INDEX(Inventario!$B$7:$B$46,MATCH(B340,Inventario!$A$7:$A$46,0)),"Clave no existe"))</f>
        <v/>
      </c>
      <c r="D340" s="18" t="str">
        <f aca="false">IF(B340="","",IFERROR(INDEX(Inventario!$C$7:$C$46,MATCH(B340,Inventario!$A$7:$A$46,0)),""))</f>
        <v/>
      </c>
      <c r="E340" s="19"/>
      <c r="F340" s="19"/>
      <c r="G340" s="20" t="str">
        <f aca="false">IF(OR(E340="",F340=""),IF(B340="","",IF(A340="","",8)),F340-E340)</f>
        <v/>
      </c>
      <c r="H340" s="14"/>
      <c r="I340" s="12"/>
      <c r="J340" s="14"/>
      <c r="K340" s="20" t="str">
        <f aca="false">IF(OR(J340="",N(G340)=0),"",J340/G340)</f>
        <v/>
      </c>
      <c r="L340" s="12"/>
      <c r="M340" s="12"/>
      <c r="N340" s="12"/>
    </row>
    <row r="341" customFormat="false" ht="15" hidden="false" customHeight="false" outlineLevel="0" collapsed="false">
      <c r="A341" s="16"/>
      <c r="B341" s="12"/>
      <c r="C341" s="18" t="str">
        <f aca="false">IF(B341="","",IFERROR(INDEX(Inventario!$B$7:$B$46,MATCH(B341,Inventario!$A$7:$A$46,0)),"Clave no existe"))</f>
        <v/>
      </c>
      <c r="D341" s="18" t="str">
        <f aca="false">IF(B341="","",IFERROR(INDEX(Inventario!$C$7:$C$46,MATCH(B341,Inventario!$A$7:$A$46,0)),""))</f>
        <v/>
      </c>
      <c r="E341" s="19"/>
      <c r="F341" s="19"/>
      <c r="G341" s="20" t="str">
        <f aca="false">IF(OR(E341="",F341=""),IF(B341="","",IF(A341="","",8)),F341-E341)</f>
        <v/>
      </c>
      <c r="H341" s="14"/>
      <c r="I341" s="12"/>
      <c r="J341" s="14"/>
      <c r="K341" s="20" t="str">
        <f aca="false">IF(OR(J341="",N(G341)=0),"",J341/G341)</f>
        <v/>
      </c>
      <c r="L341" s="12"/>
      <c r="M341" s="12"/>
      <c r="N341" s="12"/>
    </row>
    <row r="342" customFormat="false" ht="15" hidden="false" customHeight="false" outlineLevel="0" collapsed="false">
      <c r="A342" s="16"/>
      <c r="B342" s="12"/>
      <c r="C342" s="18" t="str">
        <f aca="false">IF(B342="","",IFERROR(INDEX(Inventario!$B$7:$B$46,MATCH(B342,Inventario!$A$7:$A$46,0)),"Clave no existe"))</f>
        <v/>
      </c>
      <c r="D342" s="18" t="str">
        <f aca="false">IF(B342="","",IFERROR(INDEX(Inventario!$C$7:$C$46,MATCH(B342,Inventario!$A$7:$A$46,0)),""))</f>
        <v/>
      </c>
      <c r="E342" s="19"/>
      <c r="F342" s="19"/>
      <c r="G342" s="20" t="str">
        <f aca="false">IF(OR(E342="",F342=""),IF(B342="","",IF(A342="","",8)),F342-E342)</f>
        <v/>
      </c>
      <c r="H342" s="14"/>
      <c r="I342" s="12"/>
      <c r="J342" s="14"/>
      <c r="K342" s="20" t="str">
        <f aca="false">IF(OR(J342="",N(G342)=0),"",J342/G342)</f>
        <v/>
      </c>
      <c r="L342" s="12"/>
      <c r="M342" s="12"/>
      <c r="N342" s="12"/>
    </row>
    <row r="343" customFormat="false" ht="15" hidden="false" customHeight="false" outlineLevel="0" collapsed="false">
      <c r="A343" s="16"/>
      <c r="B343" s="12"/>
      <c r="C343" s="18" t="str">
        <f aca="false">IF(B343="","",IFERROR(INDEX(Inventario!$B$7:$B$46,MATCH(B343,Inventario!$A$7:$A$46,0)),"Clave no existe"))</f>
        <v/>
      </c>
      <c r="D343" s="18" t="str">
        <f aca="false">IF(B343="","",IFERROR(INDEX(Inventario!$C$7:$C$46,MATCH(B343,Inventario!$A$7:$A$46,0)),""))</f>
        <v/>
      </c>
      <c r="E343" s="19"/>
      <c r="F343" s="19"/>
      <c r="G343" s="20" t="str">
        <f aca="false">IF(OR(E343="",F343=""),IF(B343="","",IF(A343="","",8)),F343-E343)</f>
        <v/>
      </c>
      <c r="H343" s="14"/>
      <c r="I343" s="12"/>
      <c r="J343" s="14"/>
      <c r="K343" s="20" t="str">
        <f aca="false">IF(OR(J343="",N(G343)=0),"",J343/G343)</f>
        <v/>
      </c>
      <c r="L343" s="12"/>
      <c r="M343" s="12"/>
      <c r="N343" s="12"/>
    </row>
    <row r="344" customFormat="false" ht="15" hidden="false" customHeight="false" outlineLevel="0" collapsed="false">
      <c r="A344" s="16"/>
      <c r="B344" s="12"/>
      <c r="C344" s="18" t="str">
        <f aca="false">IF(B344="","",IFERROR(INDEX(Inventario!$B$7:$B$46,MATCH(B344,Inventario!$A$7:$A$46,0)),"Clave no existe"))</f>
        <v/>
      </c>
      <c r="D344" s="18" t="str">
        <f aca="false">IF(B344="","",IFERROR(INDEX(Inventario!$C$7:$C$46,MATCH(B344,Inventario!$A$7:$A$46,0)),""))</f>
        <v/>
      </c>
      <c r="E344" s="19"/>
      <c r="F344" s="19"/>
      <c r="G344" s="20" t="str">
        <f aca="false">IF(OR(E344="",F344=""),IF(B344="","",IF(A344="","",8)),F344-E344)</f>
        <v/>
      </c>
      <c r="H344" s="14"/>
      <c r="I344" s="12"/>
      <c r="J344" s="14"/>
      <c r="K344" s="20" t="str">
        <f aca="false">IF(OR(J344="",N(G344)=0),"",J344/G344)</f>
        <v/>
      </c>
      <c r="L344" s="12"/>
      <c r="M344" s="12"/>
      <c r="N344" s="12"/>
    </row>
    <row r="345" customFormat="false" ht="15" hidden="false" customHeight="false" outlineLevel="0" collapsed="false">
      <c r="A345" s="16"/>
      <c r="B345" s="12"/>
      <c r="C345" s="18" t="str">
        <f aca="false">IF(B345="","",IFERROR(INDEX(Inventario!$B$7:$B$46,MATCH(B345,Inventario!$A$7:$A$46,0)),"Clave no existe"))</f>
        <v/>
      </c>
      <c r="D345" s="18" t="str">
        <f aca="false">IF(B345="","",IFERROR(INDEX(Inventario!$C$7:$C$46,MATCH(B345,Inventario!$A$7:$A$46,0)),""))</f>
        <v/>
      </c>
      <c r="E345" s="19"/>
      <c r="F345" s="19"/>
      <c r="G345" s="20" t="str">
        <f aca="false">IF(OR(E345="",F345=""),IF(B345="","",IF(A345="","",8)),F345-E345)</f>
        <v/>
      </c>
      <c r="H345" s="14"/>
      <c r="I345" s="12"/>
      <c r="J345" s="14"/>
      <c r="K345" s="20" t="str">
        <f aca="false">IF(OR(J345="",N(G345)=0),"",J345/G345)</f>
        <v/>
      </c>
      <c r="L345" s="12"/>
      <c r="M345" s="12"/>
      <c r="N345" s="12"/>
    </row>
    <row r="346" customFormat="false" ht="15" hidden="false" customHeight="false" outlineLevel="0" collapsed="false">
      <c r="A346" s="16"/>
      <c r="B346" s="12"/>
      <c r="C346" s="18" t="str">
        <f aca="false">IF(B346="","",IFERROR(INDEX(Inventario!$B$7:$B$46,MATCH(B346,Inventario!$A$7:$A$46,0)),"Clave no existe"))</f>
        <v/>
      </c>
      <c r="D346" s="18" t="str">
        <f aca="false">IF(B346="","",IFERROR(INDEX(Inventario!$C$7:$C$46,MATCH(B346,Inventario!$A$7:$A$46,0)),""))</f>
        <v/>
      </c>
      <c r="E346" s="19"/>
      <c r="F346" s="19"/>
      <c r="G346" s="20" t="str">
        <f aca="false">IF(OR(E346="",F346=""),IF(B346="","",IF(A346="","",8)),F346-E346)</f>
        <v/>
      </c>
      <c r="H346" s="14"/>
      <c r="I346" s="12"/>
      <c r="J346" s="14"/>
      <c r="K346" s="20" t="str">
        <f aca="false">IF(OR(J346="",N(G346)=0),"",J346/G346)</f>
        <v/>
      </c>
      <c r="L346" s="12"/>
      <c r="M346" s="12"/>
      <c r="N346" s="12"/>
    </row>
    <row r="347" customFormat="false" ht="15" hidden="false" customHeight="false" outlineLevel="0" collapsed="false">
      <c r="A347" s="16"/>
      <c r="B347" s="12"/>
      <c r="C347" s="18" t="str">
        <f aca="false">IF(B347="","",IFERROR(INDEX(Inventario!$B$7:$B$46,MATCH(B347,Inventario!$A$7:$A$46,0)),"Clave no existe"))</f>
        <v/>
      </c>
      <c r="D347" s="18" t="str">
        <f aca="false">IF(B347="","",IFERROR(INDEX(Inventario!$C$7:$C$46,MATCH(B347,Inventario!$A$7:$A$46,0)),""))</f>
        <v/>
      </c>
      <c r="E347" s="19"/>
      <c r="F347" s="19"/>
      <c r="G347" s="20" t="str">
        <f aca="false">IF(OR(E347="",F347=""),IF(B347="","",IF(A347="","",8)),F347-E347)</f>
        <v/>
      </c>
      <c r="H347" s="14"/>
      <c r="I347" s="12"/>
      <c r="J347" s="14"/>
      <c r="K347" s="20" t="str">
        <f aca="false">IF(OR(J347="",N(G347)=0),"",J347/G347)</f>
        <v/>
      </c>
      <c r="L347" s="12"/>
      <c r="M347" s="12"/>
      <c r="N347" s="12"/>
    </row>
    <row r="348" customFormat="false" ht="15" hidden="false" customHeight="false" outlineLevel="0" collapsed="false">
      <c r="A348" s="16"/>
      <c r="B348" s="12"/>
      <c r="C348" s="18" t="str">
        <f aca="false">IF(B348="","",IFERROR(INDEX(Inventario!$B$7:$B$46,MATCH(B348,Inventario!$A$7:$A$46,0)),"Clave no existe"))</f>
        <v/>
      </c>
      <c r="D348" s="18" t="str">
        <f aca="false">IF(B348="","",IFERROR(INDEX(Inventario!$C$7:$C$46,MATCH(B348,Inventario!$A$7:$A$46,0)),""))</f>
        <v/>
      </c>
      <c r="E348" s="19"/>
      <c r="F348" s="19"/>
      <c r="G348" s="20" t="str">
        <f aca="false">IF(OR(E348="",F348=""),IF(B348="","",IF(A348="","",8)),F348-E348)</f>
        <v/>
      </c>
      <c r="H348" s="14"/>
      <c r="I348" s="12"/>
      <c r="J348" s="14"/>
      <c r="K348" s="20" t="str">
        <f aca="false">IF(OR(J348="",N(G348)=0),"",J348/G348)</f>
        <v/>
      </c>
      <c r="L348" s="12"/>
      <c r="M348" s="12"/>
      <c r="N348" s="12"/>
    </row>
    <row r="349" customFormat="false" ht="15" hidden="false" customHeight="false" outlineLevel="0" collapsed="false">
      <c r="A349" s="16"/>
      <c r="B349" s="12"/>
      <c r="C349" s="18" t="str">
        <f aca="false">IF(B349="","",IFERROR(INDEX(Inventario!$B$7:$B$46,MATCH(B349,Inventario!$A$7:$A$46,0)),"Clave no existe"))</f>
        <v/>
      </c>
      <c r="D349" s="18" t="str">
        <f aca="false">IF(B349="","",IFERROR(INDEX(Inventario!$C$7:$C$46,MATCH(B349,Inventario!$A$7:$A$46,0)),""))</f>
        <v/>
      </c>
      <c r="E349" s="19"/>
      <c r="F349" s="19"/>
      <c r="G349" s="20" t="str">
        <f aca="false">IF(OR(E349="",F349=""),IF(B349="","",IF(A349="","",8)),F349-E349)</f>
        <v/>
      </c>
      <c r="H349" s="14"/>
      <c r="I349" s="12"/>
      <c r="J349" s="14"/>
      <c r="K349" s="20" t="str">
        <f aca="false">IF(OR(J349="",N(G349)=0),"",J349/G349)</f>
        <v/>
      </c>
      <c r="L349" s="12"/>
      <c r="M349" s="12"/>
      <c r="N349" s="12"/>
    </row>
    <row r="350" customFormat="false" ht="15" hidden="false" customHeight="false" outlineLevel="0" collapsed="false">
      <c r="A350" s="16"/>
      <c r="B350" s="12"/>
      <c r="C350" s="18" t="str">
        <f aca="false">IF(B350="","",IFERROR(INDEX(Inventario!$B$7:$B$46,MATCH(B350,Inventario!$A$7:$A$46,0)),"Clave no existe"))</f>
        <v/>
      </c>
      <c r="D350" s="18" t="str">
        <f aca="false">IF(B350="","",IFERROR(INDEX(Inventario!$C$7:$C$46,MATCH(B350,Inventario!$A$7:$A$46,0)),""))</f>
        <v/>
      </c>
      <c r="E350" s="19"/>
      <c r="F350" s="19"/>
      <c r="G350" s="20" t="str">
        <f aca="false">IF(OR(E350="",F350=""),IF(B350="","",IF(A350="","",8)),F350-E350)</f>
        <v/>
      </c>
      <c r="H350" s="14"/>
      <c r="I350" s="12"/>
      <c r="J350" s="14"/>
      <c r="K350" s="20" t="str">
        <f aca="false">IF(OR(J350="",N(G350)=0),"",J350/G350)</f>
        <v/>
      </c>
      <c r="L350" s="12"/>
      <c r="M350" s="12"/>
      <c r="N350" s="12"/>
    </row>
    <row r="351" customFormat="false" ht="15" hidden="false" customHeight="false" outlineLevel="0" collapsed="false">
      <c r="A351" s="16"/>
      <c r="B351" s="12"/>
      <c r="C351" s="18" t="str">
        <f aca="false">IF(B351="","",IFERROR(INDEX(Inventario!$B$7:$B$46,MATCH(B351,Inventario!$A$7:$A$46,0)),"Clave no existe"))</f>
        <v/>
      </c>
      <c r="D351" s="18" t="str">
        <f aca="false">IF(B351="","",IFERROR(INDEX(Inventario!$C$7:$C$46,MATCH(B351,Inventario!$A$7:$A$46,0)),""))</f>
        <v/>
      </c>
      <c r="E351" s="19"/>
      <c r="F351" s="19"/>
      <c r="G351" s="20" t="str">
        <f aca="false">IF(OR(E351="",F351=""),IF(B351="","",IF(A351="","",8)),F351-E351)</f>
        <v/>
      </c>
      <c r="H351" s="14"/>
      <c r="I351" s="12"/>
      <c r="J351" s="14"/>
      <c r="K351" s="20" t="str">
        <f aca="false">IF(OR(J351="",N(G351)=0),"",J351/G351)</f>
        <v/>
      </c>
      <c r="L351" s="12"/>
      <c r="M351" s="12"/>
      <c r="N351" s="12"/>
    </row>
    <row r="352" customFormat="false" ht="15" hidden="false" customHeight="false" outlineLevel="0" collapsed="false">
      <c r="A352" s="16"/>
      <c r="B352" s="12"/>
      <c r="C352" s="18" t="str">
        <f aca="false">IF(B352="","",IFERROR(INDEX(Inventario!$B$7:$B$46,MATCH(B352,Inventario!$A$7:$A$46,0)),"Clave no existe"))</f>
        <v/>
      </c>
      <c r="D352" s="18" t="str">
        <f aca="false">IF(B352="","",IFERROR(INDEX(Inventario!$C$7:$C$46,MATCH(B352,Inventario!$A$7:$A$46,0)),""))</f>
        <v/>
      </c>
      <c r="E352" s="19"/>
      <c r="F352" s="19"/>
      <c r="G352" s="20" t="str">
        <f aca="false">IF(OR(E352="",F352=""),IF(B352="","",IF(A352="","",8)),F352-E352)</f>
        <v/>
      </c>
      <c r="H352" s="14"/>
      <c r="I352" s="12"/>
      <c r="J352" s="14"/>
      <c r="K352" s="20" t="str">
        <f aca="false">IF(OR(J352="",N(G352)=0),"",J352/G352)</f>
        <v/>
      </c>
      <c r="L352" s="12"/>
      <c r="M352" s="12"/>
      <c r="N352" s="12"/>
    </row>
    <row r="353" customFormat="false" ht="15" hidden="false" customHeight="false" outlineLevel="0" collapsed="false">
      <c r="A353" s="16"/>
      <c r="B353" s="12"/>
      <c r="C353" s="18" t="str">
        <f aca="false">IF(B353="","",IFERROR(INDEX(Inventario!$B$7:$B$46,MATCH(B353,Inventario!$A$7:$A$46,0)),"Clave no existe"))</f>
        <v/>
      </c>
      <c r="D353" s="18" t="str">
        <f aca="false">IF(B353="","",IFERROR(INDEX(Inventario!$C$7:$C$46,MATCH(B353,Inventario!$A$7:$A$46,0)),""))</f>
        <v/>
      </c>
      <c r="E353" s="19"/>
      <c r="F353" s="19"/>
      <c r="G353" s="20" t="str">
        <f aca="false">IF(OR(E353="",F353=""),IF(B353="","",IF(A353="","",8)),F353-E353)</f>
        <v/>
      </c>
      <c r="H353" s="14"/>
      <c r="I353" s="12"/>
      <c r="J353" s="14"/>
      <c r="K353" s="20" t="str">
        <f aca="false">IF(OR(J353="",N(G353)=0),"",J353/G353)</f>
        <v/>
      </c>
      <c r="L353" s="12"/>
      <c r="M353" s="12"/>
      <c r="N353" s="12"/>
    </row>
    <row r="354" customFormat="false" ht="15" hidden="false" customHeight="false" outlineLevel="0" collapsed="false">
      <c r="A354" s="16"/>
      <c r="B354" s="12"/>
      <c r="C354" s="18" t="str">
        <f aca="false">IF(B354="","",IFERROR(INDEX(Inventario!$B$7:$B$46,MATCH(B354,Inventario!$A$7:$A$46,0)),"Clave no existe"))</f>
        <v/>
      </c>
      <c r="D354" s="18" t="str">
        <f aca="false">IF(B354="","",IFERROR(INDEX(Inventario!$C$7:$C$46,MATCH(B354,Inventario!$A$7:$A$46,0)),""))</f>
        <v/>
      </c>
      <c r="E354" s="19"/>
      <c r="F354" s="19"/>
      <c r="G354" s="20" t="str">
        <f aca="false">IF(OR(E354="",F354=""),IF(B354="","",IF(A354="","",8)),F354-E354)</f>
        <v/>
      </c>
      <c r="H354" s="14"/>
      <c r="I354" s="12"/>
      <c r="J354" s="14"/>
      <c r="K354" s="20" t="str">
        <f aca="false">IF(OR(J354="",N(G354)=0),"",J354/G354)</f>
        <v/>
      </c>
      <c r="L354" s="12"/>
      <c r="M354" s="12"/>
      <c r="N354" s="12"/>
    </row>
    <row r="355" customFormat="false" ht="15" hidden="false" customHeight="false" outlineLevel="0" collapsed="false">
      <c r="A355" s="16"/>
      <c r="B355" s="12"/>
      <c r="C355" s="18" t="str">
        <f aca="false">IF(B355="","",IFERROR(INDEX(Inventario!$B$7:$B$46,MATCH(B355,Inventario!$A$7:$A$46,0)),"Clave no existe"))</f>
        <v/>
      </c>
      <c r="D355" s="18" t="str">
        <f aca="false">IF(B355="","",IFERROR(INDEX(Inventario!$C$7:$C$46,MATCH(B355,Inventario!$A$7:$A$46,0)),""))</f>
        <v/>
      </c>
      <c r="E355" s="19"/>
      <c r="F355" s="19"/>
      <c r="G355" s="20" t="str">
        <f aca="false">IF(OR(E355="",F355=""),IF(B355="","",IF(A355="","",8)),F355-E355)</f>
        <v/>
      </c>
      <c r="H355" s="14"/>
      <c r="I355" s="12"/>
      <c r="J355" s="14"/>
      <c r="K355" s="20" t="str">
        <f aca="false">IF(OR(J355="",N(G355)=0),"",J355/G355)</f>
        <v/>
      </c>
      <c r="L355" s="12"/>
      <c r="M355" s="12"/>
      <c r="N355" s="12"/>
    </row>
    <row r="356" customFormat="false" ht="15" hidden="false" customHeight="false" outlineLevel="0" collapsed="false">
      <c r="A356" s="16"/>
      <c r="B356" s="12"/>
      <c r="C356" s="18" t="str">
        <f aca="false">IF(B356="","",IFERROR(INDEX(Inventario!$B$7:$B$46,MATCH(B356,Inventario!$A$7:$A$46,0)),"Clave no existe"))</f>
        <v/>
      </c>
      <c r="D356" s="18" t="str">
        <f aca="false">IF(B356="","",IFERROR(INDEX(Inventario!$C$7:$C$46,MATCH(B356,Inventario!$A$7:$A$46,0)),""))</f>
        <v/>
      </c>
      <c r="E356" s="19"/>
      <c r="F356" s="19"/>
      <c r="G356" s="20" t="str">
        <f aca="false">IF(OR(E356="",F356=""),IF(B356="","",IF(A356="","",8)),F356-E356)</f>
        <v/>
      </c>
      <c r="H356" s="14"/>
      <c r="I356" s="12"/>
      <c r="J356" s="14"/>
      <c r="K356" s="20" t="str">
        <f aca="false">IF(OR(J356="",N(G356)=0),"",J356/G356)</f>
        <v/>
      </c>
      <c r="L356" s="12"/>
      <c r="M356" s="12"/>
      <c r="N356" s="12"/>
    </row>
    <row r="357" customFormat="false" ht="15" hidden="false" customHeight="false" outlineLevel="0" collapsed="false">
      <c r="A357" s="16"/>
      <c r="B357" s="12"/>
      <c r="C357" s="18" t="str">
        <f aca="false">IF(B357="","",IFERROR(INDEX(Inventario!$B$7:$B$46,MATCH(B357,Inventario!$A$7:$A$46,0)),"Clave no existe"))</f>
        <v/>
      </c>
      <c r="D357" s="18" t="str">
        <f aca="false">IF(B357="","",IFERROR(INDEX(Inventario!$C$7:$C$46,MATCH(B357,Inventario!$A$7:$A$46,0)),""))</f>
        <v/>
      </c>
      <c r="E357" s="19"/>
      <c r="F357" s="19"/>
      <c r="G357" s="20" t="str">
        <f aca="false">IF(OR(E357="",F357=""),IF(B357="","",IF(A357="","",8)),F357-E357)</f>
        <v/>
      </c>
      <c r="H357" s="14"/>
      <c r="I357" s="12"/>
      <c r="J357" s="14"/>
      <c r="K357" s="20" t="str">
        <f aca="false">IF(OR(J357="",N(G357)=0),"",J357/G357)</f>
        <v/>
      </c>
      <c r="L357" s="12"/>
      <c r="M357" s="12"/>
      <c r="N357" s="12"/>
    </row>
    <row r="358" customFormat="false" ht="15" hidden="false" customHeight="false" outlineLevel="0" collapsed="false">
      <c r="A358" s="16"/>
      <c r="B358" s="12"/>
      <c r="C358" s="18" t="str">
        <f aca="false">IF(B358="","",IFERROR(INDEX(Inventario!$B$7:$B$46,MATCH(B358,Inventario!$A$7:$A$46,0)),"Clave no existe"))</f>
        <v/>
      </c>
      <c r="D358" s="18" t="str">
        <f aca="false">IF(B358="","",IFERROR(INDEX(Inventario!$C$7:$C$46,MATCH(B358,Inventario!$A$7:$A$46,0)),""))</f>
        <v/>
      </c>
      <c r="E358" s="19"/>
      <c r="F358" s="19"/>
      <c r="G358" s="20" t="str">
        <f aca="false">IF(OR(E358="",F358=""),IF(B358="","",IF(A358="","",8)),F358-E358)</f>
        <v/>
      </c>
      <c r="H358" s="14"/>
      <c r="I358" s="12"/>
      <c r="J358" s="14"/>
      <c r="K358" s="20" t="str">
        <f aca="false">IF(OR(J358="",N(G358)=0),"",J358/G358)</f>
        <v/>
      </c>
      <c r="L358" s="12"/>
      <c r="M358" s="12"/>
      <c r="N358" s="12"/>
    </row>
    <row r="359" customFormat="false" ht="15" hidden="false" customHeight="false" outlineLevel="0" collapsed="false">
      <c r="A359" s="16"/>
      <c r="B359" s="12"/>
      <c r="C359" s="18" t="str">
        <f aca="false">IF(B359="","",IFERROR(INDEX(Inventario!$B$7:$B$46,MATCH(B359,Inventario!$A$7:$A$46,0)),"Clave no existe"))</f>
        <v/>
      </c>
      <c r="D359" s="18" t="str">
        <f aca="false">IF(B359="","",IFERROR(INDEX(Inventario!$C$7:$C$46,MATCH(B359,Inventario!$A$7:$A$46,0)),""))</f>
        <v/>
      </c>
      <c r="E359" s="19"/>
      <c r="F359" s="19"/>
      <c r="G359" s="20" t="str">
        <f aca="false">IF(OR(E359="",F359=""),IF(B359="","",IF(A359="","",8)),F359-E359)</f>
        <v/>
      </c>
      <c r="H359" s="14"/>
      <c r="I359" s="12"/>
      <c r="J359" s="14"/>
      <c r="K359" s="20" t="str">
        <f aca="false">IF(OR(J359="",N(G359)=0),"",J359/G359)</f>
        <v/>
      </c>
      <c r="L359" s="12"/>
      <c r="M359" s="12"/>
      <c r="N359" s="12"/>
    </row>
    <row r="360" customFormat="false" ht="15" hidden="false" customHeight="false" outlineLevel="0" collapsed="false">
      <c r="A360" s="16"/>
      <c r="B360" s="12"/>
      <c r="C360" s="18" t="str">
        <f aca="false">IF(B360="","",IFERROR(INDEX(Inventario!$B$7:$B$46,MATCH(B360,Inventario!$A$7:$A$46,0)),"Clave no existe"))</f>
        <v/>
      </c>
      <c r="D360" s="18" t="str">
        <f aca="false">IF(B360="","",IFERROR(INDEX(Inventario!$C$7:$C$46,MATCH(B360,Inventario!$A$7:$A$46,0)),""))</f>
        <v/>
      </c>
      <c r="E360" s="19"/>
      <c r="F360" s="19"/>
      <c r="G360" s="20" t="str">
        <f aca="false">IF(OR(E360="",F360=""),IF(B360="","",IF(A360="","",8)),F360-E360)</f>
        <v/>
      </c>
      <c r="H360" s="14"/>
      <c r="I360" s="12"/>
      <c r="J360" s="14"/>
      <c r="K360" s="20" t="str">
        <f aca="false">IF(OR(J360="",N(G360)=0),"",J360/G360)</f>
        <v/>
      </c>
      <c r="L360" s="12"/>
      <c r="M360" s="12"/>
      <c r="N360" s="12"/>
    </row>
    <row r="361" customFormat="false" ht="15" hidden="false" customHeight="false" outlineLevel="0" collapsed="false">
      <c r="A361" s="16"/>
      <c r="B361" s="12"/>
      <c r="C361" s="18" t="str">
        <f aca="false">IF(B361="","",IFERROR(INDEX(Inventario!$B$7:$B$46,MATCH(B361,Inventario!$A$7:$A$46,0)),"Clave no existe"))</f>
        <v/>
      </c>
      <c r="D361" s="18" t="str">
        <f aca="false">IF(B361="","",IFERROR(INDEX(Inventario!$C$7:$C$46,MATCH(B361,Inventario!$A$7:$A$46,0)),""))</f>
        <v/>
      </c>
      <c r="E361" s="19"/>
      <c r="F361" s="19"/>
      <c r="G361" s="20" t="str">
        <f aca="false">IF(OR(E361="",F361=""),IF(B361="","",IF(A361="","",8)),F361-E361)</f>
        <v/>
      </c>
      <c r="H361" s="14"/>
      <c r="I361" s="12"/>
      <c r="J361" s="14"/>
      <c r="K361" s="20" t="str">
        <f aca="false">IF(OR(J361="",N(G361)=0),"",J361/G361)</f>
        <v/>
      </c>
      <c r="L361" s="12"/>
      <c r="M361" s="12"/>
      <c r="N361" s="12"/>
    </row>
    <row r="362" customFormat="false" ht="15" hidden="false" customHeight="false" outlineLevel="0" collapsed="false">
      <c r="A362" s="16"/>
      <c r="B362" s="12"/>
      <c r="C362" s="18" t="str">
        <f aca="false">IF(B362="","",IFERROR(INDEX(Inventario!$B$7:$B$46,MATCH(B362,Inventario!$A$7:$A$46,0)),"Clave no existe"))</f>
        <v/>
      </c>
      <c r="D362" s="18" t="str">
        <f aca="false">IF(B362="","",IFERROR(INDEX(Inventario!$C$7:$C$46,MATCH(B362,Inventario!$A$7:$A$46,0)),""))</f>
        <v/>
      </c>
      <c r="E362" s="19"/>
      <c r="F362" s="19"/>
      <c r="G362" s="20" t="str">
        <f aca="false">IF(OR(E362="",F362=""),IF(B362="","",IF(A362="","",8)),F362-E362)</f>
        <v/>
      </c>
      <c r="H362" s="14"/>
      <c r="I362" s="12"/>
      <c r="J362" s="14"/>
      <c r="K362" s="20" t="str">
        <f aca="false">IF(OR(J362="",N(G362)=0),"",J362/G362)</f>
        <v/>
      </c>
      <c r="L362" s="12"/>
      <c r="M362" s="12"/>
      <c r="N362" s="12"/>
    </row>
    <row r="363" customFormat="false" ht="15" hidden="false" customHeight="false" outlineLevel="0" collapsed="false">
      <c r="A363" s="16"/>
      <c r="B363" s="12"/>
      <c r="C363" s="18" t="str">
        <f aca="false">IF(B363="","",IFERROR(INDEX(Inventario!$B$7:$B$46,MATCH(B363,Inventario!$A$7:$A$46,0)),"Clave no existe"))</f>
        <v/>
      </c>
      <c r="D363" s="18" t="str">
        <f aca="false">IF(B363="","",IFERROR(INDEX(Inventario!$C$7:$C$46,MATCH(B363,Inventario!$A$7:$A$46,0)),""))</f>
        <v/>
      </c>
      <c r="E363" s="19"/>
      <c r="F363" s="19"/>
      <c r="G363" s="20" t="str">
        <f aca="false">IF(OR(E363="",F363=""),IF(B363="","",IF(A363="","",8)),F363-E363)</f>
        <v/>
      </c>
      <c r="H363" s="14"/>
      <c r="I363" s="12"/>
      <c r="J363" s="14"/>
      <c r="K363" s="20" t="str">
        <f aca="false">IF(OR(J363="",N(G363)=0),"",J363/G363)</f>
        <v/>
      </c>
      <c r="L363" s="12"/>
      <c r="M363" s="12"/>
      <c r="N363" s="12"/>
    </row>
    <row r="364" customFormat="false" ht="15" hidden="false" customHeight="false" outlineLevel="0" collapsed="false">
      <c r="A364" s="16"/>
      <c r="B364" s="12"/>
      <c r="C364" s="18" t="str">
        <f aca="false">IF(B364="","",IFERROR(INDEX(Inventario!$B$7:$B$46,MATCH(B364,Inventario!$A$7:$A$46,0)),"Clave no existe"))</f>
        <v/>
      </c>
      <c r="D364" s="18" t="str">
        <f aca="false">IF(B364="","",IFERROR(INDEX(Inventario!$C$7:$C$46,MATCH(B364,Inventario!$A$7:$A$46,0)),""))</f>
        <v/>
      </c>
      <c r="E364" s="19"/>
      <c r="F364" s="19"/>
      <c r="G364" s="20" t="str">
        <f aca="false">IF(OR(E364="",F364=""),IF(B364="","",IF(A364="","",8)),F364-E364)</f>
        <v/>
      </c>
      <c r="H364" s="14"/>
      <c r="I364" s="12"/>
      <c r="J364" s="14"/>
      <c r="K364" s="20" t="str">
        <f aca="false">IF(OR(J364="",N(G364)=0),"",J364/G364)</f>
        <v/>
      </c>
      <c r="L364" s="12"/>
      <c r="M364" s="12"/>
      <c r="N364" s="12"/>
    </row>
    <row r="365" customFormat="false" ht="15" hidden="false" customHeight="false" outlineLevel="0" collapsed="false">
      <c r="A365" s="16"/>
      <c r="B365" s="12"/>
      <c r="C365" s="18" t="str">
        <f aca="false">IF(B365="","",IFERROR(INDEX(Inventario!$B$7:$B$46,MATCH(B365,Inventario!$A$7:$A$46,0)),"Clave no existe"))</f>
        <v/>
      </c>
      <c r="D365" s="18" t="str">
        <f aca="false">IF(B365="","",IFERROR(INDEX(Inventario!$C$7:$C$46,MATCH(B365,Inventario!$A$7:$A$46,0)),""))</f>
        <v/>
      </c>
      <c r="E365" s="19"/>
      <c r="F365" s="19"/>
      <c r="G365" s="20" t="str">
        <f aca="false">IF(OR(E365="",F365=""),IF(B365="","",IF(A365="","",8)),F365-E365)</f>
        <v/>
      </c>
      <c r="H365" s="14"/>
      <c r="I365" s="12"/>
      <c r="J365" s="14"/>
      <c r="K365" s="20" t="str">
        <f aca="false">IF(OR(J365="",N(G365)=0),"",J365/G365)</f>
        <v/>
      </c>
      <c r="L365" s="12"/>
      <c r="M365" s="12"/>
      <c r="N365" s="12"/>
    </row>
    <row r="366" customFormat="false" ht="15" hidden="false" customHeight="false" outlineLevel="0" collapsed="false">
      <c r="A366" s="16"/>
      <c r="B366" s="12"/>
      <c r="C366" s="18" t="str">
        <f aca="false">IF(B366="","",IFERROR(INDEX(Inventario!$B$7:$B$46,MATCH(B366,Inventario!$A$7:$A$46,0)),"Clave no existe"))</f>
        <v/>
      </c>
      <c r="D366" s="18" t="str">
        <f aca="false">IF(B366="","",IFERROR(INDEX(Inventario!$C$7:$C$46,MATCH(B366,Inventario!$A$7:$A$46,0)),""))</f>
        <v/>
      </c>
      <c r="E366" s="19"/>
      <c r="F366" s="19"/>
      <c r="G366" s="20" t="str">
        <f aca="false">IF(OR(E366="",F366=""),IF(B366="","",IF(A366="","",8)),F366-E366)</f>
        <v/>
      </c>
      <c r="H366" s="14"/>
      <c r="I366" s="12"/>
      <c r="J366" s="14"/>
      <c r="K366" s="20" t="str">
        <f aca="false">IF(OR(J366="",N(G366)=0),"",J366/G366)</f>
        <v/>
      </c>
      <c r="L366" s="12"/>
      <c r="M366" s="12"/>
      <c r="N366" s="12"/>
    </row>
    <row r="367" customFormat="false" ht="15" hidden="false" customHeight="false" outlineLevel="0" collapsed="false">
      <c r="A367" s="16"/>
      <c r="B367" s="12"/>
      <c r="C367" s="18" t="str">
        <f aca="false">IF(B367="","",IFERROR(INDEX(Inventario!$B$7:$B$46,MATCH(B367,Inventario!$A$7:$A$46,0)),"Clave no existe"))</f>
        <v/>
      </c>
      <c r="D367" s="18" t="str">
        <f aca="false">IF(B367="","",IFERROR(INDEX(Inventario!$C$7:$C$46,MATCH(B367,Inventario!$A$7:$A$46,0)),""))</f>
        <v/>
      </c>
      <c r="E367" s="19"/>
      <c r="F367" s="19"/>
      <c r="G367" s="20" t="str">
        <f aca="false">IF(OR(E367="",F367=""),IF(B367="","",IF(A367="","",8)),F367-E367)</f>
        <v/>
      </c>
      <c r="H367" s="14"/>
      <c r="I367" s="12"/>
      <c r="J367" s="14"/>
      <c r="K367" s="20" t="str">
        <f aca="false">IF(OR(J367="",N(G367)=0),"",J367/G367)</f>
        <v/>
      </c>
      <c r="L367" s="12"/>
      <c r="M367" s="12"/>
      <c r="N367" s="12"/>
    </row>
    <row r="368" customFormat="false" ht="15" hidden="false" customHeight="false" outlineLevel="0" collapsed="false">
      <c r="A368" s="16"/>
      <c r="B368" s="12"/>
      <c r="C368" s="18" t="str">
        <f aca="false">IF(B368="","",IFERROR(INDEX(Inventario!$B$7:$B$46,MATCH(B368,Inventario!$A$7:$A$46,0)),"Clave no existe"))</f>
        <v/>
      </c>
      <c r="D368" s="18" t="str">
        <f aca="false">IF(B368="","",IFERROR(INDEX(Inventario!$C$7:$C$46,MATCH(B368,Inventario!$A$7:$A$46,0)),""))</f>
        <v/>
      </c>
      <c r="E368" s="19"/>
      <c r="F368" s="19"/>
      <c r="G368" s="20" t="str">
        <f aca="false">IF(OR(E368="",F368=""),IF(B368="","",IF(A368="","",8)),F368-E368)</f>
        <v/>
      </c>
      <c r="H368" s="14"/>
      <c r="I368" s="12"/>
      <c r="J368" s="14"/>
      <c r="K368" s="20" t="str">
        <f aca="false">IF(OR(J368="",N(G368)=0),"",J368/G368)</f>
        <v/>
      </c>
      <c r="L368" s="12"/>
      <c r="M368" s="12"/>
      <c r="N368" s="12"/>
    </row>
    <row r="369" customFormat="false" ht="15" hidden="false" customHeight="false" outlineLevel="0" collapsed="false">
      <c r="A369" s="16"/>
      <c r="B369" s="12"/>
      <c r="C369" s="18" t="str">
        <f aca="false">IF(B369="","",IFERROR(INDEX(Inventario!$B$7:$B$46,MATCH(B369,Inventario!$A$7:$A$46,0)),"Clave no existe"))</f>
        <v/>
      </c>
      <c r="D369" s="18" t="str">
        <f aca="false">IF(B369="","",IFERROR(INDEX(Inventario!$C$7:$C$46,MATCH(B369,Inventario!$A$7:$A$46,0)),""))</f>
        <v/>
      </c>
      <c r="E369" s="19"/>
      <c r="F369" s="19"/>
      <c r="G369" s="20" t="str">
        <f aca="false">IF(OR(E369="",F369=""),IF(B369="","",IF(A369="","",8)),F369-E369)</f>
        <v/>
      </c>
      <c r="H369" s="14"/>
      <c r="I369" s="12"/>
      <c r="J369" s="14"/>
      <c r="K369" s="20" t="str">
        <f aca="false">IF(OR(J369="",N(G369)=0),"",J369/G369)</f>
        <v/>
      </c>
      <c r="L369" s="12"/>
      <c r="M369" s="12"/>
      <c r="N369" s="12"/>
    </row>
    <row r="370" customFormat="false" ht="15" hidden="false" customHeight="false" outlineLevel="0" collapsed="false">
      <c r="A370" s="16"/>
      <c r="B370" s="12"/>
      <c r="C370" s="18" t="str">
        <f aca="false">IF(B370="","",IFERROR(INDEX(Inventario!$B$7:$B$46,MATCH(B370,Inventario!$A$7:$A$46,0)),"Clave no existe"))</f>
        <v/>
      </c>
      <c r="D370" s="18" t="str">
        <f aca="false">IF(B370="","",IFERROR(INDEX(Inventario!$C$7:$C$46,MATCH(B370,Inventario!$A$7:$A$46,0)),""))</f>
        <v/>
      </c>
      <c r="E370" s="19"/>
      <c r="F370" s="19"/>
      <c r="G370" s="20" t="str">
        <f aca="false">IF(OR(E370="",F370=""),IF(B370="","",IF(A370="","",8)),F370-E370)</f>
        <v/>
      </c>
      <c r="H370" s="14"/>
      <c r="I370" s="12"/>
      <c r="J370" s="14"/>
      <c r="K370" s="20" t="str">
        <f aca="false">IF(OR(J370="",N(G370)=0),"",J370/G370)</f>
        <v/>
      </c>
      <c r="L370" s="12"/>
      <c r="M370" s="12"/>
      <c r="N370" s="12"/>
    </row>
    <row r="371" customFormat="false" ht="15" hidden="false" customHeight="false" outlineLevel="0" collapsed="false">
      <c r="A371" s="16"/>
      <c r="B371" s="12"/>
      <c r="C371" s="18" t="str">
        <f aca="false">IF(B371="","",IFERROR(INDEX(Inventario!$B$7:$B$46,MATCH(B371,Inventario!$A$7:$A$46,0)),"Clave no existe"))</f>
        <v/>
      </c>
      <c r="D371" s="18" t="str">
        <f aca="false">IF(B371="","",IFERROR(INDEX(Inventario!$C$7:$C$46,MATCH(B371,Inventario!$A$7:$A$46,0)),""))</f>
        <v/>
      </c>
      <c r="E371" s="19"/>
      <c r="F371" s="19"/>
      <c r="G371" s="20" t="str">
        <f aca="false">IF(OR(E371="",F371=""),IF(B371="","",IF(A371="","",8)),F371-E371)</f>
        <v/>
      </c>
      <c r="H371" s="14"/>
      <c r="I371" s="12"/>
      <c r="J371" s="14"/>
      <c r="K371" s="20" t="str">
        <f aca="false">IF(OR(J371="",N(G371)=0),"",J371/G371)</f>
        <v/>
      </c>
      <c r="L371" s="12"/>
      <c r="M371" s="12"/>
      <c r="N371" s="12"/>
    </row>
    <row r="372" customFormat="false" ht="15" hidden="false" customHeight="false" outlineLevel="0" collapsed="false">
      <c r="A372" s="16"/>
      <c r="B372" s="12"/>
      <c r="C372" s="18" t="str">
        <f aca="false">IF(B372="","",IFERROR(INDEX(Inventario!$B$7:$B$46,MATCH(B372,Inventario!$A$7:$A$46,0)),"Clave no existe"))</f>
        <v/>
      </c>
      <c r="D372" s="18" t="str">
        <f aca="false">IF(B372="","",IFERROR(INDEX(Inventario!$C$7:$C$46,MATCH(B372,Inventario!$A$7:$A$46,0)),""))</f>
        <v/>
      </c>
      <c r="E372" s="19"/>
      <c r="F372" s="19"/>
      <c r="G372" s="20" t="str">
        <f aca="false">IF(OR(E372="",F372=""),IF(B372="","",IF(A372="","",8)),F372-E372)</f>
        <v/>
      </c>
      <c r="H372" s="14"/>
      <c r="I372" s="12"/>
      <c r="J372" s="14"/>
      <c r="K372" s="20" t="str">
        <f aca="false">IF(OR(J372="",N(G372)=0),"",J372/G372)</f>
        <v/>
      </c>
      <c r="L372" s="12"/>
      <c r="M372" s="12"/>
      <c r="N372" s="12"/>
    </row>
    <row r="373" customFormat="false" ht="15" hidden="false" customHeight="false" outlineLevel="0" collapsed="false">
      <c r="A373" s="16"/>
      <c r="B373" s="12"/>
      <c r="C373" s="18" t="str">
        <f aca="false">IF(B373="","",IFERROR(INDEX(Inventario!$B$7:$B$46,MATCH(B373,Inventario!$A$7:$A$46,0)),"Clave no existe"))</f>
        <v/>
      </c>
      <c r="D373" s="18" t="str">
        <f aca="false">IF(B373="","",IFERROR(INDEX(Inventario!$C$7:$C$46,MATCH(B373,Inventario!$A$7:$A$46,0)),""))</f>
        <v/>
      </c>
      <c r="E373" s="19"/>
      <c r="F373" s="19"/>
      <c r="G373" s="20" t="str">
        <f aca="false">IF(OR(E373="",F373=""),IF(B373="","",IF(A373="","",8)),F373-E373)</f>
        <v/>
      </c>
      <c r="H373" s="14"/>
      <c r="I373" s="12"/>
      <c r="J373" s="14"/>
      <c r="K373" s="20" t="str">
        <f aca="false">IF(OR(J373="",N(G373)=0),"",J373/G373)</f>
        <v/>
      </c>
      <c r="L373" s="12"/>
      <c r="M373" s="12"/>
      <c r="N373" s="12"/>
    </row>
    <row r="374" customFormat="false" ht="15" hidden="false" customHeight="false" outlineLevel="0" collapsed="false">
      <c r="A374" s="16"/>
      <c r="B374" s="12"/>
      <c r="C374" s="18" t="str">
        <f aca="false">IF(B374="","",IFERROR(INDEX(Inventario!$B$7:$B$46,MATCH(B374,Inventario!$A$7:$A$46,0)),"Clave no existe"))</f>
        <v/>
      </c>
      <c r="D374" s="18" t="str">
        <f aca="false">IF(B374="","",IFERROR(INDEX(Inventario!$C$7:$C$46,MATCH(B374,Inventario!$A$7:$A$46,0)),""))</f>
        <v/>
      </c>
      <c r="E374" s="19"/>
      <c r="F374" s="19"/>
      <c r="G374" s="20" t="str">
        <f aca="false">IF(OR(E374="",F374=""),IF(B374="","",IF(A374="","",8)),F374-E374)</f>
        <v/>
      </c>
      <c r="H374" s="14"/>
      <c r="I374" s="12"/>
      <c r="J374" s="14"/>
      <c r="K374" s="20" t="str">
        <f aca="false">IF(OR(J374="",N(G374)=0),"",J374/G374)</f>
        <v/>
      </c>
      <c r="L374" s="12"/>
      <c r="M374" s="12"/>
      <c r="N374" s="12"/>
    </row>
    <row r="375" customFormat="false" ht="15" hidden="false" customHeight="false" outlineLevel="0" collapsed="false">
      <c r="A375" s="16"/>
      <c r="B375" s="12"/>
      <c r="C375" s="18" t="str">
        <f aca="false">IF(B375="","",IFERROR(INDEX(Inventario!$B$7:$B$46,MATCH(B375,Inventario!$A$7:$A$46,0)),"Clave no existe"))</f>
        <v/>
      </c>
      <c r="D375" s="18" t="str">
        <f aca="false">IF(B375="","",IFERROR(INDEX(Inventario!$C$7:$C$46,MATCH(B375,Inventario!$A$7:$A$46,0)),""))</f>
        <v/>
      </c>
      <c r="E375" s="19"/>
      <c r="F375" s="19"/>
      <c r="G375" s="20" t="str">
        <f aca="false">IF(OR(E375="",F375=""),IF(B375="","",IF(A375="","",8)),F375-E375)</f>
        <v/>
      </c>
      <c r="H375" s="14"/>
      <c r="I375" s="12"/>
      <c r="J375" s="14"/>
      <c r="K375" s="20" t="str">
        <f aca="false">IF(OR(J375="",N(G375)=0),"",J375/G375)</f>
        <v/>
      </c>
      <c r="L375" s="12"/>
      <c r="M375" s="12"/>
      <c r="N375" s="12"/>
    </row>
    <row r="376" customFormat="false" ht="15" hidden="false" customHeight="false" outlineLevel="0" collapsed="false">
      <c r="A376" s="16"/>
      <c r="B376" s="12"/>
      <c r="C376" s="18" t="str">
        <f aca="false">IF(B376="","",IFERROR(INDEX(Inventario!$B$7:$B$46,MATCH(B376,Inventario!$A$7:$A$46,0)),"Clave no existe"))</f>
        <v/>
      </c>
      <c r="D376" s="18" t="str">
        <f aca="false">IF(B376="","",IFERROR(INDEX(Inventario!$C$7:$C$46,MATCH(B376,Inventario!$A$7:$A$46,0)),""))</f>
        <v/>
      </c>
      <c r="E376" s="19"/>
      <c r="F376" s="19"/>
      <c r="G376" s="20" t="str">
        <f aca="false">IF(OR(E376="",F376=""),IF(B376="","",IF(A376="","",8)),F376-E376)</f>
        <v/>
      </c>
      <c r="H376" s="14"/>
      <c r="I376" s="12"/>
      <c r="J376" s="14"/>
      <c r="K376" s="20" t="str">
        <f aca="false">IF(OR(J376="",N(G376)=0),"",J376/G376)</f>
        <v/>
      </c>
      <c r="L376" s="12"/>
      <c r="M376" s="12"/>
      <c r="N376" s="12"/>
    </row>
    <row r="377" customFormat="false" ht="15" hidden="false" customHeight="false" outlineLevel="0" collapsed="false">
      <c r="A377" s="16"/>
      <c r="B377" s="12"/>
      <c r="C377" s="18" t="str">
        <f aca="false">IF(B377="","",IFERROR(INDEX(Inventario!$B$7:$B$46,MATCH(B377,Inventario!$A$7:$A$46,0)),"Clave no existe"))</f>
        <v/>
      </c>
      <c r="D377" s="18" t="str">
        <f aca="false">IF(B377="","",IFERROR(INDEX(Inventario!$C$7:$C$46,MATCH(B377,Inventario!$A$7:$A$46,0)),""))</f>
        <v/>
      </c>
      <c r="E377" s="19"/>
      <c r="F377" s="19"/>
      <c r="G377" s="20" t="str">
        <f aca="false">IF(OR(E377="",F377=""),IF(B377="","",IF(A377="","",8)),F377-E377)</f>
        <v/>
      </c>
      <c r="H377" s="14"/>
      <c r="I377" s="12"/>
      <c r="J377" s="14"/>
      <c r="K377" s="20" t="str">
        <f aca="false">IF(OR(J377="",N(G377)=0),"",J377/G377)</f>
        <v/>
      </c>
      <c r="L377" s="12"/>
      <c r="M377" s="12"/>
      <c r="N377" s="12"/>
    </row>
    <row r="378" customFormat="false" ht="15" hidden="false" customHeight="false" outlineLevel="0" collapsed="false">
      <c r="A378" s="16"/>
      <c r="B378" s="12"/>
      <c r="C378" s="18" t="str">
        <f aca="false">IF(B378="","",IFERROR(INDEX(Inventario!$B$7:$B$46,MATCH(B378,Inventario!$A$7:$A$46,0)),"Clave no existe"))</f>
        <v/>
      </c>
      <c r="D378" s="18" t="str">
        <f aca="false">IF(B378="","",IFERROR(INDEX(Inventario!$C$7:$C$46,MATCH(B378,Inventario!$A$7:$A$46,0)),""))</f>
        <v/>
      </c>
      <c r="E378" s="19"/>
      <c r="F378" s="19"/>
      <c r="G378" s="20" t="str">
        <f aca="false">IF(OR(E378="",F378=""),IF(B378="","",IF(A378="","",8)),F378-E378)</f>
        <v/>
      </c>
      <c r="H378" s="14"/>
      <c r="I378" s="12"/>
      <c r="J378" s="14"/>
      <c r="K378" s="20" t="str">
        <f aca="false">IF(OR(J378="",N(G378)=0),"",J378/G378)</f>
        <v/>
      </c>
      <c r="L378" s="12"/>
      <c r="M378" s="12"/>
      <c r="N378" s="12"/>
    </row>
    <row r="379" customFormat="false" ht="15" hidden="false" customHeight="false" outlineLevel="0" collapsed="false">
      <c r="A379" s="16"/>
      <c r="B379" s="12"/>
      <c r="C379" s="18" t="str">
        <f aca="false">IF(B379="","",IFERROR(INDEX(Inventario!$B$7:$B$46,MATCH(B379,Inventario!$A$7:$A$46,0)),"Clave no existe"))</f>
        <v/>
      </c>
      <c r="D379" s="18" t="str">
        <f aca="false">IF(B379="","",IFERROR(INDEX(Inventario!$C$7:$C$46,MATCH(B379,Inventario!$A$7:$A$46,0)),""))</f>
        <v/>
      </c>
      <c r="E379" s="19"/>
      <c r="F379" s="19"/>
      <c r="G379" s="20" t="str">
        <f aca="false">IF(OR(E379="",F379=""),IF(B379="","",IF(A379="","",8)),F379-E379)</f>
        <v/>
      </c>
      <c r="H379" s="14"/>
      <c r="I379" s="12"/>
      <c r="J379" s="14"/>
      <c r="K379" s="20" t="str">
        <f aca="false">IF(OR(J379="",N(G379)=0),"",J379/G379)</f>
        <v/>
      </c>
      <c r="L379" s="12"/>
      <c r="M379" s="12"/>
      <c r="N379" s="12"/>
    </row>
    <row r="380" customFormat="false" ht="15" hidden="false" customHeight="false" outlineLevel="0" collapsed="false">
      <c r="A380" s="16"/>
      <c r="B380" s="12"/>
      <c r="C380" s="18" t="str">
        <f aca="false">IF(B380="","",IFERROR(INDEX(Inventario!$B$7:$B$46,MATCH(B380,Inventario!$A$7:$A$46,0)),"Clave no existe"))</f>
        <v/>
      </c>
      <c r="D380" s="18" t="str">
        <f aca="false">IF(B380="","",IFERROR(INDEX(Inventario!$C$7:$C$46,MATCH(B380,Inventario!$A$7:$A$46,0)),""))</f>
        <v/>
      </c>
      <c r="E380" s="19"/>
      <c r="F380" s="19"/>
      <c r="G380" s="20" t="str">
        <f aca="false">IF(OR(E380="",F380=""),IF(B380="","",IF(A380="","",8)),F380-E380)</f>
        <v/>
      </c>
      <c r="H380" s="14"/>
      <c r="I380" s="12"/>
      <c r="J380" s="14"/>
      <c r="K380" s="20" t="str">
        <f aca="false">IF(OR(J380="",N(G380)=0),"",J380/G380)</f>
        <v/>
      </c>
      <c r="L380" s="12"/>
      <c r="M380" s="12"/>
      <c r="N380" s="12"/>
    </row>
    <row r="381" customFormat="false" ht="15" hidden="false" customHeight="false" outlineLevel="0" collapsed="false">
      <c r="A381" s="16"/>
      <c r="B381" s="12"/>
      <c r="C381" s="18" t="str">
        <f aca="false">IF(B381="","",IFERROR(INDEX(Inventario!$B$7:$B$46,MATCH(B381,Inventario!$A$7:$A$46,0)),"Clave no existe"))</f>
        <v/>
      </c>
      <c r="D381" s="18" t="str">
        <f aca="false">IF(B381="","",IFERROR(INDEX(Inventario!$C$7:$C$46,MATCH(B381,Inventario!$A$7:$A$46,0)),""))</f>
        <v/>
      </c>
      <c r="E381" s="19"/>
      <c r="F381" s="19"/>
      <c r="G381" s="20" t="str">
        <f aca="false">IF(OR(E381="",F381=""),IF(B381="","",IF(A381="","",8)),F381-E381)</f>
        <v/>
      </c>
      <c r="H381" s="14"/>
      <c r="I381" s="12"/>
      <c r="J381" s="14"/>
      <c r="K381" s="20" t="str">
        <f aca="false">IF(OR(J381="",N(G381)=0),"",J381/G381)</f>
        <v/>
      </c>
      <c r="L381" s="12"/>
      <c r="M381" s="12"/>
      <c r="N381" s="12"/>
    </row>
    <row r="382" customFormat="false" ht="15" hidden="false" customHeight="false" outlineLevel="0" collapsed="false">
      <c r="A382" s="16"/>
      <c r="B382" s="12"/>
      <c r="C382" s="18" t="str">
        <f aca="false">IF(B382="","",IFERROR(INDEX(Inventario!$B$7:$B$46,MATCH(B382,Inventario!$A$7:$A$46,0)),"Clave no existe"))</f>
        <v/>
      </c>
      <c r="D382" s="18" t="str">
        <f aca="false">IF(B382="","",IFERROR(INDEX(Inventario!$C$7:$C$46,MATCH(B382,Inventario!$A$7:$A$46,0)),""))</f>
        <v/>
      </c>
      <c r="E382" s="19"/>
      <c r="F382" s="19"/>
      <c r="G382" s="20" t="str">
        <f aca="false">IF(OR(E382="",F382=""),IF(B382="","",IF(A382="","",8)),F382-E382)</f>
        <v/>
      </c>
      <c r="H382" s="14"/>
      <c r="I382" s="12"/>
      <c r="J382" s="14"/>
      <c r="K382" s="20" t="str">
        <f aca="false">IF(OR(J382="",N(G382)=0),"",J382/G382)</f>
        <v/>
      </c>
      <c r="L382" s="12"/>
      <c r="M382" s="12"/>
      <c r="N382" s="12"/>
    </row>
    <row r="383" customFormat="false" ht="15" hidden="false" customHeight="false" outlineLevel="0" collapsed="false">
      <c r="A383" s="16"/>
      <c r="B383" s="12"/>
      <c r="C383" s="18" t="str">
        <f aca="false">IF(B383="","",IFERROR(INDEX(Inventario!$B$7:$B$46,MATCH(B383,Inventario!$A$7:$A$46,0)),"Clave no existe"))</f>
        <v/>
      </c>
      <c r="D383" s="18" t="str">
        <f aca="false">IF(B383="","",IFERROR(INDEX(Inventario!$C$7:$C$46,MATCH(B383,Inventario!$A$7:$A$46,0)),""))</f>
        <v/>
      </c>
      <c r="E383" s="19"/>
      <c r="F383" s="19"/>
      <c r="G383" s="20" t="str">
        <f aca="false">IF(OR(E383="",F383=""),IF(B383="","",IF(A383="","",8)),F383-E383)</f>
        <v/>
      </c>
      <c r="H383" s="14"/>
      <c r="I383" s="12"/>
      <c r="J383" s="14"/>
      <c r="K383" s="20" t="str">
        <f aca="false">IF(OR(J383="",N(G383)=0),"",J383/G383)</f>
        <v/>
      </c>
      <c r="L383" s="12"/>
      <c r="M383" s="12"/>
      <c r="N383" s="12"/>
    </row>
    <row r="384" customFormat="false" ht="15" hidden="false" customHeight="false" outlineLevel="0" collapsed="false">
      <c r="A384" s="16"/>
      <c r="B384" s="12"/>
      <c r="C384" s="18" t="str">
        <f aca="false">IF(B384="","",IFERROR(INDEX(Inventario!$B$7:$B$46,MATCH(B384,Inventario!$A$7:$A$46,0)),"Clave no existe"))</f>
        <v/>
      </c>
      <c r="D384" s="18" t="str">
        <f aca="false">IF(B384="","",IFERROR(INDEX(Inventario!$C$7:$C$46,MATCH(B384,Inventario!$A$7:$A$46,0)),""))</f>
        <v/>
      </c>
      <c r="E384" s="19"/>
      <c r="F384" s="19"/>
      <c r="G384" s="20" t="str">
        <f aca="false">IF(OR(E384="",F384=""),IF(B384="","",IF(A384="","",8)),F384-E384)</f>
        <v/>
      </c>
      <c r="H384" s="14"/>
      <c r="I384" s="12"/>
      <c r="J384" s="14"/>
      <c r="K384" s="20" t="str">
        <f aca="false">IF(OR(J384="",N(G384)=0),"",J384/G384)</f>
        <v/>
      </c>
      <c r="L384" s="12"/>
      <c r="M384" s="12"/>
      <c r="N384" s="12"/>
    </row>
    <row r="385" customFormat="false" ht="15" hidden="false" customHeight="false" outlineLevel="0" collapsed="false">
      <c r="A385" s="16"/>
      <c r="B385" s="12"/>
      <c r="C385" s="18" t="str">
        <f aca="false">IF(B385="","",IFERROR(INDEX(Inventario!$B$7:$B$46,MATCH(B385,Inventario!$A$7:$A$46,0)),"Clave no existe"))</f>
        <v/>
      </c>
      <c r="D385" s="18" t="str">
        <f aca="false">IF(B385="","",IFERROR(INDEX(Inventario!$C$7:$C$46,MATCH(B385,Inventario!$A$7:$A$46,0)),""))</f>
        <v/>
      </c>
      <c r="E385" s="19"/>
      <c r="F385" s="19"/>
      <c r="G385" s="20" t="str">
        <f aca="false">IF(OR(E385="",F385=""),IF(B385="","",IF(A385="","",8)),F385-E385)</f>
        <v/>
      </c>
      <c r="H385" s="14"/>
      <c r="I385" s="12"/>
      <c r="J385" s="14"/>
      <c r="K385" s="20" t="str">
        <f aca="false">IF(OR(J385="",N(G385)=0),"",J385/G385)</f>
        <v/>
      </c>
      <c r="L385" s="12"/>
      <c r="M385" s="12"/>
      <c r="N385" s="12"/>
    </row>
    <row r="386" customFormat="false" ht="15" hidden="false" customHeight="false" outlineLevel="0" collapsed="false">
      <c r="A386" s="16"/>
      <c r="B386" s="12"/>
      <c r="C386" s="18" t="str">
        <f aca="false">IF(B386="","",IFERROR(INDEX(Inventario!$B$7:$B$46,MATCH(B386,Inventario!$A$7:$A$46,0)),"Clave no existe"))</f>
        <v/>
      </c>
      <c r="D386" s="18" t="str">
        <f aca="false">IF(B386="","",IFERROR(INDEX(Inventario!$C$7:$C$46,MATCH(B386,Inventario!$A$7:$A$46,0)),""))</f>
        <v/>
      </c>
      <c r="E386" s="19"/>
      <c r="F386" s="19"/>
      <c r="G386" s="20" t="str">
        <f aca="false">IF(OR(E386="",F386=""),IF(B386="","",IF(A386="","",8)),F386-E386)</f>
        <v/>
      </c>
      <c r="H386" s="14"/>
      <c r="I386" s="12"/>
      <c r="J386" s="14"/>
      <c r="K386" s="20" t="str">
        <f aca="false">IF(OR(J386="",N(G386)=0),"",J386/G386)</f>
        <v/>
      </c>
      <c r="L386" s="12"/>
      <c r="M386" s="12"/>
      <c r="N386" s="12"/>
    </row>
    <row r="387" customFormat="false" ht="15" hidden="false" customHeight="false" outlineLevel="0" collapsed="false">
      <c r="A387" s="16"/>
      <c r="B387" s="12"/>
      <c r="C387" s="18" t="str">
        <f aca="false">IF(B387="","",IFERROR(INDEX(Inventario!$B$7:$B$46,MATCH(B387,Inventario!$A$7:$A$46,0)),"Clave no existe"))</f>
        <v/>
      </c>
      <c r="D387" s="18" t="str">
        <f aca="false">IF(B387="","",IFERROR(INDEX(Inventario!$C$7:$C$46,MATCH(B387,Inventario!$A$7:$A$46,0)),""))</f>
        <v/>
      </c>
      <c r="E387" s="19"/>
      <c r="F387" s="19"/>
      <c r="G387" s="20" t="str">
        <f aca="false">IF(OR(E387="",F387=""),IF(B387="","",IF(A387="","",8)),F387-E387)</f>
        <v/>
      </c>
      <c r="H387" s="14"/>
      <c r="I387" s="12"/>
      <c r="J387" s="14"/>
      <c r="K387" s="20" t="str">
        <f aca="false">IF(OR(J387="",N(G387)=0),"",J387/G387)</f>
        <v/>
      </c>
      <c r="L387" s="12"/>
      <c r="M387" s="12"/>
      <c r="N387" s="12"/>
    </row>
    <row r="388" customFormat="false" ht="15" hidden="false" customHeight="false" outlineLevel="0" collapsed="false">
      <c r="A388" s="16"/>
      <c r="B388" s="12"/>
      <c r="C388" s="18" t="str">
        <f aca="false">IF(B388="","",IFERROR(INDEX(Inventario!$B$7:$B$46,MATCH(B388,Inventario!$A$7:$A$46,0)),"Clave no existe"))</f>
        <v/>
      </c>
      <c r="D388" s="18" t="str">
        <f aca="false">IF(B388="","",IFERROR(INDEX(Inventario!$C$7:$C$46,MATCH(B388,Inventario!$A$7:$A$46,0)),""))</f>
        <v/>
      </c>
      <c r="E388" s="19"/>
      <c r="F388" s="19"/>
      <c r="G388" s="20" t="str">
        <f aca="false">IF(OR(E388="",F388=""),IF(B388="","",IF(A388="","",8)),F388-E388)</f>
        <v/>
      </c>
      <c r="H388" s="14"/>
      <c r="I388" s="12"/>
      <c r="J388" s="14"/>
      <c r="K388" s="20" t="str">
        <f aca="false">IF(OR(J388="",N(G388)=0),"",J388/G388)</f>
        <v/>
      </c>
      <c r="L388" s="12"/>
      <c r="M388" s="12"/>
      <c r="N388" s="12"/>
    </row>
    <row r="389" customFormat="false" ht="15" hidden="false" customHeight="false" outlineLevel="0" collapsed="false">
      <c r="A389" s="16"/>
      <c r="B389" s="12"/>
      <c r="C389" s="18" t="str">
        <f aca="false">IF(B389="","",IFERROR(INDEX(Inventario!$B$7:$B$46,MATCH(B389,Inventario!$A$7:$A$46,0)),"Clave no existe"))</f>
        <v/>
      </c>
      <c r="D389" s="18" t="str">
        <f aca="false">IF(B389="","",IFERROR(INDEX(Inventario!$C$7:$C$46,MATCH(B389,Inventario!$A$7:$A$46,0)),""))</f>
        <v/>
      </c>
      <c r="E389" s="19"/>
      <c r="F389" s="19"/>
      <c r="G389" s="20" t="str">
        <f aca="false">IF(OR(E389="",F389=""),IF(B389="","",IF(A389="","",8)),F389-E389)</f>
        <v/>
      </c>
      <c r="H389" s="14"/>
      <c r="I389" s="12"/>
      <c r="J389" s="14"/>
      <c r="K389" s="20" t="str">
        <f aca="false">IF(OR(J389="",N(G389)=0),"",J389/G389)</f>
        <v/>
      </c>
      <c r="L389" s="12"/>
      <c r="M389" s="12"/>
      <c r="N389" s="12"/>
    </row>
    <row r="390" customFormat="false" ht="15" hidden="false" customHeight="false" outlineLevel="0" collapsed="false">
      <c r="A390" s="16"/>
      <c r="B390" s="12"/>
      <c r="C390" s="18" t="str">
        <f aca="false">IF(B390="","",IFERROR(INDEX(Inventario!$B$7:$B$46,MATCH(B390,Inventario!$A$7:$A$46,0)),"Clave no existe"))</f>
        <v/>
      </c>
      <c r="D390" s="18" t="str">
        <f aca="false">IF(B390="","",IFERROR(INDEX(Inventario!$C$7:$C$46,MATCH(B390,Inventario!$A$7:$A$46,0)),""))</f>
        <v/>
      </c>
      <c r="E390" s="19"/>
      <c r="F390" s="19"/>
      <c r="G390" s="20" t="str">
        <f aca="false">IF(OR(E390="",F390=""),IF(B390="","",IF(A390="","",8)),F390-E390)</f>
        <v/>
      </c>
      <c r="H390" s="14"/>
      <c r="I390" s="12"/>
      <c r="J390" s="14"/>
      <c r="K390" s="20" t="str">
        <f aca="false">IF(OR(J390="",N(G390)=0),"",J390/G390)</f>
        <v/>
      </c>
      <c r="L390" s="12"/>
      <c r="M390" s="12"/>
      <c r="N390" s="12"/>
    </row>
    <row r="391" customFormat="false" ht="15" hidden="false" customHeight="false" outlineLevel="0" collapsed="false">
      <c r="A391" s="16"/>
      <c r="B391" s="12"/>
      <c r="C391" s="18" t="str">
        <f aca="false">IF(B391="","",IFERROR(INDEX(Inventario!$B$7:$B$46,MATCH(B391,Inventario!$A$7:$A$46,0)),"Clave no existe"))</f>
        <v/>
      </c>
      <c r="D391" s="18" t="str">
        <f aca="false">IF(B391="","",IFERROR(INDEX(Inventario!$C$7:$C$46,MATCH(B391,Inventario!$A$7:$A$46,0)),""))</f>
        <v/>
      </c>
      <c r="E391" s="19"/>
      <c r="F391" s="19"/>
      <c r="G391" s="20" t="str">
        <f aca="false">IF(OR(E391="",F391=""),IF(B391="","",IF(A391="","",8)),F391-E391)</f>
        <v/>
      </c>
      <c r="H391" s="14"/>
      <c r="I391" s="12"/>
      <c r="J391" s="14"/>
      <c r="K391" s="20" t="str">
        <f aca="false">IF(OR(J391="",N(G391)=0),"",J391/G391)</f>
        <v/>
      </c>
      <c r="L391" s="12"/>
      <c r="M391" s="12"/>
      <c r="N391" s="12"/>
    </row>
    <row r="392" customFormat="false" ht="15" hidden="false" customHeight="false" outlineLevel="0" collapsed="false">
      <c r="A392" s="16"/>
      <c r="B392" s="12"/>
      <c r="C392" s="18" t="str">
        <f aca="false">IF(B392="","",IFERROR(INDEX(Inventario!$B$7:$B$46,MATCH(B392,Inventario!$A$7:$A$46,0)),"Clave no existe"))</f>
        <v/>
      </c>
      <c r="D392" s="18" t="str">
        <f aca="false">IF(B392="","",IFERROR(INDEX(Inventario!$C$7:$C$46,MATCH(B392,Inventario!$A$7:$A$46,0)),""))</f>
        <v/>
      </c>
      <c r="E392" s="19"/>
      <c r="F392" s="19"/>
      <c r="G392" s="20" t="str">
        <f aca="false">IF(OR(E392="",F392=""),IF(B392="","",IF(A392="","",8)),F392-E392)</f>
        <v/>
      </c>
      <c r="H392" s="14"/>
      <c r="I392" s="12"/>
      <c r="J392" s="14"/>
      <c r="K392" s="20" t="str">
        <f aca="false">IF(OR(J392="",N(G392)=0),"",J392/G392)</f>
        <v/>
      </c>
      <c r="L392" s="12"/>
      <c r="M392" s="12"/>
      <c r="N392" s="12"/>
    </row>
    <row r="393" customFormat="false" ht="15" hidden="false" customHeight="false" outlineLevel="0" collapsed="false">
      <c r="A393" s="16"/>
      <c r="B393" s="12"/>
      <c r="C393" s="18" t="str">
        <f aca="false">IF(B393="","",IFERROR(INDEX(Inventario!$B$7:$B$46,MATCH(B393,Inventario!$A$7:$A$46,0)),"Clave no existe"))</f>
        <v/>
      </c>
      <c r="D393" s="18" t="str">
        <f aca="false">IF(B393="","",IFERROR(INDEX(Inventario!$C$7:$C$46,MATCH(B393,Inventario!$A$7:$A$46,0)),""))</f>
        <v/>
      </c>
      <c r="E393" s="19"/>
      <c r="F393" s="19"/>
      <c r="G393" s="20" t="str">
        <f aca="false">IF(OR(E393="",F393=""),IF(B393="","",IF(A393="","",8)),F393-E393)</f>
        <v/>
      </c>
      <c r="H393" s="14"/>
      <c r="I393" s="12"/>
      <c r="J393" s="14"/>
      <c r="K393" s="20" t="str">
        <f aca="false">IF(OR(J393="",N(G393)=0),"",J393/G393)</f>
        <v/>
      </c>
      <c r="L393" s="12"/>
      <c r="M393" s="12"/>
      <c r="N393" s="12"/>
    </row>
    <row r="394" customFormat="false" ht="15" hidden="false" customHeight="false" outlineLevel="0" collapsed="false">
      <c r="A394" s="16"/>
      <c r="B394" s="12"/>
      <c r="C394" s="18" t="str">
        <f aca="false">IF(B394="","",IFERROR(INDEX(Inventario!$B$7:$B$46,MATCH(B394,Inventario!$A$7:$A$46,0)),"Clave no existe"))</f>
        <v/>
      </c>
      <c r="D394" s="18" t="str">
        <f aca="false">IF(B394="","",IFERROR(INDEX(Inventario!$C$7:$C$46,MATCH(B394,Inventario!$A$7:$A$46,0)),""))</f>
        <v/>
      </c>
      <c r="E394" s="19"/>
      <c r="F394" s="19"/>
      <c r="G394" s="20" t="str">
        <f aca="false">IF(OR(E394="",F394=""),IF(B394="","",IF(A394="","",8)),F394-E394)</f>
        <v/>
      </c>
      <c r="H394" s="14"/>
      <c r="I394" s="12"/>
      <c r="J394" s="14"/>
      <c r="K394" s="20" t="str">
        <f aca="false">IF(OR(J394="",N(G394)=0),"",J394/G394)</f>
        <v/>
      </c>
      <c r="L394" s="12"/>
      <c r="M394" s="12"/>
      <c r="N394" s="12"/>
    </row>
    <row r="395" customFormat="false" ht="15" hidden="false" customHeight="false" outlineLevel="0" collapsed="false">
      <c r="A395" s="16"/>
      <c r="B395" s="12"/>
      <c r="C395" s="18" t="str">
        <f aca="false">IF(B395="","",IFERROR(INDEX(Inventario!$B$7:$B$46,MATCH(B395,Inventario!$A$7:$A$46,0)),"Clave no existe"))</f>
        <v/>
      </c>
      <c r="D395" s="18" t="str">
        <f aca="false">IF(B395="","",IFERROR(INDEX(Inventario!$C$7:$C$46,MATCH(B395,Inventario!$A$7:$A$46,0)),""))</f>
        <v/>
      </c>
      <c r="E395" s="19"/>
      <c r="F395" s="19"/>
      <c r="G395" s="20" t="str">
        <f aca="false">IF(OR(E395="",F395=""),IF(B395="","",IF(A395="","",8)),F395-E395)</f>
        <v/>
      </c>
      <c r="H395" s="14"/>
      <c r="I395" s="12"/>
      <c r="J395" s="14"/>
      <c r="K395" s="20" t="str">
        <f aca="false">IF(OR(J395="",N(G395)=0),"",J395/G395)</f>
        <v/>
      </c>
      <c r="L395" s="12"/>
      <c r="M395" s="12"/>
      <c r="N395" s="12"/>
    </row>
    <row r="396" customFormat="false" ht="15" hidden="false" customHeight="false" outlineLevel="0" collapsed="false">
      <c r="A396" s="16"/>
      <c r="B396" s="12"/>
      <c r="C396" s="18" t="str">
        <f aca="false">IF(B396="","",IFERROR(INDEX(Inventario!$B$7:$B$46,MATCH(B396,Inventario!$A$7:$A$46,0)),"Clave no existe"))</f>
        <v/>
      </c>
      <c r="D396" s="18" t="str">
        <f aca="false">IF(B396="","",IFERROR(INDEX(Inventario!$C$7:$C$46,MATCH(B396,Inventario!$A$7:$A$46,0)),""))</f>
        <v/>
      </c>
      <c r="E396" s="19"/>
      <c r="F396" s="19"/>
      <c r="G396" s="20" t="str">
        <f aca="false">IF(OR(E396="",F396=""),IF(B396="","",IF(A396="","",8)),F396-E396)</f>
        <v/>
      </c>
      <c r="H396" s="14"/>
      <c r="I396" s="12"/>
      <c r="J396" s="14"/>
      <c r="K396" s="20" t="str">
        <f aca="false">IF(OR(J396="",N(G396)=0),"",J396/G396)</f>
        <v/>
      </c>
      <c r="L396" s="12"/>
      <c r="M396" s="12"/>
      <c r="N396" s="12"/>
    </row>
    <row r="397" customFormat="false" ht="15" hidden="false" customHeight="false" outlineLevel="0" collapsed="false">
      <c r="A397" s="16"/>
      <c r="B397" s="12"/>
      <c r="C397" s="18" t="str">
        <f aca="false">IF(B397="","",IFERROR(INDEX(Inventario!$B$7:$B$46,MATCH(B397,Inventario!$A$7:$A$46,0)),"Clave no existe"))</f>
        <v/>
      </c>
      <c r="D397" s="18" t="str">
        <f aca="false">IF(B397="","",IFERROR(INDEX(Inventario!$C$7:$C$46,MATCH(B397,Inventario!$A$7:$A$46,0)),""))</f>
        <v/>
      </c>
      <c r="E397" s="19"/>
      <c r="F397" s="19"/>
      <c r="G397" s="20" t="str">
        <f aca="false">IF(OR(E397="",F397=""),IF(B397="","",IF(A397="","",8)),F397-E397)</f>
        <v/>
      </c>
      <c r="H397" s="14"/>
      <c r="I397" s="12"/>
      <c r="J397" s="14"/>
      <c r="K397" s="20" t="str">
        <f aca="false">IF(OR(J397="",N(G397)=0),"",J397/G397)</f>
        <v/>
      </c>
      <c r="L397" s="12"/>
      <c r="M397" s="12"/>
      <c r="N397" s="12"/>
    </row>
    <row r="398" customFormat="false" ht="15" hidden="false" customHeight="false" outlineLevel="0" collapsed="false">
      <c r="A398" s="16"/>
      <c r="B398" s="12"/>
      <c r="C398" s="18" t="str">
        <f aca="false">IF(B398="","",IFERROR(INDEX(Inventario!$B$7:$B$46,MATCH(B398,Inventario!$A$7:$A$46,0)),"Clave no existe"))</f>
        <v/>
      </c>
      <c r="D398" s="18" t="str">
        <f aca="false">IF(B398="","",IFERROR(INDEX(Inventario!$C$7:$C$46,MATCH(B398,Inventario!$A$7:$A$46,0)),""))</f>
        <v/>
      </c>
      <c r="E398" s="19"/>
      <c r="F398" s="19"/>
      <c r="G398" s="20" t="str">
        <f aca="false">IF(OR(E398="",F398=""),IF(B398="","",IF(A398="","",8)),F398-E398)</f>
        <v/>
      </c>
      <c r="H398" s="14"/>
      <c r="I398" s="12"/>
      <c r="J398" s="14"/>
      <c r="K398" s="20" t="str">
        <f aca="false">IF(OR(J398="",N(G398)=0),"",J398/G398)</f>
        <v/>
      </c>
      <c r="L398" s="12"/>
      <c r="M398" s="12"/>
      <c r="N398" s="12"/>
    </row>
    <row r="399" customFormat="false" ht="15" hidden="false" customHeight="false" outlineLevel="0" collapsed="false">
      <c r="A399" s="16"/>
      <c r="B399" s="12"/>
      <c r="C399" s="18" t="str">
        <f aca="false">IF(B399="","",IFERROR(INDEX(Inventario!$B$7:$B$46,MATCH(B399,Inventario!$A$7:$A$46,0)),"Clave no existe"))</f>
        <v/>
      </c>
      <c r="D399" s="18" t="str">
        <f aca="false">IF(B399="","",IFERROR(INDEX(Inventario!$C$7:$C$46,MATCH(B399,Inventario!$A$7:$A$46,0)),""))</f>
        <v/>
      </c>
      <c r="E399" s="19"/>
      <c r="F399" s="19"/>
      <c r="G399" s="20" t="str">
        <f aca="false">IF(OR(E399="",F399=""),IF(B399="","",IF(A399="","",8)),F399-E399)</f>
        <v/>
      </c>
      <c r="H399" s="14"/>
      <c r="I399" s="12"/>
      <c r="J399" s="14"/>
      <c r="K399" s="20" t="str">
        <f aca="false">IF(OR(J399="",N(G399)=0),"",J399/G399)</f>
        <v/>
      </c>
      <c r="L399" s="12"/>
      <c r="M399" s="12"/>
      <c r="N399" s="12"/>
    </row>
    <row r="400" customFormat="false" ht="15" hidden="false" customHeight="false" outlineLevel="0" collapsed="false">
      <c r="A400" s="16"/>
      <c r="B400" s="12"/>
      <c r="C400" s="18" t="str">
        <f aca="false">IF(B400="","",IFERROR(INDEX(Inventario!$B$7:$B$46,MATCH(B400,Inventario!$A$7:$A$46,0)),"Clave no existe"))</f>
        <v/>
      </c>
      <c r="D400" s="18" t="str">
        <f aca="false">IF(B400="","",IFERROR(INDEX(Inventario!$C$7:$C$46,MATCH(B400,Inventario!$A$7:$A$46,0)),""))</f>
        <v/>
      </c>
      <c r="E400" s="19"/>
      <c r="F400" s="19"/>
      <c r="G400" s="20" t="str">
        <f aca="false">IF(OR(E400="",F400=""),IF(B400="","",IF(A400="","",8)),F400-E400)</f>
        <v/>
      </c>
      <c r="H400" s="14"/>
      <c r="I400" s="12"/>
      <c r="J400" s="14"/>
      <c r="K400" s="20" t="str">
        <f aca="false">IF(OR(J400="",N(G400)=0),"",J400/G400)</f>
        <v/>
      </c>
      <c r="L400" s="12"/>
      <c r="M400" s="12"/>
      <c r="N400" s="12"/>
    </row>
    <row r="401" customFormat="false" ht="15" hidden="false" customHeight="false" outlineLevel="0" collapsed="false">
      <c r="A401" s="16"/>
      <c r="B401" s="12"/>
      <c r="C401" s="18" t="str">
        <f aca="false">IF(B401="","",IFERROR(INDEX(Inventario!$B$7:$B$46,MATCH(B401,Inventario!$A$7:$A$46,0)),"Clave no existe"))</f>
        <v/>
      </c>
      <c r="D401" s="18" t="str">
        <f aca="false">IF(B401="","",IFERROR(INDEX(Inventario!$C$7:$C$46,MATCH(B401,Inventario!$A$7:$A$46,0)),""))</f>
        <v/>
      </c>
      <c r="E401" s="19"/>
      <c r="F401" s="19"/>
      <c r="G401" s="20" t="str">
        <f aca="false">IF(OR(E401="",F401=""),IF(B401="","",IF(A401="","",8)),F401-E401)</f>
        <v/>
      </c>
      <c r="H401" s="14"/>
      <c r="I401" s="12"/>
      <c r="J401" s="14"/>
      <c r="K401" s="20" t="str">
        <f aca="false">IF(OR(J401="",N(G401)=0),"",J401/G401)</f>
        <v/>
      </c>
      <c r="L401" s="12"/>
      <c r="M401" s="12"/>
      <c r="N401" s="12"/>
    </row>
    <row r="402" customFormat="false" ht="15" hidden="false" customHeight="false" outlineLevel="0" collapsed="false">
      <c r="A402" s="16"/>
      <c r="B402" s="12"/>
      <c r="C402" s="18" t="str">
        <f aca="false">IF(B402="","",IFERROR(INDEX(Inventario!$B$7:$B$46,MATCH(B402,Inventario!$A$7:$A$46,0)),"Clave no existe"))</f>
        <v/>
      </c>
      <c r="D402" s="18" t="str">
        <f aca="false">IF(B402="","",IFERROR(INDEX(Inventario!$C$7:$C$46,MATCH(B402,Inventario!$A$7:$A$46,0)),""))</f>
        <v/>
      </c>
      <c r="E402" s="19"/>
      <c r="F402" s="19"/>
      <c r="G402" s="20" t="str">
        <f aca="false">IF(OR(E402="",F402=""),IF(B402="","",IF(A402="","",8)),F402-E402)</f>
        <v/>
      </c>
      <c r="H402" s="14"/>
      <c r="I402" s="12"/>
      <c r="J402" s="14"/>
      <c r="K402" s="20" t="str">
        <f aca="false">IF(OR(J402="",N(G402)=0),"",J402/G402)</f>
        <v/>
      </c>
      <c r="L402" s="12"/>
      <c r="M402" s="12"/>
      <c r="N402" s="12"/>
    </row>
    <row r="403" customFormat="false" ht="15" hidden="false" customHeight="false" outlineLevel="0" collapsed="false">
      <c r="A403" s="16"/>
      <c r="B403" s="12"/>
      <c r="C403" s="18" t="str">
        <f aca="false">IF(B403="","",IFERROR(INDEX(Inventario!$B$7:$B$46,MATCH(B403,Inventario!$A$7:$A$46,0)),"Clave no existe"))</f>
        <v/>
      </c>
      <c r="D403" s="18" t="str">
        <f aca="false">IF(B403="","",IFERROR(INDEX(Inventario!$C$7:$C$46,MATCH(B403,Inventario!$A$7:$A$46,0)),""))</f>
        <v/>
      </c>
      <c r="E403" s="19"/>
      <c r="F403" s="19"/>
      <c r="G403" s="20" t="str">
        <f aca="false">IF(OR(E403="",F403=""),IF(B403="","",IF(A403="","",8)),F403-E403)</f>
        <v/>
      </c>
      <c r="H403" s="14"/>
      <c r="I403" s="12"/>
      <c r="J403" s="14"/>
      <c r="K403" s="20" t="str">
        <f aca="false">IF(OR(J403="",N(G403)=0),"",J403/G403)</f>
        <v/>
      </c>
      <c r="L403" s="12"/>
      <c r="M403" s="12"/>
      <c r="N403" s="12"/>
    </row>
    <row r="404" customFormat="false" ht="15" hidden="false" customHeight="false" outlineLevel="0" collapsed="false">
      <c r="A404" s="16"/>
      <c r="B404" s="12"/>
      <c r="C404" s="18" t="str">
        <f aca="false">IF(B404="","",IFERROR(INDEX(Inventario!$B$7:$B$46,MATCH(B404,Inventario!$A$7:$A$46,0)),"Clave no existe"))</f>
        <v/>
      </c>
      <c r="D404" s="18" t="str">
        <f aca="false">IF(B404="","",IFERROR(INDEX(Inventario!$C$7:$C$46,MATCH(B404,Inventario!$A$7:$A$46,0)),""))</f>
        <v/>
      </c>
      <c r="E404" s="19"/>
      <c r="F404" s="19"/>
      <c r="G404" s="20" t="str">
        <f aca="false">IF(OR(E404="",F404=""),IF(B404="","",IF(A404="","",8)),F404-E404)</f>
        <v/>
      </c>
      <c r="H404" s="14"/>
      <c r="I404" s="12"/>
      <c r="J404" s="14"/>
      <c r="K404" s="20" t="str">
        <f aca="false">IF(OR(J404="",N(G404)=0),"",J404/G404)</f>
        <v/>
      </c>
      <c r="L404" s="12"/>
      <c r="M404" s="12"/>
      <c r="N404" s="12"/>
    </row>
    <row r="405" customFormat="false" ht="15" hidden="false" customHeight="false" outlineLevel="0" collapsed="false">
      <c r="A405" s="16"/>
      <c r="B405" s="12"/>
      <c r="C405" s="18" t="str">
        <f aca="false">IF(B405="","",IFERROR(INDEX(Inventario!$B$7:$B$46,MATCH(B405,Inventario!$A$7:$A$46,0)),"Clave no existe"))</f>
        <v/>
      </c>
      <c r="D405" s="18" t="str">
        <f aca="false">IF(B405="","",IFERROR(INDEX(Inventario!$C$7:$C$46,MATCH(B405,Inventario!$A$7:$A$46,0)),""))</f>
        <v/>
      </c>
      <c r="E405" s="19"/>
      <c r="F405" s="19"/>
      <c r="G405" s="20" t="str">
        <f aca="false">IF(OR(E405="",F405=""),IF(B405="","",IF(A405="","",8)),F405-E405)</f>
        <v/>
      </c>
      <c r="H405" s="14"/>
      <c r="I405" s="12"/>
      <c r="J405" s="14"/>
      <c r="K405" s="20" t="str">
        <f aca="false">IF(OR(J405="",N(G405)=0),"",J405/G405)</f>
        <v/>
      </c>
      <c r="L405" s="12"/>
      <c r="M405" s="12"/>
      <c r="N405" s="12"/>
    </row>
    <row r="406" customFormat="false" ht="15" hidden="false" customHeight="false" outlineLevel="0" collapsed="false">
      <c r="A406" s="16"/>
      <c r="B406" s="12"/>
      <c r="C406" s="18" t="str">
        <f aca="false">IF(B406="","",IFERROR(INDEX(Inventario!$B$7:$B$46,MATCH(B406,Inventario!$A$7:$A$46,0)),"Clave no existe"))</f>
        <v/>
      </c>
      <c r="D406" s="18" t="str">
        <f aca="false">IF(B406="","",IFERROR(INDEX(Inventario!$C$7:$C$46,MATCH(B406,Inventario!$A$7:$A$46,0)),""))</f>
        <v/>
      </c>
      <c r="E406" s="19"/>
      <c r="F406" s="19"/>
      <c r="G406" s="20" t="str">
        <f aca="false">IF(OR(E406="",F406=""),IF(B406="","",IF(A406="","",8)),F406-E406)</f>
        <v/>
      </c>
      <c r="H406" s="14"/>
      <c r="I406" s="12"/>
      <c r="J406" s="14"/>
      <c r="K406" s="20" t="str">
        <f aca="false">IF(OR(J406="",N(G406)=0),"",J406/G406)</f>
        <v/>
      </c>
      <c r="L406" s="12"/>
      <c r="M406" s="12"/>
      <c r="N406" s="12"/>
    </row>
    <row r="407" customFormat="false" ht="15" hidden="false" customHeight="false" outlineLevel="0" collapsed="false">
      <c r="A407" s="16"/>
      <c r="B407" s="12"/>
      <c r="C407" s="18" t="str">
        <f aca="false">IF(B407="","",IFERROR(INDEX(Inventario!$B$7:$B$46,MATCH(B407,Inventario!$A$7:$A$46,0)),"Clave no existe"))</f>
        <v/>
      </c>
      <c r="D407" s="18" t="str">
        <f aca="false">IF(B407="","",IFERROR(INDEX(Inventario!$C$7:$C$46,MATCH(B407,Inventario!$A$7:$A$46,0)),""))</f>
        <v/>
      </c>
      <c r="E407" s="19"/>
      <c r="F407" s="19"/>
      <c r="G407" s="20" t="str">
        <f aca="false">IF(OR(E407="",F407=""),IF(B407="","",IF(A407="","",8)),F407-E407)</f>
        <v/>
      </c>
      <c r="H407" s="14"/>
      <c r="I407" s="12"/>
      <c r="J407" s="14"/>
      <c r="K407" s="20" t="str">
        <f aca="false">IF(OR(J407="",N(G407)=0),"",J407/G407)</f>
        <v/>
      </c>
      <c r="L407" s="12"/>
      <c r="M407" s="12"/>
      <c r="N407" s="12"/>
    </row>
    <row r="408" customFormat="false" ht="15" hidden="false" customHeight="false" outlineLevel="0" collapsed="false">
      <c r="A408" s="16"/>
      <c r="B408" s="12"/>
      <c r="C408" s="18" t="str">
        <f aca="false">IF(B408="","",IFERROR(INDEX(Inventario!$B$7:$B$46,MATCH(B408,Inventario!$A$7:$A$46,0)),"Clave no existe"))</f>
        <v/>
      </c>
      <c r="D408" s="18" t="str">
        <f aca="false">IF(B408="","",IFERROR(INDEX(Inventario!$C$7:$C$46,MATCH(B408,Inventario!$A$7:$A$46,0)),""))</f>
        <v/>
      </c>
      <c r="E408" s="19"/>
      <c r="F408" s="19"/>
      <c r="G408" s="20" t="str">
        <f aca="false">IF(OR(E408="",F408=""),IF(B408="","",IF(A408="","",8)),F408-E408)</f>
        <v/>
      </c>
      <c r="H408" s="14"/>
      <c r="I408" s="12"/>
      <c r="J408" s="14"/>
      <c r="K408" s="20" t="str">
        <f aca="false">IF(OR(J408="",N(G408)=0),"",J408/G408)</f>
        <v/>
      </c>
      <c r="L408" s="12"/>
      <c r="M408" s="12"/>
      <c r="N408" s="12"/>
    </row>
    <row r="409" customFormat="false" ht="15" hidden="false" customHeight="false" outlineLevel="0" collapsed="false">
      <c r="A409" s="16"/>
      <c r="B409" s="12"/>
      <c r="C409" s="18" t="str">
        <f aca="false">IF(B409="","",IFERROR(INDEX(Inventario!$B$7:$B$46,MATCH(B409,Inventario!$A$7:$A$46,0)),"Clave no existe"))</f>
        <v/>
      </c>
      <c r="D409" s="18" t="str">
        <f aca="false">IF(B409="","",IFERROR(INDEX(Inventario!$C$7:$C$46,MATCH(B409,Inventario!$A$7:$A$46,0)),""))</f>
        <v/>
      </c>
      <c r="E409" s="19"/>
      <c r="F409" s="19"/>
      <c r="G409" s="20" t="str">
        <f aca="false">IF(OR(E409="",F409=""),IF(B409="","",IF(A409="","",8)),F409-E409)</f>
        <v/>
      </c>
      <c r="H409" s="14"/>
      <c r="I409" s="12"/>
      <c r="J409" s="14"/>
      <c r="K409" s="20" t="str">
        <f aca="false">IF(OR(J409="",N(G409)=0),"",J409/G409)</f>
        <v/>
      </c>
      <c r="L409" s="12"/>
      <c r="M409" s="12"/>
      <c r="N409" s="12"/>
    </row>
    <row r="410" customFormat="false" ht="15" hidden="false" customHeight="false" outlineLevel="0" collapsed="false">
      <c r="A410" s="16"/>
      <c r="B410" s="12"/>
      <c r="C410" s="18" t="str">
        <f aca="false">IF(B410="","",IFERROR(INDEX(Inventario!$B$7:$B$46,MATCH(B410,Inventario!$A$7:$A$46,0)),"Clave no existe"))</f>
        <v/>
      </c>
      <c r="D410" s="18" t="str">
        <f aca="false">IF(B410="","",IFERROR(INDEX(Inventario!$C$7:$C$46,MATCH(B410,Inventario!$A$7:$A$46,0)),""))</f>
        <v/>
      </c>
      <c r="E410" s="19"/>
      <c r="F410" s="19"/>
      <c r="G410" s="20" t="str">
        <f aca="false">IF(OR(E410="",F410=""),IF(B410="","",IF(A410="","",8)),F410-E410)</f>
        <v/>
      </c>
      <c r="H410" s="14"/>
      <c r="I410" s="12"/>
      <c r="J410" s="14"/>
      <c r="K410" s="20" t="str">
        <f aca="false">IF(OR(J410="",N(G410)=0),"",J410/G410)</f>
        <v/>
      </c>
      <c r="L410" s="12"/>
      <c r="M410" s="12"/>
      <c r="N410" s="12"/>
    </row>
    <row r="411" customFormat="false" ht="15" hidden="false" customHeight="false" outlineLevel="0" collapsed="false">
      <c r="A411" s="16"/>
      <c r="B411" s="12"/>
      <c r="C411" s="18" t="str">
        <f aca="false">IF(B411="","",IFERROR(INDEX(Inventario!$B$7:$B$46,MATCH(B411,Inventario!$A$7:$A$46,0)),"Clave no existe"))</f>
        <v/>
      </c>
      <c r="D411" s="18" t="str">
        <f aca="false">IF(B411="","",IFERROR(INDEX(Inventario!$C$7:$C$46,MATCH(B411,Inventario!$A$7:$A$46,0)),""))</f>
        <v/>
      </c>
      <c r="E411" s="19"/>
      <c r="F411" s="19"/>
      <c r="G411" s="20" t="str">
        <f aca="false">IF(OR(E411="",F411=""),IF(B411="","",IF(A411="","",8)),F411-E411)</f>
        <v/>
      </c>
      <c r="H411" s="14"/>
      <c r="I411" s="12"/>
      <c r="J411" s="14"/>
      <c r="K411" s="20" t="str">
        <f aca="false">IF(OR(J411="",N(G411)=0),"",J411/G411)</f>
        <v/>
      </c>
      <c r="L411" s="12"/>
      <c r="M411" s="12"/>
      <c r="N411" s="12"/>
    </row>
    <row r="412" customFormat="false" ht="15" hidden="false" customHeight="false" outlineLevel="0" collapsed="false">
      <c r="A412" s="16"/>
      <c r="B412" s="12"/>
      <c r="C412" s="18" t="str">
        <f aca="false">IF(B412="","",IFERROR(INDEX(Inventario!$B$7:$B$46,MATCH(B412,Inventario!$A$7:$A$46,0)),"Clave no existe"))</f>
        <v/>
      </c>
      <c r="D412" s="18" t="str">
        <f aca="false">IF(B412="","",IFERROR(INDEX(Inventario!$C$7:$C$46,MATCH(B412,Inventario!$A$7:$A$46,0)),""))</f>
        <v/>
      </c>
      <c r="E412" s="19"/>
      <c r="F412" s="19"/>
      <c r="G412" s="20" t="str">
        <f aca="false">IF(OR(E412="",F412=""),IF(B412="","",IF(A412="","",8)),F412-E412)</f>
        <v/>
      </c>
      <c r="H412" s="14"/>
      <c r="I412" s="12"/>
      <c r="J412" s="14"/>
      <c r="K412" s="20" t="str">
        <f aca="false">IF(OR(J412="",N(G412)=0),"",J412/G412)</f>
        <v/>
      </c>
      <c r="L412" s="12"/>
      <c r="M412" s="12"/>
      <c r="N412" s="12"/>
    </row>
    <row r="413" customFormat="false" ht="15" hidden="false" customHeight="false" outlineLevel="0" collapsed="false">
      <c r="A413" s="16"/>
      <c r="B413" s="12"/>
      <c r="C413" s="18" t="str">
        <f aca="false">IF(B413="","",IFERROR(INDEX(Inventario!$B$7:$B$46,MATCH(B413,Inventario!$A$7:$A$46,0)),"Clave no existe"))</f>
        <v/>
      </c>
      <c r="D413" s="18" t="str">
        <f aca="false">IF(B413="","",IFERROR(INDEX(Inventario!$C$7:$C$46,MATCH(B413,Inventario!$A$7:$A$46,0)),""))</f>
        <v/>
      </c>
      <c r="E413" s="19"/>
      <c r="F413" s="19"/>
      <c r="G413" s="20" t="str">
        <f aca="false">IF(OR(E413="",F413=""),IF(B413="","",IF(A413="","",8)),F413-E413)</f>
        <v/>
      </c>
      <c r="H413" s="14"/>
      <c r="I413" s="12"/>
      <c r="J413" s="14"/>
      <c r="K413" s="20" t="str">
        <f aca="false">IF(OR(J413="",N(G413)=0),"",J413/G413)</f>
        <v/>
      </c>
      <c r="L413" s="12"/>
      <c r="M413" s="12"/>
      <c r="N413" s="12"/>
    </row>
    <row r="414" customFormat="false" ht="15" hidden="false" customHeight="false" outlineLevel="0" collapsed="false">
      <c r="A414" s="16"/>
      <c r="B414" s="12"/>
      <c r="C414" s="18" t="str">
        <f aca="false">IF(B414="","",IFERROR(INDEX(Inventario!$B$7:$B$46,MATCH(B414,Inventario!$A$7:$A$46,0)),"Clave no existe"))</f>
        <v/>
      </c>
      <c r="D414" s="18" t="str">
        <f aca="false">IF(B414="","",IFERROR(INDEX(Inventario!$C$7:$C$46,MATCH(B414,Inventario!$A$7:$A$46,0)),""))</f>
        <v/>
      </c>
      <c r="E414" s="19"/>
      <c r="F414" s="19"/>
      <c r="G414" s="20" t="str">
        <f aca="false">IF(OR(E414="",F414=""),IF(B414="","",IF(A414="","",8)),F414-E414)</f>
        <v/>
      </c>
      <c r="H414" s="14"/>
      <c r="I414" s="12"/>
      <c r="J414" s="14"/>
      <c r="K414" s="20" t="str">
        <f aca="false">IF(OR(J414="",N(G414)=0),"",J414/G414)</f>
        <v/>
      </c>
      <c r="L414" s="12"/>
      <c r="M414" s="12"/>
      <c r="N414" s="12"/>
    </row>
    <row r="415" customFormat="false" ht="15" hidden="false" customHeight="false" outlineLevel="0" collapsed="false">
      <c r="A415" s="16"/>
      <c r="B415" s="12"/>
      <c r="C415" s="18" t="str">
        <f aca="false">IF(B415="","",IFERROR(INDEX(Inventario!$B$7:$B$46,MATCH(B415,Inventario!$A$7:$A$46,0)),"Clave no existe"))</f>
        <v/>
      </c>
      <c r="D415" s="18" t="str">
        <f aca="false">IF(B415="","",IFERROR(INDEX(Inventario!$C$7:$C$46,MATCH(B415,Inventario!$A$7:$A$46,0)),""))</f>
        <v/>
      </c>
      <c r="E415" s="19"/>
      <c r="F415" s="19"/>
      <c r="G415" s="20" t="str">
        <f aca="false">IF(OR(E415="",F415=""),IF(B415="","",IF(A415="","",8)),F415-E415)</f>
        <v/>
      </c>
      <c r="H415" s="14"/>
      <c r="I415" s="12"/>
      <c r="J415" s="14"/>
      <c r="K415" s="20" t="str">
        <f aca="false">IF(OR(J415="",N(G415)=0),"",J415/G415)</f>
        <v/>
      </c>
      <c r="L415" s="12"/>
      <c r="M415" s="12"/>
      <c r="N415" s="12"/>
    </row>
    <row r="416" customFormat="false" ht="15" hidden="false" customHeight="false" outlineLevel="0" collapsed="false">
      <c r="A416" s="16"/>
      <c r="B416" s="12"/>
      <c r="C416" s="18" t="str">
        <f aca="false">IF(B416="","",IFERROR(INDEX(Inventario!$B$7:$B$46,MATCH(B416,Inventario!$A$7:$A$46,0)),"Clave no existe"))</f>
        <v/>
      </c>
      <c r="D416" s="18" t="str">
        <f aca="false">IF(B416="","",IFERROR(INDEX(Inventario!$C$7:$C$46,MATCH(B416,Inventario!$A$7:$A$46,0)),""))</f>
        <v/>
      </c>
      <c r="E416" s="19"/>
      <c r="F416" s="19"/>
      <c r="G416" s="20" t="str">
        <f aca="false">IF(OR(E416="",F416=""),IF(B416="","",IF(A416="","",8)),F416-E416)</f>
        <v/>
      </c>
      <c r="H416" s="14"/>
      <c r="I416" s="12"/>
      <c r="J416" s="14"/>
      <c r="K416" s="20" t="str">
        <f aca="false">IF(OR(J416="",N(G416)=0),"",J416/G416)</f>
        <v/>
      </c>
      <c r="L416" s="12"/>
      <c r="M416" s="12"/>
      <c r="N416" s="12"/>
    </row>
    <row r="417" customFormat="false" ht="15" hidden="false" customHeight="false" outlineLevel="0" collapsed="false">
      <c r="A417" s="16"/>
      <c r="B417" s="12"/>
      <c r="C417" s="18" t="str">
        <f aca="false">IF(B417="","",IFERROR(INDEX(Inventario!$B$7:$B$46,MATCH(B417,Inventario!$A$7:$A$46,0)),"Clave no existe"))</f>
        <v/>
      </c>
      <c r="D417" s="18" t="str">
        <f aca="false">IF(B417="","",IFERROR(INDEX(Inventario!$C$7:$C$46,MATCH(B417,Inventario!$A$7:$A$46,0)),""))</f>
        <v/>
      </c>
      <c r="E417" s="19"/>
      <c r="F417" s="19"/>
      <c r="G417" s="20" t="str">
        <f aca="false">IF(OR(E417="",F417=""),IF(B417="","",IF(A417="","",8)),F417-E417)</f>
        <v/>
      </c>
      <c r="H417" s="14"/>
      <c r="I417" s="12"/>
      <c r="J417" s="14"/>
      <c r="K417" s="20" t="str">
        <f aca="false">IF(OR(J417="",N(G417)=0),"",J417/G417)</f>
        <v/>
      </c>
      <c r="L417" s="12"/>
      <c r="M417" s="12"/>
      <c r="N417" s="12"/>
    </row>
    <row r="418" customFormat="false" ht="15" hidden="false" customHeight="false" outlineLevel="0" collapsed="false">
      <c r="A418" s="16"/>
      <c r="B418" s="12"/>
      <c r="C418" s="18" t="str">
        <f aca="false">IF(B418="","",IFERROR(INDEX(Inventario!$B$7:$B$46,MATCH(B418,Inventario!$A$7:$A$46,0)),"Clave no existe"))</f>
        <v/>
      </c>
      <c r="D418" s="18" t="str">
        <f aca="false">IF(B418="","",IFERROR(INDEX(Inventario!$C$7:$C$46,MATCH(B418,Inventario!$A$7:$A$46,0)),""))</f>
        <v/>
      </c>
      <c r="E418" s="19"/>
      <c r="F418" s="19"/>
      <c r="G418" s="20" t="str">
        <f aca="false">IF(OR(E418="",F418=""),IF(B418="","",IF(A418="","",8)),F418-E418)</f>
        <v/>
      </c>
      <c r="H418" s="14"/>
      <c r="I418" s="12"/>
      <c r="J418" s="14"/>
      <c r="K418" s="20" t="str">
        <f aca="false">IF(OR(J418="",N(G418)=0),"",J418/G418)</f>
        <v/>
      </c>
      <c r="L418" s="12"/>
      <c r="M418" s="12"/>
      <c r="N418" s="12"/>
    </row>
    <row r="419" customFormat="false" ht="15" hidden="false" customHeight="false" outlineLevel="0" collapsed="false">
      <c r="A419" s="16"/>
      <c r="B419" s="12"/>
      <c r="C419" s="18" t="str">
        <f aca="false">IF(B419="","",IFERROR(INDEX(Inventario!$B$7:$B$46,MATCH(B419,Inventario!$A$7:$A$46,0)),"Clave no existe"))</f>
        <v/>
      </c>
      <c r="D419" s="18" t="str">
        <f aca="false">IF(B419="","",IFERROR(INDEX(Inventario!$C$7:$C$46,MATCH(B419,Inventario!$A$7:$A$46,0)),""))</f>
        <v/>
      </c>
      <c r="E419" s="19"/>
      <c r="F419" s="19"/>
      <c r="G419" s="20" t="str">
        <f aca="false">IF(OR(E419="",F419=""),IF(B419="","",IF(A419="","",8)),F419-E419)</f>
        <v/>
      </c>
      <c r="H419" s="14"/>
      <c r="I419" s="12"/>
      <c r="J419" s="14"/>
      <c r="K419" s="20" t="str">
        <f aca="false">IF(OR(J419="",N(G419)=0),"",J419/G419)</f>
        <v/>
      </c>
      <c r="L419" s="12"/>
      <c r="M419" s="12"/>
      <c r="N419" s="12"/>
    </row>
    <row r="420" customFormat="false" ht="15" hidden="false" customHeight="false" outlineLevel="0" collapsed="false">
      <c r="A420" s="16"/>
      <c r="B420" s="12"/>
      <c r="C420" s="18" t="str">
        <f aca="false">IF(B420="","",IFERROR(INDEX(Inventario!$B$7:$B$46,MATCH(B420,Inventario!$A$7:$A$46,0)),"Clave no existe"))</f>
        <v/>
      </c>
      <c r="D420" s="18" t="str">
        <f aca="false">IF(B420="","",IFERROR(INDEX(Inventario!$C$7:$C$46,MATCH(B420,Inventario!$A$7:$A$46,0)),""))</f>
        <v/>
      </c>
      <c r="E420" s="19"/>
      <c r="F420" s="19"/>
      <c r="G420" s="20" t="str">
        <f aca="false">IF(OR(E420="",F420=""),IF(B420="","",IF(A420="","",8)),F420-E420)</f>
        <v/>
      </c>
      <c r="H420" s="14"/>
      <c r="I420" s="12"/>
      <c r="J420" s="14"/>
      <c r="K420" s="20" t="str">
        <f aca="false">IF(OR(J420="",N(G420)=0),"",J420/G420)</f>
        <v/>
      </c>
      <c r="L420" s="12"/>
      <c r="M420" s="12"/>
      <c r="N420" s="12"/>
    </row>
    <row r="421" customFormat="false" ht="15" hidden="false" customHeight="false" outlineLevel="0" collapsed="false">
      <c r="A421" s="16"/>
      <c r="B421" s="12"/>
      <c r="C421" s="18" t="str">
        <f aca="false">IF(B421="","",IFERROR(INDEX(Inventario!$B$7:$B$46,MATCH(B421,Inventario!$A$7:$A$46,0)),"Clave no existe"))</f>
        <v/>
      </c>
      <c r="D421" s="18" t="str">
        <f aca="false">IF(B421="","",IFERROR(INDEX(Inventario!$C$7:$C$46,MATCH(B421,Inventario!$A$7:$A$46,0)),""))</f>
        <v/>
      </c>
      <c r="E421" s="19"/>
      <c r="F421" s="19"/>
      <c r="G421" s="20" t="str">
        <f aca="false">IF(OR(E421="",F421=""),IF(B421="","",IF(A421="","",8)),F421-E421)</f>
        <v/>
      </c>
      <c r="H421" s="14"/>
      <c r="I421" s="12"/>
      <c r="J421" s="14"/>
      <c r="K421" s="20" t="str">
        <f aca="false">IF(OR(J421="",N(G421)=0),"",J421/G421)</f>
        <v/>
      </c>
      <c r="L421" s="12"/>
      <c r="M421" s="12"/>
      <c r="N421" s="12"/>
    </row>
    <row r="422" customFormat="false" ht="15" hidden="false" customHeight="false" outlineLevel="0" collapsed="false">
      <c r="A422" s="16"/>
      <c r="B422" s="12"/>
      <c r="C422" s="18" t="str">
        <f aca="false">IF(B422="","",IFERROR(INDEX(Inventario!$B$7:$B$46,MATCH(B422,Inventario!$A$7:$A$46,0)),"Clave no existe"))</f>
        <v/>
      </c>
      <c r="D422" s="18" t="str">
        <f aca="false">IF(B422="","",IFERROR(INDEX(Inventario!$C$7:$C$46,MATCH(B422,Inventario!$A$7:$A$46,0)),""))</f>
        <v/>
      </c>
      <c r="E422" s="19"/>
      <c r="F422" s="19"/>
      <c r="G422" s="20" t="str">
        <f aca="false">IF(OR(E422="",F422=""),IF(B422="","",IF(A422="","",8)),F422-E422)</f>
        <v/>
      </c>
      <c r="H422" s="14"/>
      <c r="I422" s="12"/>
      <c r="J422" s="14"/>
      <c r="K422" s="20" t="str">
        <f aca="false">IF(OR(J422="",N(G422)=0),"",J422/G422)</f>
        <v/>
      </c>
      <c r="L422" s="12"/>
      <c r="M422" s="12"/>
      <c r="N422" s="12"/>
    </row>
    <row r="423" customFormat="false" ht="15" hidden="false" customHeight="false" outlineLevel="0" collapsed="false">
      <c r="A423" s="16"/>
      <c r="B423" s="12"/>
      <c r="C423" s="18" t="str">
        <f aca="false">IF(B423="","",IFERROR(INDEX(Inventario!$B$7:$B$46,MATCH(B423,Inventario!$A$7:$A$46,0)),"Clave no existe"))</f>
        <v/>
      </c>
      <c r="D423" s="18" t="str">
        <f aca="false">IF(B423="","",IFERROR(INDEX(Inventario!$C$7:$C$46,MATCH(B423,Inventario!$A$7:$A$46,0)),""))</f>
        <v/>
      </c>
      <c r="E423" s="19"/>
      <c r="F423" s="19"/>
      <c r="G423" s="20" t="str">
        <f aca="false">IF(OR(E423="",F423=""),IF(B423="","",IF(A423="","",8)),F423-E423)</f>
        <v/>
      </c>
      <c r="H423" s="14"/>
      <c r="I423" s="12"/>
      <c r="J423" s="14"/>
      <c r="K423" s="20" t="str">
        <f aca="false">IF(OR(J423="",N(G423)=0),"",J423/G423)</f>
        <v/>
      </c>
      <c r="L423" s="12"/>
      <c r="M423" s="12"/>
      <c r="N423" s="12"/>
    </row>
    <row r="424" customFormat="false" ht="15" hidden="false" customHeight="false" outlineLevel="0" collapsed="false">
      <c r="A424" s="16"/>
      <c r="B424" s="12"/>
      <c r="C424" s="18" t="str">
        <f aca="false">IF(B424="","",IFERROR(INDEX(Inventario!$B$7:$B$46,MATCH(B424,Inventario!$A$7:$A$46,0)),"Clave no existe"))</f>
        <v/>
      </c>
      <c r="D424" s="18" t="str">
        <f aca="false">IF(B424="","",IFERROR(INDEX(Inventario!$C$7:$C$46,MATCH(B424,Inventario!$A$7:$A$46,0)),""))</f>
        <v/>
      </c>
      <c r="E424" s="19"/>
      <c r="F424" s="19"/>
      <c r="G424" s="20" t="str">
        <f aca="false">IF(OR(E424="",F424=""),IF(B424="","",IF(A424="","",8)),F424-E424)</f>
        <v/>
      </c>
      <c r="H424" s="14"/>
      <c r="I424" s="12"/>
      <c r="J424" s="14"/>
      <c r="K424" s="20" t="str">
        <f aca="false">IF(OR(J424="",N(G424)=0),"",J424/G424)</f>
        <v/>
      </c>
      <c r="L424" s="12"/>
      <c r="M424" s="12"/>
      <c r="N424" s="12"/>
    </row>
    <row r="425" customFormat="false" ht="15" hidden="false" customHeight="false" outlineLevel="0" collapsed="false">
      <c r="A425" s="16"/>
      <c r="B425" s="12"/>
      <c r="C425" s="18" t="str">
        <f aca="false">IF(B425="","",IFERROR(INDEX(Inventario!$B$7:$B$46,MATCH(B425,Inventario!$A$7:$A$46,0)),"Clave no existe"))</f>
        <v/>
      </c>
      <c r="D425" s="18" t="str">
        <f aca="false">IF(B425="","",IFERROR(INDEX(Inventario!$C$7:$C$46,MATCH(B425,Inventario!$A$7:$A$46,0)),""))</f>
        <v/>
      </c>
      <c r="E425" s="19"/>
      <c r="F425" s="19"/>
      <c r="G425" s="20" t="str">
        <f aca="false">IF(OR(E425="",F425=""),IF(B425="","",IF(A425="","",8)),F425-E425)</f>
        <v/>
      </c>
      <c r="H425" s="14"/>
      <c r="I425" s="12"/>
      <c r="J425" s="14"/>
      <c r="K425" s="20" t="str">
        <f aca="false">IF(OR(J425="",N(G425)=0),"",J425/G425)</f>
        <v/>
      </c>
      <c r="L425" s="12"/>
      <c r="M425" s="12"/>
      <c r="N425" s="12"/>
    </row>
    <row r="426" customFormat="false" ht="15" hidden="false" customHeight="false" outlineLevel="0" collapsed="false">
      <c r="A426" s="16"/>
      <c r="B426" s="12"/>
      <c r="C426" s="18" t="str">
        <f aca="false">IF(B426="","",IFERROR(INDEX(Inventario!$B$7:$B$46,MATCH(B426,Inventario!$A$7:$A$46,0)),"Clave no existe"))</f>
        <v/>
      </c>
      <c r="D426" s="18" t="str">
        <f aca="false">IF(B426="","",IFERROR(INDEX(Inventario!$C$7:$C$46,MATCH(B426,Inventario!$A$7:$A$46,0)),""))</f>
        <v/>
      </c>
      <c r="E426" s="19"/>
      <c r="F426" s="19"/>
      <c r="G426" s="20" t="str">
        <f aca="false">IF(OR(E426="",F426=""),IF(B426="","",IF(A426="","",8)),F426-E426)</f>
        <v/>
      </c>
      <c r="H426" s="14"/>
      <c r="I426" s="12"/>
      <c r="J426" s="14"/>
      <c r="K426" s="20" t="str">
        <f aca="false">IF(OR(J426="",N(G426)=0),"",J426/G426)</f>
        <v/>
      </c>
      <c r="L426" s="12"/>
      <c r="M426" s="12"/>
      <c r="N426" s="12"/>
    </row>
    <row r="427" customFormat="false" ht="15" hidden="false" customHeight="false" outlineLevel="0" collapsed="false">
      <c r="A427" s="16"/>
      <c r="B427" s="12"/>
      <c r="C427" s="18" t="str">
        <f aca="false">IF(B427="","",IFERROR(INDEX(Inventario!$B$7:$B$46,MATCH(B427,Inventario!$A$7:$A$46,0)),"Clave no existe"))</f>
        <v/>
      </c>
      <c r="D427" s="18" t="str">
        <f aca="false">IF(B427="","",IFERROR(INDEX(Inventario!$C$7:$C$46,MATCH(B427,Inventario!$A$7:$A$46,0)),""))</f>
        <v/>
      </c>
      <c r="E427" s="19"/>
      <c r="F427" s="19"/>
      <c r="G427" s="20" t="str">
        <f aca="false">IF(OR(E427="",F427=""),IF(B427="","",IF(A427="","",8)),F427-E427)</f>
        <v/>
      </c>
      <c r="H427" s="14"/>
      <c r="I427" s="12"/>
      <c r="J427" s="14"/>
      <c r="K427" s="20" t="str">
        <f aca="false">IF(OR(J427="",N(G427)=0),"",J427/G427)</f>
        <v/>
      </c>
      <c r="L427" s="12"/>
      <c r="M427" s="12"/>
      <c r="N427" s="12"/>
    </row>
    <row r="428" customFormat="false" ht="15" hidden="false" customHeight="false" outlineLevel="0" collapsed="false">
      <c r="A428" s="16"/>
      <c r="B428" s="12"/>
      <c r="C428" s="18" t="str">
        <f aca="false">IF(B428="","",IFERROR(INDEX(Inventario!$B$7:$B$46,MATCH(B428,Inventario!$A$7:$A$46,0)),"Clave no existe"))</f>
        <v/>
      </c>
      <c r="D428" s="18" t="str">
        <f aca="false">IF(B428="","",IFERROR(INDEX(Inventario!$C$7:$C$46,MATCH(B428,Inventario!$A$7:$A$46,0)),""))</f>
        <v/>
      </c>
      <c r="E428" s="19"/>
      <c r="F428" s="19"/>
      <c r="G428" s="20" t="str">
        <f aca="false">IF(OR(E428="",F428=""),IF(B428="","",IF(A428="","",8)),F428-E428)</f>
        <v/>
      </c>
      <c r="H428" s="14"/>
      <c r="I428" s="12"/>
      <c r="J428" s="14"/>
      <c r="K428" s="20" t="str">
        <f aca="false">IF(OR(J428="",N(G428)=0),"",J428/G428)</f>
        <v/>
      </c>
      <c r="L428" s="12"/>
      <c r="M428" s="12"/>
      <c r="N428" s="12"/>
    </row>
    <row r="429" customFormat="false" ht="15" hidden="false" customHeight="false" outlineLevel="0" collapsed="false">
      <c r="A429" s="16"/>
      <c r="B429" s="12"/>
      <c r="C429" s="18" t="str">
        <f aca="false">IF(B429="","",IFERROR(INDEX(Inventario!$B$7:$B$46,MATCH(B429,Inventario!$A$7:$A$46,0)),"Clave no existe"))</f>
        <v/>
      </c>
      <c r="D429" s="18" t="str">
        <f aca="false">IF(B429="","",IFERROR(INDEX(Inventario!$C$7:$C$46,MATCH(B429,Inventario!$A$7:$A$46,0)),""))</f>
        <v/>
      </c>
      <c r="E429" s="19"/>
      <c r="F429" s="19"/>
      <c r="G429" s="20" t="str">
        <f aca="false">IF(OR(E429="",F429=""),IF(B429="","",IF(A429="","",8)),F429-E429)</f>
        <v/>
      </c>
      <c r="H429" s="14"/>
      <c r="I429" s="12"/>
      <c r="J429" s="14"/>
      <c r="K429" s="20" t="str">
        <f aca="false">IF(OR(J429="",N(G429)=0),"",J429/G429)</f>
        <v/>
      </c>
      <c r="L429" s="12"/>
      <c r="M429" s="12"/>
      <c r="N429" s="12"/>
    </row>
    <row r="430" customFormat="false" ht="15" hidden="false" customHeight="false" outlineLevel="0" collapsed="false">
      <c r="A430" s="16"/>
      <c r="B430" s="12"/>
      <c r="C430" s="18" t="str">
        <f aca="false">IF(B430="","",IFERROR(INDEX(Inventario!$B$7:$B$46,MATCH(B430,Inventario!$A$7:$A$46,0)),"Clave no existe"))</f>
        <v/>
      </c>
      <c r="D430" s="18" t="str">
        <f aca="false">IF(B430="","",IFERROR(INDEX(Inventario!$C$7:$C$46,MATCH(B430,Inventario!$A$7:$A$46,0)),""))</f>
        <v/>
      </c>
      <c r="E430" s="19"/>
      <c r="F430" s="19"/>
      <c r="G430" s="20" t="str">
        <f aca="false">IF(OR(E430="",F430=""),IF(B430="","",IF(A430="","",8)),F430-E430)</f>
        <v/>
      </c>
      <c r="H430" s="14"/>
      <c r="I430" s="12"/>
      <c r="J430" s="14"/>
      <c r="K430" s="20" t="str">
        <f aca="false">IF(OR(J430="",N(G430)=0),"",J430/G430)</f>
        <v/>
      </c>
      <c r="L430" s="12"/>
      <c r="M430" s="12"/>
      <c r="N430" s="12"/>
    </row>
    <row r="431" customFormat="false" ht="15" hidden="false" customHeight="false" outlineLevel="0" collapsed="false">
      <c r="A431" s="16"/>
      <c r="B431" s="12"/>
      <c r="C431" s="18" t="str">
        <f aca="false">IF(B431="","",IFERROR(INDEX(Inventario!$B$7:$B$46,MATCH(B431,Inventario!$A$7:$A$46,0)),"Clave no existe"))</f>
        <v/>
      </c>
      <c r="D431" s="18" t="str">
        <f aca="false">IF(B431="","",IFERROR(INDEX(Inventario!$C$7:$C$46,MATCH(B431,Inventario!$A$7:$A$46,0)),""))</f>
        <v/>
      </c>
      <c r="E431" s="19"/>
      <c r="F431" s="19"/>
      <c r="G431" s="20" t="str">
        <f aca="false">IF(OR(E431="",F431=""),IF(B431="","",IF(A431="","",8)),F431-E431)</f>
        <v/>
      </c>
      <c r="H431" s="14"/>
      <c r="I431" s="12"/>
      <c r="J431" s="14"/>
      <c r="K431" s="20" t="str">
        <f aca="false">IF(OR(J431="",N(G431)=0),"",J431/G431)</f>
        <v/>
      </c>
      <c r="L431" s="12"/>
      <c r="M431" s="12"/>
      <c r="N431" s="12"/>
    </row>
    <row r="432" customFormat="false" ht="15" hidden="false" customHeight="false" outlineLevel="0" collapsed="false">
      <c r="A432" s="16"/>
      <c r="B432" s="12"/>
      <c r="C432" s="18" t="str">
        <f aca="false">IF(B432="","",IFERROR(INDEX(Inventario!$B$7:$B$46,MATCH(B432,Inventario!$A$7:$A$46,0)),"Clave no existe"))</f>
        <v/>
      </c>
      <c r="D432" s="18" t="str">
        <f aca="false">IF(B432="","",IFERROR(INDEX(Inventario!$C$7:$C$46,MATCH(B432,Inventario!$A$7:$A$46,0)),""))</f>
        <v/>
      </c>
      <c r="E432" s="19"/>
      <c r="F432" s="19"/>
      <c r="G432" s="20" t="str">
        <f aca="false">IF(OR(E432="",F432=""),IF(B432="","",IF(A432="","",8)),F432-E432)</f>
        <v/>
      </c>
      <c r="H432" s="14"/>
      <c r="I432" s="12"/>
      <c r="J432" s="14"/>
      <c r="K432" s="20" t="str">
        <f aca="false">IF(OR(J432="",N(G432)=0),"",J432/G432)</f>
        <v/>
      </c>
      <c r="L432" s="12"/>
      <c r="M432" s="12"/>
      <c r="N432" s="12"/>
    </row>
    <row r="433" customFormat="false" ht="15" hidden="false" customHeight="false" outlineLevel="0" collapsed="false">
      <c r="A433" s="16"/>
      <c r="B433" s="12"/>
      <c r="C433" s="18" t="str">
        <f aca="false">IF(B433="","",IFERROR(INDEX(Inventario!$B$7:$B$46,MATCH(B433,Inventario!$A$7:$A$46,0)),"Clave no existe"))</f>
        <v/>
      </c>
      <c r="D433" s="18" t="str">
        <f aca="false">IF(B433="","",IFERROR(INDEX(Inventario!$C$7:$C$46,MATCH(B433,Inventario!$A$7:$A$46,0)),""))</f>
        <v/>
      </c>
      <c r="E433" s="19"/>
      <c r="F433" s="19"/>
      <c r="G433" s="20" t="str">
        <f aca="false">IF(OR(E433="",F433=""),IF(B433="","",IF(A433="","",8)),F433-E433)</f>
        <v/>
      </c>
      <c r="H433" s="14"/>
      <c r="I433" s="12"/>
      <c r="J433" s="14"/>
      <c r="K433" s="20" t="str">
        <f aca="false">IF(OR(J433="",N(G433)=0),"",J433/G433)</f>
        <v/>
      </c>
      <c r="L433" s="12"/>
      <c r="M433" s="12"/>
      <c r="N433" s="12"/>
    </row>
    <row r="434" customFormat="false" ht="15" hidden="false" customHeight="false" outlineLevel="0" collapsed="false">
      <c r="A434" s="16"/>
      <c r="B434" s="12"/>
      <c r="C434" s="18" t="str">
        <f aca="false">IF(B434="","",IFERROR(INDEX(Inventario!$B$7:$B$46,MATCH(B434,Inventario!$A$7:$A$46,0)),"Clave no existe"))</f>
        <v/>
      </c>
      <c r="D434" s="18" t="str">
        <f aca="false">IF(B434="","",IFERROR(INDEX(Inventario!$C$7:$C$46,MATCH(B434,Inventario!$A$7:$A$46,0)),""))</f>
        <v/>
      </c>
      <c r="E434" s="19"/>
      <c r="F434" s="19"/>
      <c r="G434" s="20" t="str">
        <f aca="false">IF(OR(E434="",F434=""),IF(B434="","",IF(A434="","",8)),F434-E434)</f>
        <v/>
      </c>
      <c r="H434" s="14"/>
      <c r="I434" s="12"/>
      <c r="J434" s="14"/>
      <c r="K434" s="20" t="str">
        <f aca="false">IF(OR(J434="",N(G434)=0),"",J434/G434)</f>
        <v/>
      </c>
      <c r="L434" s="12"/>
      <c r="M434" s="12"/>
      <c r="N434" s="12"/>
    </row>
    <row r="435" customFormat="false" ht="15" hidden="false" customHeight="false" outlineLevel="0" collapsed="false">
      <c r="A435" s="16"/>
      <c r="B435" s="12"/>
      <c r="C435" s="18" t="str">
        <f aca="false">IF(B435="","",IFERROR(INDEX(Inventario!$B$7:$B$46,MATCH(B435,Inventario!$A$7:$A$46,0)),"Clave no existe"))</f>
        <v/>
      </c>
      <c r="D435" s="18" t="str">
        <f aca="false">IF(B435="","",IFERROR(INDEX(Inventario!$C$7:$C$46,MATCH(B435,Inventario!$A$7:$A$46,0)),""))</f>
        <v/>
      </c>
      <c r="E435" s="19"/>
      <c r="F435" s="19"/>
      <c r="G435" s="20" t="str">
        <f aca="false">IF(OR(E435="",F435=""),IF(B435="","",IF(A435="","",8)),F435-E435)</f>
        <v/>
      </c>
      <c r="H435" s="14"/>
      <c r="I435" s="12"/>
      <c r="J435" s="14"/>
      <c r="K435" s="20" t="str">
        <f aca="false">IF(OR(J435="",N(G435)=0),"",J435/G435)</f>
        <v/>
      </c>
      <c r="L435" s="12"/>
      <c r="M435" s="12"/>
      <c r="N435" s="12"/>
    </row>
    <row r="436" customFormat="false" ht="15" hidden="false" customHeight="false" outlineLevel="0" collapsed="false">
      <c r="A436" s="16"/>
      <c r="B436" s="12"/>
      <c r="C436" s="18" t="str">
        <f aca="false">IF(B436="","",IFERROR(INDEX(Inventario!$B$7:$B$46,MATCH(B436,Inventario!$A$7:$A$46,0)),"Clave no existe"))</f>
        <v/>
      </c>
      <c r="D436" s="18" t="str">
        <f aca="false">IF(B436="","",IFERROR(INDEX(Inventario!$C$7:$C$46,MATCH(B436,Inventario!$A$7:$A$46,0)),""))</f>
        <v/>
      </c>
      <c r="E436" s="19"/>
      <c r="F436" s="19"/>
      <c r="G436" s="20" t="str">
        <f aca="false">IF(OR(E436="",F436=""),IF(B436="","",IF(A436="","",8)),F436-E436)</f>
        <v/>
      </c>
      <c r="H436" s="14"/>
      <c r="I436" s="12"/>
      <c r="J436" s="14"/>
      <c r="K436" s="20" t="str">
        <f aca="false">IF(OR(J436="",N(G436)=0),"",J436/G436)</f>
        <v/>
      </c>
      <c r="L436" s="12"/>
      <c r="M436" s="12"/>
      <c r="N436" s="12"/>
    </row>
    <row r="437" customFormat="false" ht="15" hidden="false" customHeight="false" outlineLevel="0" collapsed="false">
      <c r="A437" s="16"/>
      <c r="B437" s="12"/>
      <c r="C437" s="18" t="str">
        <f aca="false">IF(B437="","",IFERROR(INDEX(Inventario!$B$7:$B$46,MATCH(B437,Inventario!$A$7:$A$46,0)),"Clave no existe"))</f>
        <v/>
      </c>
      <c r="D437" s="18" t="str">
        <f aca="false">IF(B437="","",IFERROR(INDEX(Inventario!$C$7:$C$46,MATCH(B437,Inventario!$A$7:$A$46,0)),""))</f>
        <v/>
      </c>
      <c r="E437" s="19"/>
      <c r="F437" s="19"/>
      <c r="G437" s="20" t="str">
        <f aca="false">IF(OR(E437="",F437=""),IF(B437="","",IF(A437="","",8)),F437-E437)</f>
        <v/>
      </c>
      <c r="H437" s="14"/>
      <c r="I437" s="12"/>
      <c r="J437" s="14"/>
      <c r="K437" s="20" t="str">
        <f aca="false">IF(OR(J437="",N(G437)=0),"",J437/G437)</f>
        <v/>
      </c>
      <c r="L437" s="12"/>
      <c r="M437" s="12"/>
      <c r="N437" s="12"/>
    </row>
    <row r="438" customFormat="false" ht="15" hidden="false" customHeight="false" outlineLevel="0" collapsed="false">
      <c r="A438" s="16"/>
      <c r="B438" s="12"/>
      <c r="C438" s="18" t="str">
        <f aca="false">IF(B438="","",IFERROR(INDEX(Inventario!$B$7:$B$46,MATCH(B438,Inventario!$A$7:$A$46,0)),"Clave no existe"))</f>
        <v/>
      </c>
      <c r="D438" s="18" t="str">
        <f aca="false">IF(B438="","",IFERROR(INDEX(Inventario!$C$7:$C$46,MATCH(B438,Inventario!$A$7:$A$46,0)),""))</f>
        <v/>
      </c>
      <c r="E438" s="19"/>
      <c r="F438" s="19"/>
      <c r="G438" s="20" t="str">
        <f aca="false">IF(OR(E438="",F438=""),IF(B438="","",IF(A438="","",8)),F438-E438)</f>
        <v/>
      </c>
      <c r="H438" s="14"/>
      <c r="I438" s="12"/>
      <c r="J438" s="14"/>
      <c r="K438" s="20" t="str">
        <f aca="false">IF(OR(J438="",N(G438)=0),"",J438/G438)</f>
        <v/>
      </c>
      <c r="L438" s="12"/>
      <c r="M438" s="12"/>
      <c r="N438" s="12"/>
    </row>
    <row r="439" customFormat="false" ht="15" hidden="false" customHeight="false" outlineLevel="0" collapsed="false">
      <c r="A439" s="16"/>
      <c r="B439" s="12"/>
      <c r="C439" s="18" t="str">
        <f aca="false">IF(B439="","",IFERROR(INDEX(Inventario!$B$7:$B$46,MATCH(B439,Inventario!$A$7:$A$46,0)),"Clave no existe"))</f>
        <v/>
      </c>
      <c r="D439" s="18" t="str">
        <f aca="false">IF(B439="","",IFERROR(INDEX(Inventario!$C$7:$C$46,MATCH(B439,Inventario!$A$7:$A$46,0)),""))</f>
        <v/>
      </c>
      <c r="E439" s="19"/>
      <c r="F439" s="19"/>
      <c r="G439" s="20" t="str">
        <f aca="false">IF(OR(E439="",F439=""),IF(B439="","",IF(A439="","",8)),F439-E439)</f>
        <v/>
      </c>
      <c r="H439" s="14"/>
      <c r="I439" s="12"/>
      <c r="J439" s="14"/>
      <c r="K439" s="20" t="str">
        <f aca="false">IF(OR(J439="",N(G439)=0),"",J439/G439)</f>
        <v/>
      </c>
      <c r="L439" s="12"/>
      <c r="M439" s="12"/>
      <c r="N439" s="12"/>
    </row>
    <row r="440" customFormat="false" ht="15" hidden="false" customHeight="false" outlineLevel="0" collapsed="false">
      <c r="A440" s="16"/>
      <c r="B440" s="12"/>
      <c r="C440" s="18" t="str">
        <f aca="false">IF(B440="","",IFERROR(INDEX(Inventario!$B$7:$B$46,MATCH(B440,Inventario!$A$7:$A$46,0)),"Clave no existe"))</f>
        <v/>
      </c>
      <c r="D440" s="18" t="str">
        <f aca="false">IF(B440="","",IFERROR(INDEX(Inventario!$C$7:$C$46,MATCH(B440,Inventario!$A$7:$A$46,0)),""))</f>
        <v/>
      </c>
      <c r="E440" s="19"/>
      <c r="F440" s="19"/>
      <c r="G440" s="20" t="str">
        <f aca="false">IF(OR(E440="",F440=""),IF(B440="","",IF(A440="","",8)),F440-E440)</f>
        <v/>
      </c>
      <c r="H440" s="14"/>
      <c r="I440" s="12"/>
      <c r="J440" s="14"/>
      <c r="K440" s="20" t="str">
        <f aca="false">IF(OR(J440="",N(G440)=0),"",J440/G440)</f>
        <v/>
      </c>
      <c r="L440" s="12"/>
      <c r="M440" s="12"/>
      <c r="N440" s="12"/>
    </row>
    <row r="441" customFormat="false" ht="15" hidden="false" customHeight="false" outlineLevel="0" collapsed="false">
      <c r="A441" s="16"/>
      <c r="B441" s="12"/>
      <c r="C441" s="18" t="str">
        <f aca="false">IF(B441="","",IFERROR(INDEX(Inventario!$B$7:$B$46,MATCH(B441,Inventario!$A$7:$A$46,0)),"Clave no existe"))</f>
        <v/>
      </c>
      <c r="D441" s="18" t="str">
        <f aca="false">IF(B441="","",IFERROR(INDEX(Inventario!$C$7:$C$46,MATCH(B441,Inventario!$A$7:$A$46,0)),""))</f>
        <v/>
      </c>
      <c r="E441" s="19"/>
      <c r="F441" s="19"/>
      <c r="G441" s="20" t="str">
        <f aca="false">IF(OR(E441="",F441=""),IF(B441="","",IF(A441="","",8)),F441-E441)</f>
        <v/>
      </c>
      <c r="H441" s="14"/>
      <c r="I441" s="12"/>
      <c r="J441" s="14"/>
      <c r="K441" s="20" t="str">
        <f aca="false">IF(OR(J441="",N(G441)=0),"",J441/G441)</f>
        <v/>
      </c>
      <c r="L441" s="12"/>
      <c r="M441" s="12"/>
      <c r="N441" s="12"/>
    </row>
    <row r="442" customFormat="false" ht="15" hidden="false" customHeight="false" outlineLevel="0" collapsed="false">
      <c r="A442" s="16"/>
      <c r="B442" s="12"/>
      <c r="C442" s="18" t="str">
        <f aca="false">IF(B442="","",IFERROR(INDEX(Inventario!$B$7:$B$46,MATCH(B442,Inventario!$A$7:$A$46,0)),"Clave no existe"))</f>
        <v/>
      </c>
      <c r="D442" s="18" t="str">
        <f aca="false">IF(B442="","",IFERROR(INDEX(Inventario!$C$7:$C$46,MATCH(B442,Inventario!$A$7:$A$46,0)),""))</f>
        <v/>
      </c>
      <c r="E442" s="19"/>
      <c r="F442" s="19"/>
      <c r="G442" s="20" t="str">
        <f aca="false">IF(OR(E442="",F442=""),IF(B442="","",IF(A442="","",8)),F442-E442)</f>
        <v/>
      </c>
      <c r="H442" s="14"/>
      <c r="I442" s="12"/>
      <c r="J442" s="14"/>
      <c r="K442" s="20" t="str">
        <f aca="false">IF(OR(J442="",N(G442)=0),"",J442/G442)</f>
        <v/>
      </c>
      <c r="L442" s="12"/>
      <c r="M442" s="12"/>
      <c r="N442" s="12"/>
    </row>
    <row r="443" customFormat="false" ht="15" hidden="false" customHeight="false" outlineLevel="0" collapsed="false">
      <c r="A443" s="16"/>
      <c r="B443" s="12"/>
      <c r="C443" s="18" t="str">
        <f aca="false">IF(B443="","",IFERROR(INDEX(Inventario!$B$7:$B$46,MATCH(B443,Inventario!$A$7:$A$46,0)),"Clave no existe"))</f>
        <v/>
      </c>
      <c r="D443" s="18" t="str">
        <f aca="false">IF(B443="","",IFERROR(INDEX(Inventario!$C$7:$C$46,MATCH(B443,Inventario!$A$7:$A$46,0)),""))</f>
        <v/>
      </c>
      <c r="E443" s="19"/>
      <c r="F443" s="19"/>
      <c r="G443" s="20" t="str">
        <f aca="false">IF(OR(E443="",F443=""),IF(B443="","",IF(A443="","",8)),F443-E443)</f>
        <v/>
      </c>
      <c r="H443" s="14"/>
      <c r="I443" s="12"/>
      <c r="J443" s="14"/>
      <c r="K443" s="20" t="str">
        <f aca="false">IF(OR(J443="",N(G443)=0),"",J443/G443)</f>
        <v/>
      </c>
      <c r="L443" s="12"/>
      <c r="M443" s="12"/>
      <c r="N443" s="12"/>
    </row>
    <row r="444" customFormat="false" ht="15" hidden="false" customHeight="false" outlineLevel="0" collapsed="false">
      <c r="A444" s="16"/>
      <c r="B444" s="12"/>
      <c r="C444" s="18" t="str">
        <f aca="false">IF(B444="","",IFERROR(INDEX(Inventario!$B$7:$B$46,MATCH(B444,Inventario!$A$7:$A$46,0)),"Clave no existe"))</f>
        <v/>
      </c>
      <c r="D444" s="18" t="str">
        <f aca="false">IF(B444="","",IFERROR(INDEX(Inventario!$C$7:$C$46,MATCH(B444,Inventario!$A$7:$A$46,0)),""))</f>
        <v/>
      </c>
      <c r="E444" s="19"/>
      <c r="F444" s="19"/>
      <c r="G444" s="20" t="str">
        <f aca="false">IF(OR(E444="",F444=""),IF(B444="","",IF(A444="","",8)),F444-E444)</f>
        <v/>
      </c>
      <c r="H444" s="14"/>
      <c r="I444" s="12"/>
      <c r="J444" s="14"/>
      <c r="K444" s="20" t="str">
        <f aca="false">IF(OR(J444="",N(G444)=0),"",J444/G444)</f>
        <v/>
      </c>
      <c r="L444" s="12"/>
      <c r="M444" s="12"/>
      <c r="N444" s="12"/>
    </row>
    <row r="445" customFormat="false" ht="15" hidden="false" customHeight="false" outlineLevel="0" collapsed="false">
      <c r="A445" s="16"/>
      <c r="B445" s="12"/>
      <c r="C445" s="18" t="str">
        <f aca="false">IF(B445="","",IFERROR(INDEX(Inventario!$B$7:$B$46,MATCH(B445,Inventario!$A$7:$A$46,0)),"Clave no existe"))</f>
        <v/>
      </c>
      <c r="D445" s="18" t="str">
        <f aca="false">IF(B445="","",IFERROR(INDEX(Inventario!$C$7:$C$46,MATCH(B445,Inventario!$A$7:$A$46,0)),""))</f>
        <v/>
      </c>
      <c r="E445" s="19"/>
      <c r="F445" s="19"/>
      <c r="G445" s="20" t="str">
        <f aca="false">IF(OR(E445="",F445=""),IF(B445="","",IF(A445="","",8)),F445-E445)</f>
        <v/>
      </c>
      <c r="H445" s="14"/>
      <c r="I445" s="12"/>
      <c r="J445" s="14"/>
      <c r="K445" s="20" t="str">
        <f aca="false">IF(OR(J445="",N(G445)=0),"",J445/G445)</f>
        <v/>
      </c>
      <c r="L445" s="12"/>
      <c r="M445" s="12"/>
      <c r="N445" s="12"/>
    </row>
    <row r="446" customFormat="false" ht="15" hidden="false" customHeight="false" outlineLevel="0" collapsed="false">
      <c r="A446" s="16"/>
      <c r="B446" s="12"/>
      <c r="C446" s="18" t="str">
        <f aca="false">IF(B446="","",IFERROR(INDEX(Inventario!$B$7:$B$46,MATCH(B446,Inventario!$A$7:$A$46,0)),"Clave no existe"))</f>
        <v/>
      </c>
      <c r="D446" s="18" t="str">
        <f aca="false">IF(B446="","",IFERROR(INDEX(Inventario!$C$7:$C$46,MATCH(B446,Inventario!$A$7:$A$46,0)),""))</f>
        <v/>
      </c>
      <c r="E446" s="19"/>
      <c r="F446" s="19"/>
      <c r="G446" s="20" t="str">
        <f aca="false">IF(OR(E446="",F446=""),IF(B446="","",IF(A446="","",8)),F446-E446)</f>
        <v/>
      </c>
      <c r="H446" s="14"/>
      <c r="I446" s="12"/>
      <c r="J446" s="14"/>
      <c r="K446" s="20" t="str">
        <f aca="false">IF(OR(J446="",N(G446)=0),"",J446/G446)</f>
        <v/>
      </c>
      <c r="L446" s="12"/>
      <c r="M446" s="12"/>
      <c r="N446" s="12"/>
    </row>
    <row r="447" customFormat="false" ht="15" hidden="false" customHeight="false" outlineLevel="0" collapsed="false">
      <c r="A447" s="16"/>
      <c r="B447" s="12"/>
      <c r="C447" s="18" t="str">
        <f aca="false">IF(B447="","",IFERROR(INDEX(Inventario!$B$7:$B$46,MATCH(B447,Inventario!$A$7:$A$46,0)),"Clave no existe"))</f>
        <v/>
      </c>
      <c r="D447" s="18" t="str">
        <f aca="false">IF(B447="","",IFERROR(INDEX(Inventario!$C$7:$C$46,MATCH(B447,Inventario!$A$7:$A$46,0)),""))</f>
        <v/>
      </c>
      <c r="E447" s="19"/>
      <c r="F447" s="19"/>
      <c r="G447" s="20" t="str">
        <f aca="false">IF(OR(E447="",F447=""),IF(B447="","",IF(A447="","",8)),F447-E447)</f>
        <v/>
      </c>
      <c r="H447" s="14"/>
      <c r="I447" s="12"/>
      <c r="J447" s="14"/>
      <c r="K447" s="20" t="str">
        <f aca="false">IF(OR(J447="",N(G447)=0),"",J447/G447)</f>
        <v/>
      </c>
      <c r="L447" s="12"/>
      <c r="M447" s="12"/>
      <c r="N447" s="12"/>
    </row>
    <row r="448" customFormat="false" ht="15" hidden="false" customHeight="false" outlineLevel="0" collapsed="false">
      <c r="A448" s="16"/>
      <c r="B448" s="12"/>
      <c r="C448" s="18" t="str">
        <f aca="false">IF(B448="","",IFERROR(INDEX(Inventario!$B$7:$B$46,MATCH(B448,Inventario!$A$7:$A$46,0)),"Clave no existe"))</f>
        <v/>
      </c>
      <c r="D448" s="18" t="str">
        <f aca="false">IF(B448="","",IFERROR(INDEX(Inventario!$C$7:$C$46,MATCH(B448,Inventario!$A$7:$A$46,0)),""))</f>
        <v/>
      </c>
      <c r="E448" s="19"/>
      <c r="F448" s="19"/>
      <c r="G448" s="20" t="str">
        <f aca="false">IF(OR(E448="",F448=""),IF(B448="","",IF(A448="","",8)),F448-E448)</f>
        <v/>
      </c>
      <c r="H448" s="14"/>
      <c r="I448" s="12"/>
      <c r="J448" s="14"/>
      <c r="K448" s="20" t="str">
        <f aca="false">IF(OR(J448="",N(G448)=0),"",J448/G448)</f>
        <v/>
      </c>
      <c r="L448" s="12"/>
      <c r="M448" s="12"/>
      <c r="N448" s="12"/>
    </row>
    <row r="449" customFormat="false" ht="15" hidden="false" customHeight="false" outlineLevel="0" collapsed="false">
      <c r="A449" s="16"/>
      <c r="B449" s="12"/>
      <c r="C449" s="18" t="str">
        <f aca="false">IF(B449="","",IFERROR(INDEX(Inventario!$B$7:$B$46,MATCH(B449,Inventario!$A$7:$A$46,0)),"Clave no existe"))</f>
        <v/>
      </c>
      <c r="D449" s="18" t="str">
        <f aca="false">IF(B449="","",IFERROR(INDEX(Inventario!$C$7:$C$46,MATCH(B449,Inventario!$A$7:$A$46,0)),""))</f>
        <v/>
      </c>
      <c r="E449" s="19"/>
      <c r="F449" s="19"/>
      <c r="G449" s="20" t="str">
        <f aca="false">IF(OR(E449="",F449=""),IF(B449="","",IF(A449="","",8)),F449-E449)</f>
        <v/>
      </c>
      <c r="H449" s="14"/>
      <c r="I449" s="12"/>
      <c r="J449" s="14"/>
      <c r="K449" s="20" t="str">
        <f aca="false">IF(OR(J449="",N(G449)=0),"",J449/G449)</f>
        <v/>
      </c>
      <c r="L449" s="12"/>
      <c r="M449" s="12"/>
      <c r="N449" s="12"/>
    </row>
    <row r="450" customFormat="false" ht="15" hidden="false" customHeight="false" outlineLevel="0" collapsed="false">
      <c r="A450" s="16"/>
      <c r="B450" s="12"/>
      <c r="C450" s="18" t="str">
        <f aca="false">IF(B450="","",IFERROR(INDEX(Inventario!$B$7:$B$46,MATCH(B450,Inventario!$A$7:$A$46,0)),"Clave no existe"))</f>
        <v/>
      </c>
      <c r="D450" s="18" t="str">
        <f aca="false">IF(B450="","",IFERROR(INDEX(Inventario!$C$7:$C$46,MATCH(B450,Inventario!$A$7:$A$46,0)),""))</f>
        <v/>
      </c>
      <c r="E450" s="19"/>
      <c r="F450" s="19"/>
      <c r="G450" s="20" t="str">
        <f aca="false">IF(OR(E450="",F450=""),IF(B450="","",IF(A450="","",8)),F450-E450)</f>
        <v/>
      </c>
      <c r="H450" s="14"/>
      <c r="I450" s="12"/>
      <c r="J450" s="14"/>
      <c r="K450" s="20" t="str">
        <f aca="false">IF(OR(J450="",N(G450)=0),"",J450/G450)</f>
        <v/>
      </c>
      <c r="L450" s="12"/>
      <c r="M450" s="12"/>
      <c r="N450" s="12"/>
    </row>
    <row r="451" customFormat="false" ht="15" hidden="false" customHeight="false" outlineLevel="0" collapsed="false">
      <c r="A451" s="16"/>
      <c r="B451" s="12"/>
      <c r="C451" s="18" t="str">
        <f aca="false">IF(B451="","",IFERROR(INDEX(Inventario!$B$7:$B$46,MATCH(B451,Inventario!$A$7:$A$46,0)),"Clave no existe"))</f>
        <v/>
      </c>
      <c r="D451" s="18" t="str">
        <f aca="false">IF(B451="","",IFERROR(INDEX(Inventario!$C$7:$C$46,MATCH(B451,Inventario!$A$7:$A$46,0)),""))</f>
        <v/>
      </c>
      <c r="E451" s="19"/>
      <c r="F451" s="19"/>
      <c r="G451" s="20" t="str">
        <f aca="false">IF(OR(E451="",F451=""),IF(B451="","",IF(A451="","",8)),F451-E451)</f>
        <v/>
      </c>
      <c r="H451" s="14"/>
      <c r="I451" s="12"/>
      <c r="J451" s="14"/>
      <c r="K451" s="20" t="str">
        <f aca="false">IF(OR(J451="",N(G451)=0),"",J451/G451)</f>
        <v/>
      </c>
      <c r="L451" s="12"/>
      <c r="M451" s="12"/>
      <c r="N451" s="12"/>
    </row>
    <row r="452" customFormat="false" ht="15" hidden="false" customHeight="false" outlineLevel="0" collapsed="false">
      <c r="A452" s="16"/>
      <c r="B452" s="12"/>
      <c r="C452" s="18" t="str">
        <f aca="false">IF(B452="","",IFERROR(INDEX(Inventario!$B$7:$B$46,MATCH(B452,Inventario!$A$7:$A$46,0)),"Clave no existe"))</f>
        <v/>
      </c>
      <c r="D452" s="18" t="str">
        <f aca="false">IF(B452="","",IFERROR(INDEX(Inventario!$C$7:$C$46,MATCH(B452,Inventario!$A$7:$A$46,0)),""))</f>
        <v/>
      </c>
      <c r="E452" s="19"/>
      <c r="F452" s="19"/>
      <c r="G452" s="20" t="str">
        <f aca="false">IF(OR(E452="",F452=""),IF(B452="","",IF(A452="","",8)),F452-E452)</f>
        <v/>
      </c>
      <c r="H452" s="14"/>
      <c r="I452" s="12"/>
      <c r="J452" s="14"/>
      <c r="K452" s="20" t="str">
        <f aca="false">IF(OR(J452="",N(G452)=0),"",J452/G452)</f>
        <v/>
      </c>
      <c r="L452" s="12"/>
      <c r="M452" s="12"/>
      <c r="N452" s="12"/>
    </row>
    <row r="453" customFormat="false" ht="15" hidden="false" customHeight="false" outlineLevel="0" collapsed="false">
      <c r="A453" s="16"/>
      <c r="B453" s="12"/>
      <c r="C453" s="18" t="str">
        <f aca="false">IF(B453="","",IFERROR(INDEX(Inventario!$B$7:$B$46,MATCH(B453,Inventario!$A$7:$A$46,0)),"Clave no existe"))</f>
        <v/>
      </c>
      <c r="D453" s="18" t="str">
        <f aca="false">IF(B453="","",IFERROR(INDEX(Inventario!$C$7:$C$46,MATCH(B453,Inventario!$A$7:$A$46,0)),""))</f>
        <v/>
      </c>
      <c r="E453" s="19"/>
      <c r="F453" s="19"/>
      <c r="G453" s="20" t="str">
        <f aca="false">IF(OR(E453="",F453=""),IF(B453="","",IF(A453="","",8)),F453-E453)</f>
        <v/>
      </c>
      <c r="H453" s="14"/>
      <c r="I453" s="12"/>
      <c r="J453" s="14"/>
      <c r="K453" s="20" t="str">
        <f aca="false">IF(OR(J453="",N(G453)=0),"",J453/G453)</f>
        <v/>
      </c>
      <c r="L453" s="12"/>
      <c r="M453" s="12"/>
      <c r="N453" s="12"/>
    </row>
    <row r="454" customFormat="false" ht="15" hidden="false" customHeight="false" outlineLevel="0" collapsed="false">
      <c r="A454" s="16"/>
      <c r="B454" s="12"/>
      <c r="C454" s="18" t="str">
        <f aca="false">IF(B454="","",IFERROR(INDEX(Inventario!$B$7:$B$46,MATCH(B454,Inventario!$A$7:$A$46,0)),"Clave no existe"))</f>
        <v/>
      </c>
      <c r="D454" s="18" t="str">
        <f aca="false">IF(B454="","",IFERROR(INDEX(Inventario!$C$7:$C$46,MATCH(B454,Inventario!$A$7:$A$46,0)),""))</f>
        <v/>
      </c>
      <c r="E454" s="19"/>
      <c r="F454" s="19"/>
      <c r="G454" s="20" t="str">
        <f aca="false">IF(OR(E454="",F454=""),IF(B454="","",IF(A454="","",8)),F454-E454)</f>
        <v/>
      </c>
      <c r="H454" s="14"/>
      <c r="I454" s="12"/>
      <c r="J454" s="14"/>
      <c r="K454" s="20" t="str">
        <f aca="false">IF(OR(J454="",N(G454)=0),"",J454/G454)</f>
        <v/>
      </c>
      <c r="L454" s="12"/>
      <c r="M454" s="12"/>
      <c r="N454" s="12"/>
    </row>
    <row r="455" customFormat="false" ht="15" hidden="false" customHeight="false" outlineLevel="0" collapsed="false">
      <c r="A455" s="16"/>
      <c r="B455" s="12"/>
      <c r="C455" s="18" t="str">
        <f aca="false">IF(B455="","",IFERROR(INDEX(Inventario!$B$7:$B$46,MATCH(B455,Inventario!$A$7:$A$46,0)),"Clave no existe"))</f>
        <v/>
      </c>
      <c r="D455" s="18" t="str">
        <f aca="false">IF(B455="","",IFERROR(INDEX(Inventario!$C$7:$C$46,MATCH(B455,Inventario!$A$7:$A$46,0)),""))</f>
        <v/>
      </c>
      <c r="E455" s="19"/>
      <c r="F455" s="19"/>
      <c r="G455" s="20" t="str">
        <f aca="false">IF(OR(E455="",F455=""),IF(B455="","",IF(A455="","",8)),F455-E455)</f>
        <v/>
      </c>
      <c r="H455" s="14"/>
      <c r="I455" s="12"/>
      <c r="J455" s="14"/>
      <c r="K455" s="20" t="str">
        <f aca="false">IF(OR(J455="",N(G455)=0),"",J455/G455)</f>
        <v/>
      </c>
      <c r="L455" s="12"/>
      <c r="M455" s="12"/>
      <c r="N455" s="12"/>
    </row>
    <row r="456" customFormat="false" ht="15" hidden="false" customHeight="false" outlineLevel="0" collapsed="false">
      <c r="A456" s="16"/>
      <c r="B456" s="12"/>
      <c r="C456" s="18" t="str">
        <f aca="false">IF(B456="","",IFERROR(INDEX(Inventario!$B$7:$B$46,MATCH(B456,Inventario!$A$7:$A$46,0)),"Clave no existe"))</f>
        <v/>
      </c>
      <c r="D456" s="18" t="str">
        <f aca="false">IF(B456="","",IFERROR(INDEX(Inventario!$C$7:$C$46,MATCH(B456,Inventario!$A$7:$A$46,0)),""))</f>
        <v/>
      </c>
      <c r="E456" s="19"/>
      <c r="F456" s="19"/>
      <c r="G456" s="20" t="str">
        <f aca="false">IF(OR(E456="",F456=""),IF(B456="","",IF(A456="","",8)),F456-E456)</f>
        <v/>
      </c>
      <c r="H456" s="14"/>
      <c r="I456" s="12"/>
      <c r="J456" s="14"/>
      <c r="K456" s="20" t="str">
        <f aca="false">IF(OR(J456="",N(G456)=0),"",J456/G456)</f>
        <v/>
      </c>
      <c r="L456" s="12"/>
      <c r="M456" s="12"/>
      <c r="N456" s="12"/>
    </row>
    <row r="457" customFormat="false" ht="15" hidden="false" customHeight="false" outlineLevel="0" collapsed="false">
      <c r="A457" s="16"/>
      <c r="B457" s="12"/>
      <c r="C457" s="18" t="str">
        <f aca="false">IF(B457="","",IFERROR(INDEX(Inventario!$B$7:$B$46,MATCH(B457,Inventario!$A$7:$A$46,0)),"Clave no existe"))</f>
        <v/>
      </c>
      <c r="D457" s="18" t="str">
        <f aca="false">IF(B457="","",IFERROR(INDEX(Inventario!$C$7:$C$46,MATCH(B457,Inventario!$A$7:$A$46,0)),""))</f>
        <v/>
      </c>
      <c r="E457" s="19"/>
      <c r="F457" s="19"/>
      <c r="G457" s="20" t="str">
        <f aca="false">IF(OR(E457="",F457=""),IF(B457="","",IF(A457="","",8)),F457-E457)</f>
        <v/>
      </c>
      <c r="H457" s="14"/>
      <c r="I457" s="12"/>
      <c r="J457" s="14"/>
      <c r="K457" s="20" t="str">
        <f aca="false">IF(OR(J457="",N(G457)=0),"",J457/G457)</f>
        <v/>
      </c>
      <c r="L457" s="12"/>
      <c r="M457" s="12"/>
      <c r="N457" s="12"/>
    </row>
    <row r="458" customFormat="false" ht="15" hidden="false" customHeight="false" outlineLevel="0" collapsed="false">
      <c r="A458" s="16"/>
      <c r="B458" s="12"/>
      <c r="C458" s="18" t="str">
        <f aca="false">IF(B458="","",IFERROR(INDEX(Inventario!$B$7:$B$46,MATCH(B458,Inventario!$A$7:$A$46,0)),"Clave no existe"))</f>
        <v/>
      </c>
      <c r="D458" s="18" t="str">
        <f aca="false">IF(B458="","",IFERROR(INDEX(Inventario!$C$7:$C$46,MATCH(B458,Inventario!$A$7:$A$46,0)),""))</f>
        <v/>
      </c>
      <c r="E458" s="19"/>
      <c r="F458" s="19"/>
      <c r="G458" s="20" t="str">
        <f aca="false">IF(OR(E458="",F458=""),IF(B458="","",IF(A458="","",8)),F458-E458)</f>
        <v/>
      </c>
      <c r="H458" s="14"/>
      <c r="I458" s="12"/>
      <c r="J458" s="14"/>
      <c r="K458" s="20" t="str">
        <f aca="false">IF(OR(J458="",N(G458)=0),"",J458/G458)</f>
        <v/>
      </c>
      <c r="L458" s="12"/>
      <c r="M458" s="12"/>
      <c r="N458" s="12"/>
    </row>
    <row r="459" customFormat="false" ht="15" hidden="false" customHeight="false" outlineLevel="0" collapsed="false">
      <c r="A459" s="16"/>
      <c r="B459" s="12"/>
      <c r="C459" s="18" t="str">
        <f aca="false">IF(B459="","",IFERROR(INDEX(Inventario!$B$7:$B$46,MATCH(B459,Inventario!$A$7:$A$46,0)),"Clave no existe"))</f>
        <v/>
      </c>
      <c r="D459" s="18" t="str">
        <f aca="false">IF(B459="","",IFERROR(INDEX(Inventario!$C$7:$C$46,MATCH(B459,Inventario!$A$7:$A$46,0)),""))</f>
        <v/>
      </c>
      <c r="E459" s="19"/>
      <c r="F459" s="19"/>
      <c r="G459" s="20" t="str">
        <f aca="false">IF(OR(E459="",F459=""),IF(B459="","",IF(A459="","",8)),F459-E459)</f>
        <v/>
      </c>
      <c r="H459" s="14"/>
      <c r="I459" s="12"/>
      <c r="J459" s="14"/>
      <c r="K459" s="20" t="str">
        <f aca="false">IF(OR(J459="",N(G459)=0),"",J459/G459)</f>
        <v/>
      </c>
      <c r="L459" s="12"/>
      <c r="M459" s="12"/>
      <c r="N459" s="12"/>
    </row>
    <row r="460" customFormat="false" ht="15" hidden="false" customHeight="false" outlineLevel="0" collapsed="false">
      <c r="A460" s="16"/>
      <c r="B460" s="12"/>
      <c r="C460" s="18" t="str">
        <f aca="false">IF(B460="","",IFERROR(INDEX(Inventario!$B$7:$B$46,MATCH(B460,Inventario!$A$7:$A$46,0)),"Clave no existe"))</f>
        <v/>
      </c>
      <c r="D460" s="18" t="str">
        <f aca="false">IF(B460="","",IFERROR(INDEX(Inventario!$C$7:$C$46,MATCH(B460,Inventario!$A$7:$A$46,0)),""))</f>
        <v/>
      </c>
      <c r="E460" s="19"/>
      <c r="F460" s="19"/>
      <c r="G460" s="20" t="str">
        <f aca="false">IF(OR(E460="",F460=""),IF(B460="","",IF(A460="","",8)),F460-E460)</f>
        <v/>
      </c>
      <c r="H460" s="14"/>
      <c r="I460" s="12"/>
      <c r="J460" s="14"/>
      <c r="K460" s="20" t="str">
        <f aca="false">IF(OR(J460="",N(G460)=0),"",J460/G460)</f>
        <v/>
      </c>
      <c r="L460" s="12"/>
      <c r="M460" s="12"/>
      <c r="N460" s="12"/>
    </row>
    <row r="461" customFormat="false" ht="15" hidden="false" customHeight="false" outlineLevel="0" collapsed="false">
      <c r="A461" s="16"/>
      <c r="B461" s="12"/>
      <c r="C461" s="18" t="str">
        <f aca="false">IF(B461="","",IFERROR(INDEX(Inventario!$B$7:$B$46,MATCH(B461,Inventario!$A$7:$A$46,0)),"Clave no existe"))</f>
        <v/>
      </c>
      <c r="D461" s="18" t="str">
        <f aca="false">IF(B461="","",IFERROR(INDEX(Inventario!$C$7:$C$46,MATCH(B461,Inventario!$A$7:$A$46,0)),""))</f>
        <v/>
      </c>
      <c r="E461" s="19"/>
      <c r="F461" s="19"/>
      <c r="G461" s="20" t="str">
        <f aca="false">IF(OR(E461="",F461=""),IF(B461="","",IF(A461="","",8)),F461-E461)</f>
        <v/>
      </c>
      <c r="H461" s="14"/>
      <c r="I461" s="12"/>
      <c r="J461" s="14"/>
      <c r="K461" s="20" t="str">
        <f aca="false">IF(OR(J461="",N(G461)=0),"",J461/G461)</f>
        <v/>
      </c>
      <c r="L461" s="12"/>
      <c r="M461" s="12"/>
      <c r="N461" s="12"/>
    </row>
    <row r="462" customFormat="false" ht="15" hidden="false" customHeight="false" outlineLevel="0" collapsed="false">
      <c r="A462" s="16"/>
      <c r="B462" s="12"/>
      <c r="C462" s="18" t="str">
        <f aca="false">IF(B462="","",IFERROR(INDEX(Inventario!$B$7:$B$46,MATCH(B462,Inventario!$A$7:$A$46,0)),"Clave no existe"))</f>
        <v/>
      </c>
      <c r="D462" s="18" t="str">
        <f aca="false">IF(B462="","",IFERROR(INDEX(Inventario!$C$7:$C$46,MATCH(B462,Inventario!$A$7:$A$46,0)),""))</f>
        <v/>
      </c>
      <c r="E462" s="19"/>
      <c r="F462" s="19"/>
      <c r="G462" s="20" t="str">
        <f aca="false">IF(OR(E462="",F462=""),IF(B462="","",IF(A462="","",8)),F462-E462)</f>
        <v/>
      </c>
      <c r="H462" s="14"/>
      <c r="I462" s="12"/>
      <c r="J462" s="14"/>
      <c r="K462" s="20" t="str">
        <f aca="false">IF(OR(J462="",N(G462)=0),"",J462/G462)</f>
        <v/>
      </c>
      <c r="L462" s="12"/>
      <c r="M462" s="12"/>
      <c r="N462" s="12"/>
    </row>
    <row r="463" customFormat="false" ht="15" hidden="false" customHeight="false" outlineLevel="0" collapsed="false">
      <c r="A463" s="16"/>
      <c r="B463" s="12"/>
      <c r="C463" s="18" t="str">
        <f aca="false">IF(B463="","",IFERROR(INDEX(Inventario!$B$7:$B$46,MATCH(B463,Inventario!$A$7:$A$46,0)),"Clave no existe"))</f>
        <v/>
      </c>
      <c r="D463" s="18" t="str">
        <f aca="false">IF(B463="","",IFERROR(INDEX(Inventario!$C$7:$C$46,MATCH(B463,Inventario!$A$7:$A$46,0)),""))</f>
        <v/>
      </c>
      <c r="E463" s="19"/>
      <c r="F463" s="19"/>
      <c r="G463" s="20" t="str">
        <f aca="false">IF(OR(E463="",F463=""),IF(B463="","",IF(A463="","",8)),F463-E463)</f>
        <v/>
      </c>
      <c r="H463" s="14"/>
      <c r="I463" s="12"/>
      <c r="J463" s="14"/>
      <c r="K463" s="20" t="str">
        <f aca="false">IF(OR(J463="",N(G463)=0),"",J463/G463)</f>
        <v/>
      </c>
      <c r="L463" s="12"/>
      <c r="M463" s="12"/>
      <c r="N463" s="12"/>
    </row>
    <row r="464" customFormat="false" ht="15" hidden="false" customHeight="false" outlineLevel="0" collapsed="false">
      <c r="A464" s="16"/>
      <c r="B464" s="12"/>
      <c r="C464" s="18" t="str">
        <f aca="false">IF(B464="","",IFERROR(INDEX(Inventario!$B$7:$B$46,MATCH(B464,Inventario!$A$7:$A$46,0)),"Clave no existe"))</f>
        <v/>
      </c>
      <c r="D464" s="18" t="str">
        <f aca="false">IF(B464="","",IFERROR(INDEX(Inventario!$C$7:$C$46,MATCH(B464,Inventario!$A$7:$A$46,0)),""))</f>
        <v/>
      </c>
      <c r="E464" s="19"/>
      <c r="F464" s="19"/>
      <c r="G464" s="20" t="str">
        <f aca="false">IF(OR(E464="",F464=""),IF(B464="","",IF(A464="","",8)),F464-E464)</f>
        <v/>
      </c>
      <c r="H464" s="14"/>
      <c r="I464" s="12"/>
      <c r="J464" s="14"/>
      <c r="K464" s="20" t="str">
        <f aca="false">IF(OR(J464="",N(G464)=0),"",J464/G464)</f>
        <v/>
      </c>
      <c r="L464" s="12"/>
      <c r="M464" s="12"/>
      <c r="N464" s="12"/>
    </row>
    <row r="465" customFormat="false" ht="15" hidden="false" customHeight="false" outlineLevel="0" collapsed="false">
      <c r="A465" s="16"/>
      <c r="B465" s="12"/>
      <c r="C465" s="18" t="str">
        <f aca="false">IF(B465="","",IFERROR(INDEX(Inventario!$B$7:$B$46,MATCH(B465,Inventario!$A$7:$A$46,0)),"Clave no existe"))</f>
        <v/>
      </c>
      <c r="D465" s="18" t="str">
        <f aca="false">IF(B465="","",IFERROR(INDEX(Inventario!$C$7:$C$46,MATCH(B465,Inventario!$A$7:$A$46,0)),""))</f>
        <v/>
      </c>
      <c r="E465" s="19"/>
      <c r="F465" s="19"/>
      <c r="G465" s="20" t="str">
        <f aca="false">IF(OR(E465="",F465=""),IF(B465="","",IF(A465="","",8)),F465-E465)</f>
        <v/>
      </c>
      <c r="H465" s="14"/>
      <c r="I465" s="12"/>
      <c r="J465" s="14"/>
      <c r="K465" s="20" t="str">
        <f aca="false">IF(OR(J465="",N(G465)=0),"",J465/G465)</f>
        <v/>
      </c>
      <c r="L465" s="12"/>
      <c r="M465" s="12"/>
      <c r="N465" s="12"/>
    </row>
    <row r="466" customFormat="false" ht="15" hidden="false" customHeight="false" outlineLevel="0" collapsed="false">
      <c r="A466" s="16"/>
      <c r="B466" s="12"/>
      <c r="C466" s="18" t="str">
        <f aca="false">IF(B466="","",IFERROR(INDEX(Inventario!$B$7:$B$46,MATCH(B466,Inventario!$A$7:$A$46,0)),"Clave no existe"))</f>
        <v/>
      </c>
      <c r="D466" s="18" t="str">
        <f aca="false">IF(B466="","",IFERROR(INDEX(Inventario!$C$7:$C$46,MATCH(B466,Inventario!$A$7:$A$46,0)),""))</f>
        <v/>
      </c>
      <c r="E466" s="19"/>
      <c r="F466" s="19"/>
      <c r="G466" s="20" t="str">
        <f aca="false">IF(OR(E466="",F466=""),IF(B466="","",IF(A466="","",8)),F466-E466)</f>
        <v/>
      </c>
      <c r="H466" s="14"/>
      <c r="I466" s="12"/>
      <c r="J466" s="14"/>
      <c r="K466" s="20" t="str">
        <f aca="false">IF(OR(J466="",N(G466)=0),"",J466/G466)</f>
        <v/>
      </c>
      <c r="L466" s="12"/>
      <c r="M466" s="12"/>
      <c r="N466" s="12"/>
    </row>
    <row r="467" customFormat="false" ht="15" hidden="false" customHeight="false" outlineLevel="0" collapsed="false">
      <c r="A467" s="16"/>
      <c r="B467" s="12"/>
      <c r="C467" s="18" t="str">
        <f aca="false">IF(B467="","",IFERROR(INDEX(Inventario!$B$7:$B$46,MATCH(B467,Inventario!$A$7:$A$46,0)),"Clave no existe"))</f>
        <v/>
      </c>
      <c r="D467" s="18" t="str">
        <f aca="false">IF(B467="","",IFERROR(INDEX(Inventario!$C$7:$C$46,MATCH(B467,Inventario!$A$7:$A$46,0)),""))</f>
        <v/>
      </c>
      <c r="E467" s="19"/>
      <c r="F467" s="19"/>
      <c r="G467" s="20" t="str">
        <f aca="false">IF(OR(E467="",F467=""),IF(B467="","",IF(A467="","",8)),F467-E467)</f>
        <v/>
      </c>
      <c r="H467" s="14"/>
      <c r="I467" s="12"/>
      <c r="J467" s="14"/>
      <c r="K467" s="20" t="str">
        <f aca="false">IF(OR(J467="",N(G467)=0),"",J467/G467)</f>
        <v/>
      </c>
      <c r="L467" s="12"/>
      <c r="M467" s="12"/>
      <c r="N467" s="12"/>
    </row>
    <row r="468" customFormat="false" ht="15" hidden="false" customHeight="false" outlineLevel="0" collapsed="false">
      <c r="A468" s="16"/>
      <c r="B468" s="12"/>
      <c r="C468" s="18" t="str">
        <f aca="false">IF(B468="","",IFERROR(INDEX(Inventario!$B$7:$B$46,MATCH(B468,Inventario!$A$7:$A$46,0)),"Clave no existe"))</f>
        <v/>
      </c>
      <c r="D468" s="18" t="str">
        <f aca="false">IF(B468="","",IFERROR(INDEX(Inventario!$C$7:$C$46,MATCH(B468,Inventario!$A$7:$A$46,0)),""))</f>
        <v/>
      </c>
      <c r="E468" s="19"/>
      <c r="F468" s="19"/>
      <c r="G468" s="20" t="str">
        <f aca="false">IF(OR(E468="",F468=""),IF(B468="","",IF(A468="","",8)),F468-E468)</f>
        <v/>
      </c>
      <c r="H468" s="14"/>
      <c r="I468" s="12"/>
      <c r="J468" s="14"/>
      <c r="K468" s="20" t="str">
        <f aca="false">IF(OR(J468="",N(G468)=0),"",J468/G468)</f>
        <v/>
      </c>
      <c r="L468" s="12"/>
      <c r="M468" s="12"/>
      <c r="N468" s="12"/>
    </row>
    <row r="469" customFormat="false" ht="15" hidden="false" customHeight="false" outlineLevel="0" collapsed="false">
      <c r="A469" s="16"/>
      <c r="B469" s="12"/>
      <c r="C469" s="18" t="str">
        <f aca="false">IF(B469="","",IFERROR(INDEX(Inventario!$B$7:$B$46,MATCH(B469,Inventario!$A$7:$A$46,0)),"Clave no existe"))</f>
        <v/>
      </c>
      <c r="D469" s="18" t="str">
        <f aca="false">IF(B469="","",IFERROR(INDEX(Inventario!$C$7:$C$46,MATCH(B469,Inventario!$A$7:$A$46,0)),""))</f>
        <v/>
      </c>
      <c r="E469" s="19"/>
      <c r="F469" s="19"/>
      <c r="G469" s="20" t="str">
        <f aca="false">IF(OR(E469="",F469=""),IF(B469="","",IF(A469="","",8)),F469-E469)</f>
        <v/>
      </c>
      <c r="H469" s="14"/>
      <c r="I469" s="12"/>
      <c r="J469" s="14"/>
      <c r="K469" s="20" t="str">
        <f aca="false">IF(OR(J469="",N(G469)=0),"",J469/G469)</f>
        <v/>
      </c>
      <c r="L469" s="12"/>
      <c r="M469" s="12"/>
      <c r="N469" s="12"/>
    </row>
    <row r="470" customFormat="false" ht="15" hidden="false" customHeight="false" outlineLevel="0" collapsed="false">
      <c r="A470" s="16"/>
      <c r="B470" s="12"/>
      <c r="C470" s="18" t="str">
        <f aca="false">IF(B470="","",IFERROR(INDEX(Inventario!$B$7:$B$46,MATCH(B470,Inventario!$A$7:$A$46,0)),"Clave no existe"))</f>
        <v/>
      </c>
      <c r="D470" s="18" t="str">
        <f aca="false">IF(B470="","",IFERROR(INDEX(Inventario!$C$7:$C$46,MATCH(B470,Inventario!$A$7:$A$46,0)),""))</f>
        <v/>
      </c>
      <c r="E470" s="19"/>
      <c r="F470" s="19"/>
      <c r="G470" s="20" t="str">
        <f aca="false">IF(OR(E470="",F470=""),IF(B470="","",IF(A470="","",8)),F470-E470)</f>
        <v/>
      </c>
      <c r="H470" s="14"/>
      <c r="I470" s="12"/>
      <c r="J470" s="14"/>
      <c r="K470" s="20" t="str">
        <f aca="false">IF(OR(J470="",N(G470)=0),"",J470/G470)</f>
        <v/>
      </c>
      <c r="L470" s="12"/>
      <c r="M470" s="12"/>
      <c r="N470" s="12"/>
    </row>
    <row r="471" customFormat="false" ht="15" hidden="false" customHeight="false" outlineLevel="0" collapsed="false">
      <c r="A471" s="16"/>
      <c r="B471" s="12"/>
      <c r="C471" s="18" t="str">
        <f aca="false">IF(B471="","",IFERROR(INDEX(Inventario!$B$7:$B$46,MATCH(B471,Inventario!$A$7:$A$46,0)),"Clave no existe"))</f>
        <v/>
      </c>
      <c r="D471" s="18" t="str">
        <f aca="false">IF(B471="","",IFERROR(INDEX(Inventario!$C$7:$C$46,MATCH(B471,Inventario!$A$7:$A$46,0)),""))</f>
        <v/>
      </c>
      <c r="E471" s="19"/>
      <c r="F471" s="19"/>
      <c r="G471" s="20" t="str">
        <f aca="false">IF(OR(E471="",F471=""),IF(B471="","",IF(A471="","",8)),F471-E471)</f>
        <v/>
      </c>
      <c r="H471" s="14"/>
      <c r="I471" s="12"/>
      <c r="J471" s="14"/>
      <c r="K471" s="20" t="str">
        <f aca="false">IF(OR(J471="",N(G471)=0),"",J471/G471)</f>
        <v/>
      </c>
      <c r="L471" s="12"/>
      <c r="M471" s="12"/>
      <c r="N471" s="12"/>
    </row>
    <row r="472" customFormat="false" ht="15" hidden="false" customHeight="false" outlineLevel="0" collapsed="false">
      <c r="A472" s="16"/>
      <c r="B472" s="12"/>
      <c r="C472" s="18" t="str">
        <f aca="false">IF(B472="","",IFERROR(INDEX(Inventario!$B$7:$B$46,MATCH(B472,Inventario!$A$7:$A$46,0)),"Clave no existe"))</f>
        <v/>
      </c>
      <c r="D472" s="18" t="str">
        <f aca="false">IF(B472="","",IFERROR(INDEX(Inventario!$C$7:$C$46,MATCH(B472,Inventario!$A$7:$A$46,0)),""))</f>
        <v/>
      </c>
      <c r="E472" s="19"/>
      <c r="F472" s="19"/>
      <c r="G472" s="20" t="str">
        <f aca="false">IF(OR(E472="",F472=""),IF(B472="","",IF(A472="","",8)),F472-E472)</f>
        <v/>
      </c>
      <c r="H472" s="14"/>
      <c r="I472" s="12"/>
      <c r="J472" s="14"/>
      <c r="K472" s="20" t="str">
        <f aca="false">IF(OR(J472="",N(G472)=0),"",J472/G472)</f>
        <v/>
      </c>
      <c r="L472" s="12"/>
      <c r="M472" s="12"/>
      <c r="N472" s="12"/>
    </row>
    <row r="473" customFormat="false" ht="15" hidden="false" customHeight="false" outlineLevel="0" collapsed="false">
      <c r="A473" s="16"/>
      <c r="B473" s="12"/>
      <c r="C473" s="18" t="str">
        <f aca="false">IF(B473="","",IFERROR(INDEX(Inventario!$B$7:$B$46,MATCH(B473,Inventario!$A$7:$A$46,0)),"Clave no existe"))</f>
        <v/>
      </c>
      <c r="D473" s="18" t="str">
        <f aca="false">IF(B473="","",IFERROR(INDEX(Inventario!$C$7:$C$46,MATCH(B473,Inventario!$A$7:$A$46,0)),""))</f>
        <v/>
      </c>
      <c r="E473" s="19"/>
      <c r="F473" s="19"/>
      <c r="G473" s="20" t="str">
        <f aca="false">IF(OR(E473="",F473=""),IF(B473="","",IF(A473="","",8)),F473-E473)</f>
        <v/>
      </c>
      <c r="H473" s="14"/>
      <c r="I473" s="12"/>
      <c r="J473" s="14"/>
      <c r="K473" s="20" t="str">
        <f aca="false">IF(OR(J473="",N(G473)=0),"",J473/G473)</f>
        <v/>
      </c>
      <c r="L473" s="12"/>
      <c r="M473" s="12"/>
      <c r="N473" s="12"/>
    </row>
    <row r="474" customFormat="false" ht="15" hidden="false" customHeight="false" outlineLevel="0" collapsed="false">
      <c r="A474" s="16"/>
      <c r="B474" s="12"/>
      <c r="C474" s="18" t="str">
        <f aca="false">IF(B474="","",IFERROR(INDEX(Inventario!$B$7:$B$46,MATCH(B474,Inventario!$A$7:$A$46,0)),"Clave no existe"))</f>
        <v/>
      </c>
      <c r="D474" s="18" t="str">
        <f aca="false">IF(B474="","",IFERROR(INDEX(Inventario!$C$7:$C$46,MATCH(B474,Inventario!$A$7:$A$46,0)),""))</f>
        <v/>
      </c>
      <c r="E474" s="19"/>
      <c r="F474" s="19"/>
      <c r="G474" s="20" t="str">
        <f aca="false">IF(OR(E474="",F474=""),IF(B474="","",IF(A474="","",8)),F474-E474)</f>
        <v/>
      </c>
      <c r="H474" s="14"/>
      <c r="I474" s="12"/>
      <c r="J474" s="14"/>
      <c r="K474" s="20" t="str">
        <f aca="false">IF(OR(J474="",N(G474)=0),"",J474/G474)</f>
        <v/>
      </c>
      <c r="L474" s="12"/>
      <c r="M474" s="12"/>
      <c r="N474" s="12"/>
    </row>
    <row r="475" customFormat="false" ht="15" hidden="false" customHeight="false" outlineLevel="0" collapsed="false">
      <c r="A475" s="16"/>
      <c r="B475" s="12"/>
      <c r="C475" s="18" t="str">
        <f aca="false">IF(B475="","",IFERROR(INDEX(Inventario!$B$7:$B$46,MATCH(B475,Inventario!$A$7:$A$46,0)),"Clave no existe"))</f>
        <v/>
      </c>
      <c r="D475" s="18" t="str">
        <f aca="false">IF(B475="","",IFERROR(INDEX(Inventario!$C$7:$C$46,MATCH(B475,Inventario!$A$7:$A$46,0)),""))</f>
        <v/>
      </c>
      <c r="E475" s="19"/>
      <c r="F475" s="19"/>
      <c r="G475" s="20" t="str">
        <f aca="false">IF(OR(E475="",F475=""),IF(B475="","",IF(A475="","",8)),F475-E475)</f>
        <v/>
      </c>
      <c r="H475" s="14"/>
      <c r="I475" s="12"/>
      <c r="J475" s="14"/>
      <c r="K475" s="20" t="str">
        <f aca="false">IF(OR(J475="",N(G475)=0),"",J475/G475)</f>
        <v/>
      </c>
      <c r="L475" s="12"/>
      <c r="M475" s="12"/>
      <c r="N475" s="12"/>
    </row>
    <row r="476" customFormat="false" ht="15" hidden="false" customHeight="false" outlineLevel="0" collapsed="false">
      <c r="A476" s="16"/>
      <c r="B476" s="12"/>
      <c r="C476" s="18" t="str">
        <f aca="false">IF(B476="","",IFERROR(INDEX(Inventario!$B$7:$B$46,MATCH(B476,Inventario!$A$7:$A$46,0)),"Clave no existe"))</f>
        <v/>
      </c>
      <c r="D476" s="18" t="str">
        <f aca="false">IF(B476="","",IFERROR(INDEX(Inventario!$C$7:$C$46,MATCH(B476,Inventario!$A$7:$A$46,0)),""))</f>
        <v/>
      </c>
      <c r="E476" s="19"/>
      <c r="F476" s="19"/>
      <c r="G476" s="20" t="str">
        <f aca="false">IF(OR(E476="",F476=""),IF(B476="","",IF(A476="","",8)),F476-E476)</f>
        <v/>
      </c>
      <c r="H476" s="14"/>
      <c r="I476" s="12"/>
      <c r="J476" s="14"/>
      <c r="K476" s="20" t="str">
        <f aca="false">IF(OR(J476="",N(G476)=0),"",J476/G476)</f>
        <v/>
      </c>
      <c r="L476" s="12"/>
      <c r="M476" s="12"/>
      <c r="N476" s="12"/>
    </row>
    <row r="477" customFormat="false" ht="15" hidden="false" customHeight="false" outlineLevel="0" collapsed="false">
      <c r="A477" s="16"/>
      <c r="B477" s="12"/>
      <c r="C477" s="18" t="str">
        <f aca="false">IF(B477="","",IFERROR(INDEX(Inventario!$B$7:$B$46,MATCH(B477,Inventario!$A$7:$A$46,0)),"Clave no existe"))</f>
        <v/>
      </c>
      <c r="D477" s="18" t="str">
        <f aca="false">IF(B477="","",IFERROR(INDEX(Inventario!$C$7:$C$46,MATCH(B477,Inventario!$A$7:$A$46,0)),""))</f>
        <v/>
      </c>
      <c r="E477" s="19"/>
      <c r="F477" s="19"/>
      <c r="G477" s="20" t="str">
        <f aca="false">IF(OR(E477="",F477=""),IF(B477="","",IF(A477="","",8)),F477-E477)</f>
        <v/>
      </c>
      <c r="H477" s="14"/>
      <c r="I477" s="12"/>
      <c r="J477" s="14"/>
      <c r="K477" s="20" t="str">
        <f aca="false">IF(OR(J477="",N(G477)=0),"",J477/G477)</f>
        <v/>
      </c>
      <c r="L477" s="12"/>
      <c r="M477" s="12"/>
      <c r="N477" s="12"/>
    </row>
    <row r="478" customFormat="false" ht="15" hidden="false" customHeight="false" outlineLevel="0" collapsed="false">
      <c r="A478" s="16"/>
      <c r="B478" s="12"/>
      <c r="C478" s="18" t="str">
        <f aca="false">IF(B478="","",IFERROR(INDEX(Inventario!$B$7:$B$46,MATCH(B478,Inventario!$A$7:$A$46,0)),"Clave no existe"))</f>
        <v/>
      </c>
      <c r="D478" s="18" t="str">
        <f aca="false">IF(B478="","",IFERROR(INDEX(Inventario!$C$7:$C$46,MATCH(B478,Inventario!$A$7:$A$46,0)),""))</f>
        <v/>
      </c>
      <c r="E478" s="19"/>
      <c r="F478" s="19"/>
      <c r="G478" s="20" t="str">
        <f aca="false">IF(OR(E478="",F478=""),IF(B478="","",IF(A478="","",8)),F478-E478)</f>
        <v/>
      </c>
      <c r="H478" s="14"/>
      <c r="I478" s="12"/>
      <c r="J478" s="14"/>
      <c r="K478" s="20" t="str">
        <f aca="false">IF(OR(J478="",N(G478)=0),"",J478/G478)</f>
        <v/>
      </c>
      <c r="L478" s="12"/>
      <c r="M478" s="12"/>
      <c r="N478" s="12"/>
    </row>
    <row r="479" customFormat="false" ht="15" hidden="false" customHeight="false" outlineLevel="0" collapsed="false">
      <c r="A479" s="16"/>
      <c r="B479" s="12"/>
      <c r="C479" s="18" t="str">
        <f aca="false">IF(B479="","",IFERROR(INDEX(Inventario!$B$7:$B$46,MATCH(B479,Inventario!$A$7:$A$46,0)),"Clave no existe"))</f>
        <v/>
      </c>
      <c r="D479" s="18" t="str">
        <f aca="false">IF(B479="","",IFERROR(INDEX(Inventario!$C$7:$C$46,MATCH(B479,Inventario!$A$7:$A$46,0)),""))</f>
        <v/>
      </c>
      <c r="E479" s="19"/>
      <c r="F479" s="19"/>
      <c r="G479" s="20" t="str">
        <f aca="false">IF(OR(E479="",F479=""),IF(B479="","",IF(A479="","",8)),F479-E479)</f>
        <v/>
      </c>
      <c r="H479" s="14"/>
      <c r="I479" s="12"/>
      <c r="J479" s="14"/>
      <c r="K479" s="20" t="str">
        <f aca="false">IF(OR(J479="",N(G479)=0),"",J479/G479)</f>
        <v/>
      </c>
      <c r="L479" s="12"/>
      <c r="M479" s="12"/>
      <c r="N479" s="12"/>
    </row>
    <row r="480" customFormat="false" ht="15" hidden="false" customHeight="false" outlineLevel="0" collapsed="false">
      <c r="A480" s="16"/>
      <c r="B480" s="12"/>
      <c r="C480" s="18" t="str">
        <f aca="false">IF(B480="","",IFERROR(INDEX(Inventario!$B$7:$B$46,MATCH(B480,Inventario!$A$7:$A$46,0)),"Clave no existe"))</f>
        <v/>
      </c>
      <c r="D480" s="18" t="str">
        <f aca="false">IF(B480="","",IFERROR(INDEX(Inventario!$C$7:$C$46,MATCH(B480,Inventario!$A$7:$A$46,0)),""))</f>
        <v/>
      </c>
      <c r="E480" s="19"/>
      <c r="F480" s="19"/>
      <c r="G480" s="20" t="str">
        <f aca="false">IF(OR(E480="",F480=""),IF(B480="","",IF(A480="","",8)),F480-E480)</f>
        <v/>
      </c>
      <c r="H480" s="14"/>
      <c r="I480" s="12"/>
      <c r="J480" s="14"/>
      <c r="K480" s="20" t="str">
        <f aca="false">IF(OR(J480="",N(G480)=0),"",J480/G480)</f>
        <v/>
      </c>
      <c r="L480" s="12"/>
      <c r="M480" s="12"/>
      <c r="N480" s="12"/>
    </row>
    <row r="481" customFormat="false" ht="15" hidden="false" customHeight="false" outlineLevel="0" collapsed="false">
      <c r="A481" s="16"/>
      <c r="B481" s="12"/>
      <c r="C481" s="18" t="str">
        <f aca="false">IF(B481="","",IFERROR(INDEX(Inventario!$B$7:$B$46,MATCH(B481,Inventario!$A$7:$A$46,0)),"Clave no existe"))</f>
        <v/>
      </c>
      <c r="D481" s="18" t="str">
        <f aca="false">IF(B481="","",IFERROR(INDEX(Inventario!$C$7:$C$46,MATCH(B481,Inventario!$A$7:$A$46,0)),""))</f>
        <v/>
      </c>
      <c r="E481" s="19"/>
      <c r="F481" s="19"/>
      <c r="G481" s="20" t="str">
        <f aca="false">IF(OR(E481="",F481=""),IF(B481="","",IF(A481="","",8)),F481-E481)</f>
        <v/>
      </c>
      <c r="H481" s="14"/>
      <c r="I481" s="12"/>
      <c r="J481" s="14"/>
      <c r="K481" s="20" t="str">
        <f aca="false">IF(OR(J481="",N(G481)=0),"",J481/G481)</f>
        <v/>
      </c>
      <c r="L481" s="12"/>
      <c r="M481" s="12"/>
      <c r="N481" s="12"/>
    </row>
    <row r="482" customFormat="false" ht="15" hidden="false" customHeight="false" outlineLevel="0" collapsed="false">
      <c r="A482" s="16"/>
      <c r="B482" s="12"/>
      <c r="C482" s="18" t="str">
        <f aca="false">IF(B482="","",IFERROR(INDEX(Inventario!$B$7:$B$46,MATCH(B482,Inventario!$A$7:$A$46,0)),"Clave no existe"))</f>
        <v/>
      </c>
      <c r="D482" s="18" t="str">
        <f aca="false">IF(B482="","",IFERROR(INDEX(Inventario!$C$7:$C$46,MATCH(B482,Inventario!$A$7:$A$46,0)),""))</f>
        <v/>
      </c>
      <c r="E482" s="19"/>
      <c r="F482" s="19"/>
      <c r="G482" s="20" t="str">
        <f aca="false">IF(OR(E482="",F482=""),IF(B482="","",IF(A482="","",8)),F482-E482)</f>
        <v/>
      </c>
      <c r="H482" s="14"/>
      <c r="I482" s="12"/>
      <c r="J482" s="14"/>
      <c r="K482" s="20" t="str">
        <f aca="false">IF(OR(J482="",N(G482)=0),"",J482/G482)</f>
        <v/>
      </c>
      <c r="L482" s="12"/>
      <c r="M482" s="12"/>
      <c r="N482" s="12"/>
    </row>
    <row r="483" customFormat="false" ht="15" hidden="false" customHeight="false" outlineLevel="0" collapsed="false">
      <c r="A483" s="16"/>
      <c r="B483" s="12"/>
      <c r="C483" s="18" t="str">
        <f aca="false">IF(B483="","",IFERROR(INDEX(Inventario!$B$7:$B$46,MATCH(B483,Inventario!$A$7:$A$46,0)),"Clave no existe"))</f>
        <v/>
      </c>
      <c r="D483" s="18" t="str">
        <f aca="false">IF(B483="","",IFERROR(INDEX(Inventario!$C$7:$C$46,MATCH(B483,Inventario!$A$7:$A$46,0)),""))</f>
        <v/>
      </c>
      <c r="E483" s="19"/>
      <c r="F483" s="19"/>
      <c r="G483" s="20" t="str">
        <f aca="false">IF(OR(E483="",F483=""),IF(B483="","",IF(A483="","",8)),F483-E483)</f>
        <v/>
      </c>
      <c r="H483" s="14"/>
      <c r="I483" s="12"/>
      <c r="J483" s="14"/>
      <c r="K483" s="20" t="str">
        <f aca="false">IF(OR(J483="",N(G483)=0),"",J483/G483)</f>
        <v/>
      </c>
      <c r="L483" s="12"/>
      <c r="M483" s="12"/>
      <c r="N483" s="12"/>
    </row>
    <row r="484" customFormat="false" ht="15" hidden="false" customHeight="false" outlineLevel="0" collapsed="false">
      <c r="A484" s="16"/>
      <c r="B484" s="12"/>
      <c r="C484" s="18" t="str">
        <f aca="false">IF(B484="","",IFERROR(INDEX(Inventario!$B$7:$B$46,MATCH(B484,Inventario!$A$7:$A$46,0)),"Clave no existe"))</f>
        <v/>
      </c>
      <c r="D484" s="18" t="str">
        <f aca="false">IF(B484="","",IFERROR(INDEX(Inventario!$C$7:$C$46,MATCH(B484,Inventario!$A$7:$A$46,0)),""))</f>
        <v/>
      </c>
      <c r="E484" s="19"/>
      <c r="F484" s="19"/>
      <c r="G484" s="20" t="str">
        <f aca="false">IF(OR(E484="",F484=""),IF(B484="","",IF(A484="","",8)),F484-E484)</f>
        <v/>
      </c>
      <c r="H484" s="14"/>
      <c r="I484" s="12"/>
      <c r="J484" s="14"/>
      <c r="K484" s="20" t="str">
        <f aca="false">IF(OR(J484="",N(G484)=0),"",J484/G484)</f>
        <v/>
      </c>
      <c r="L484" s="12"/>
      <c r="M484" s="12"/>
      <c r="N484" s="12"/>
    </row>
    <row r="485" customFormat="false" ht="15" hidden="false" customHeight="false" outlineLevel="0" collapsed="false">
      <c r="A485" s="16"/>
      <c r="B485" s="12"/>
      <c r="C485" s="18" t="str">
        <f aca="false">IF(B485="","",IFERROR(INDEX(Inventario!$B$7:$B$46,MATCH(B485,Inventario!$A$7:$A$46,0)),"Clave no existe"))</f>
        <v/>
      </c>
      <c r="D485" s="18" t="str">
        <f aca="false">IF(B485="","",IFERROR(INDEX(Inventario!$C$7:$C$46,MATCH(B485,Inventario!$A$7:$A$46,0)),""))</f>
        <v/>
      </c>
      <c r="E485" s="19"/>
      <c r="F485" s="19"/>
      <c r="G485" s="20" t="str">
        <f aca="false">IF(OR(E485="",F485=""),IF(B485="","",IF(A485="","",8)),F485-E485)</f>
        <v/>
      </c>
      <c r="H485" s="14"/>
      <c r="I485" s="12"/>
      <c r="J485" s="14"/>
      <c r="K485" s="20" t="str">
        <f aca="false">IF(OR(J485="",N(G485)=0),"",J485/G485)</f>
        <v/>
      </c>
      <c r="L485" s="12"/>
      <c r="M485" s="12"/>
      <c r="N485" s="12"/>
    </row>
    <row r="486" customFormat="false" ht="15" hidden="false" customHeight="false" outlineLevel="0" collapsed="false">
      <c r="A486" s="16"/>
      <c r="B486" s="12"/>
      <c r="C486" s="18" t="str">
        <f aca="false">IF(B486="","",IFERROR(INDEX(Inventario!$B$7:$B$46,MATCH(B486,Inventario!$A$7:$A$46,0)),"Clave no existe"))</f>
        <v/>
      </c>
      <c r="D486" s="18" t="str">
        <f aca="false">IF(B486="","",IFERROR(INDEX(Inventario!$C$7:$C$46,MATCH(B486,Inventario!$A$7:$A$46,0)),""))</f>
        <v/>
      </c>
      <c r="E486" s="19"/>
      <c r="F486" s="19"/>
      <c r="G486" s="20" t="str">
        <f aca="false">IF(OR(E486="",F486=""),IF(B486="","",IF(A486="","",8)),F486-E486)</f>
        <v/>
      </c>
      <c r="H486" s="14"/>
      <c r="I486" s="12"/>
      <c r="J486" s="14"/>
      <c r="K486" s="20" t="str">
        <f aca="false">IF(OR(J486="",N(G486)=0),"",J486/G486)</f>
        <v/>
      </c>
      <c r="L486" s="12"/>
      <c r="M486" s="12"/>
      <c r="N486" s="12"/>
    </row>
    <row r="487" customFormat="false" ht="15" hidden="false" customHeight="false" outlineLevel="0" collapsed="false">
      <c r="A487" s="16"/>
      <c r="B487" s="12"/>
      <c r="C487" s="18" t="str">
        <f aca="false">IF(B487="","",IFERROR(INDEX(Inventario!$B$7:$B$46,MATCH(B487,Inventario!$A$7:$A$46,0)),"Clave no existe"))</f>
        <v/>
      </c>
      <c r="D487" s="18" t="str">
        <f aca="false">IF(B487="","",IFERROR(INDEX(Inventario!$C$7:$C$46,MATCH(B487,Inventario!$A$7:$A$46,0)),""))</f>
        <v/>
      </c>
      <c r="E487" s="19"/>
      <c r="F487" s="19"/>
      <c r="G487" s="20" t="str">
        <f aca="false">IF(OR(E487="",F487=""),IF(B487="","",IF(A487="","",8)),F487-E487)</f>
        <v/>
      </c>
      <c r="H487" s="14"/>
      <c r="I487" s="12"/>
      <c r="J487" s="14"/>
      <c r="K487" s="20" t="str">
        <f aca="false">IF(OR(J487="",N(G487)=0),"",J487/G487)</f>
        <v/>
      </c>
      <c r="L487" s="12"/>
      <c r="M487" s="12"/>
      <c r="N487" s="12"/>
    </row>
    <row r="488" customFormat="false" ht="15" hidden="false" customHeight="false" outlineLevel="0" collapsed="false">
      <c r="A488" s="16"/>
      <c r="B488" s="12"/>
      <c r="C488" s="18" t="str">
        <f aca="false">IF(B488="","",IFERROR(INDEX(Inventario!$B$7:$B$46,MATCH(B488,Inventario!$A$7:$A$46,0)),"Clave no existe"))</f>
        <v/>
      </c>
      <c r="D488" s="18" t="str">
        <f aca="false">IF(B488="","",IFERROR(INDEX(Inventario!$C$7:$C$46,MATCH(B488,Inventario!$A$7:$A$46,0)),""))</f>
        <v/>
      </c>
      <c r="E488" s="19"/>
      <c r="F488" s="19"/>
      <c r="G488" s="20" t="str">
        <f aca="false">IF(OR(E488="",F488=""),IF(B488="","",IF(A488="","",8)),F488-E488)</f>
        <v/>
      </c>
      <c r="H488" s="14"/>
      <c r="I488" s="12"/>
      <c r="J488" s="14"/>
      <c r="K488" s="20" t="str">
        <f aca="false">IF(OR(J488="",N(G488)=0),"",J488/G488)</f>
        <v/>
      </c>
      <c r="L488" s="12"/>
      <c r="M488" s="12"/>
      <c r="N488" s="12"/>
    </row>
    <row r="489" customFormat="false" ht="15" hidden="false" customHeight="false" outlineLevel="0" collapsed="false">
      <c r="A489" s="16"/>
      <c r="B489" s="12"/>
      <c r="C489" s="18" t="str">
        <f aca="false">IF(B489="","",IFERROR(INDEX(Inventario!$B$7:$B$46,MATCH(B489,Inventario!$A$7:$A$46,0)),"Clave no existe"))</f>
        <v/>
      </c>
      <c r="D489" s="18" t="str">
        <f aca="false">IF(B489="","",IFERROR(INDEX(Inventario!$C$7:$C$46,MATCH(B489,Inventario!$A$7:$A$46,0)),""))</f>
        <v/>
      </c>
      <c r="E489" s="19"/>
      <c r="F489" s="19"/>
      <c r="G489" s="20" t="str">
        <f aca="false">IF(OR(E489="",F489=""),IF(B489="","",IF(A489="","",8)),F489-E489)</f>
        <v/>
      </c>
      <c r="H489" s="14"/>
      <c r="I489" s="12"/>
      <c r="J489" s="14"/>
      <c r="K489" s="20" t="str">
        <f aca="false">IF(OR(J489="",N(G489)=0),"",J489/G489)</f>
        <v/>
      </c>
      <c r="L489" s="12"/>
      <c r="M489" s="12"/>
      <c r="N489" s="12"/>
    </row>
    <row r="490" customFormat="false" ht="15" hidden="false" customHeight="false" outlineLevel="0" collapsed="false">
      <c r="A490" s="16"/>
      <c r="B490" s="12"/>
      <c r="C490" s="18" t="str">
        <f aca="false">IF(B490="","",IFERROR(INDEX(Inventario!$B$7:$B$46,MATCH(B490,Inventario!$A$7:$A$46,0)),"Clave no existe"))</f>
        <v/>
      </c>
      <c r="D490" s="18" t="str">
        <f aca="false">IF(B490="","",IFERROR(INDEX(Inventario!$C$7:$C$46,MATCH(B490,Inventario!$A$7:$A$46,0)),""))</f>
        <v/>
      </c>
      <c r="E490" s="19"/>
      <c r="F490" s="19"/>
      <c r="G490" s="20" t="str">
        <f aca="false">IF(OR(E490="",F490=""),IF(B490="","",IF(A490="","",8)),F490-E490)</f>
        <v/>
      </c>
      <c r="H490" s="14"/>
      <c r="I490" s="12"/>
      <c r="J490" s="14"/>
      <c r="K490" s="20" t="str">
        <f aca="false">IF(OR(J490="",N(G490)=0),"",J490/G490)</f>
        <v/>
      </c>
      <c r="L490" s="12"/>
      <c r="M490" s="12"/>
      <c r="N490" s="12"/>
    </row>
    <row r="491" customFormat="false" ht="15" hidden="false" customHeight="false" outlineLevel="0" collapsed="false">
      <c r="A491" s="16"/>
      <c r="B491" s="12"/>
      <c r="C491" s="18" t="str">
        <f aca="false">IF(B491="","",IFERROR(INDEX(Inventario!$B$7:$B$46,MATCH(B491,Inventario!$A$7:$A$46,0)),"Clave no existe"))</f>
        <v/>
      </c>
      <c r="D491" s="18" t="str">
        <f aca="false">IF(B491="","",IFERROR(INDEX(Inventario!$C$7:$C$46,MATCH(B491,Inventario!$A$7:$A$46,0)),""))</f>
        <v/>
      </c>
      <c r="E491" s="19"/>
      <c r="F491" s="19"/>
      <c r="G491" s="20" t="str">
        <f aca="false">IF(OR(E491="",F491=""),IF(B491="","",IF(A491="","",8)),F491-E491)</f>
        <v/>
      </c>
      <c r="H491" s="14"/>
      <c r="I491" s="12"/>
      <c r="J491" s="14"/>
      <c r="K491" s="20" t="str">
        <f aca="false">IF(OR(J491="",N(G491)=0),"",J491/G491)</f>
        <v/>
      </c>
      <c r="L491" s="12"/>
      <c r="M491" s="12"/>
      <c r="N491" s="12"/>
    </row>
    <row r="492" customFormat="false" ht="15" hidden="false" customHeight="false" outlineLevel="0" collapsed="false">
      <c r="A492" s="16"/>
      <c r="B492" s="12"/>
      <c r="C492" s="18" t="str">
        <f aca="false">IF(B492="","",IFERROR(INDEX(Inventario!$B$7:$B$46,MATCH(B492,Inventario!$A$7:$A$46,0)),"Clave no existe"))</f>
        <v/>
      </c>
      <c r="D492" s="18" t="str">
        <f aca="false">IF(B492="","",IFERROR(INDEX(Inventario!$C$7:$C$46,MATCH(B492,Inventario!$A$7:$A$46,0)),""))</f>
        <v/>
      </c>
      <c r="E492" s="19"/>
      <c r="F492" s="19"/>
      <c r="G492" s="20" t="str">
        <f aca="false">IF(OR(E492="",F492=""),IF(B492="","",IF(A492="","",8)),F492-E492)</f>
        <v/>
      </c>
      <c r="H492" s="14"/>
      <c r="I492" s="12"/>
      <c r="J492" s="14"/>
      <c r="K492" s="20" t="str">
        <f aca="false">IF(OR(J492="",N(G492)=0),"",J492/G492)</f>
        <v/>
      </c>
      <c r="L492" s="12"/>
      <c r="M492" s="12"/>
      <c r="N492" s="12"/>
    </row>
    <row r="493" customFormat="false" ht="15" hidden="false" customHeight="false" outlineLevel="0" collapsed="false">
      <c r="A493" s="16"/>
      <c r="B493" s="12"/>
      <c r="C493" s="18" t="str">
        <f aca="false">IF(B493="","",IFERROR(INDEX(Inventario!$B$7:$B$46,MATCH(B493,Inventario!$A$7:$A$46,0)),"Clave no existe"))</f>
        <v/>
      </c>
      <c r="D493" s="18" t="str">
        <f aca="false">IF(B493="","",IFERROR(INDEX(Inventario!$C$7:$C$46,MATCH(B493,Inventario!$A$7:$A$46,0)),""))</f>
        <v/>
      </c>
      <c r="E493" s="19"/>
      <c r="F493" s="19"/>
      <c r="G493" s="20" t="str">
        <f aca="false">IF(OR(E493="",F493=""),IF(B493="","",IF(A493="","",8)),F493-E493)</f>
        <v/>
      </c>
      <c r="H493" s="14"/>
      <c r="I493" s="12"/>
      <c r="J493" s="14"/>
      <c r="K493" s="20" t="str">
        <f aca="false">IF(OR(J493="",N(G493)=0),"",J493/G493)</f>
        <v/>
      </c>
      <c r="L493" s="12"/>
      <c r="M493" s="12"/>
      <c r="N493" s="12"/>
    </row>
    <row r="494" customFormat="false" ht="15" hidden="false" customHeight="false" outlineLevel="0" collapsed="false">
      <c r="A494" s="16"/>
      <c r="B494" s="12"/>
      <c r="C494" s="18" t="str">
        <f aca="false">IF(B494="","",IFERROR(INDEX(Inventario!$B$7:$B$46,MATCH(B494,Inventario!$A$7:$A$46,0)),"Clave no existe"))</f>
        <v/>
      </c>
      <c r="D494" s="18" t="str">
        <f aca="false">IF(B494="","",IFERROR(INDEX(Inventario!$C$7:$C$46,MATCH(B494,Inventario!$A$7:$A$46,0)),""))</f>
        <v/>
      </c>
      <c r="E494" s="19"/>
      <c r="F494" s="19"/>
      <c r="G494" s="20" t="str">
        <f aca="false">IF(OR(E494="",F494=""),IF(B494="","",IF(A494="","",8)),F494-E494)</f>
        <v/>
      </c>
      <c r="H494" s="14"/>
      <c r="I494" s="12"/>
      <c r="J494" s="14"/>
      <c r="K494" s="20" t="str">
        <f aca="false">IF(OR(J494="",N(G494)=0),"",J494/G494)</f>
        <v/>
      </c>
      <c r="L494" s="12"/>
      <c r="M494" s="12"/>
      <c r="N494" s="12"/>
    </row>
    <row r="495" customFormat="false" ht="15" hidden="false" customHeight="false" outlineLevel="0" collapsed="false">
      <c r="A495" s="16"/>
      <c r="B495" s="12"/>
      <c r="C495" s="18" t="str">
        <f aca="false">IF(B495="","",IFERROR(INDEX(Inventario!$B$7:$B$46,MATCH(B495,Inventario!$A$7:$A$46,0)),"Clave no existe"))</f>
        <v/>
      </c>
      <c r="D495" s="18" t="str">
        <f aca="false">IF(B495="","",IFERROR(INDEX(Inventario!$C$7:$C$46,MATCH(B495,Inventario!$A$7:$A$46,0)),""))</f>
        <v/>
      </c>
      <c r="E495" s="19"/>
      <c r="F495" s="19"/>
      <c r="G495" s="20" t="str">
        <f aca="false">IF(OR(E495="",F495=""),IF(B495="","",IF(A495="","",8)),F495-E495)</f>
        <v/>
      </c>
      <c r="H495" s="14"/>
      <c r="I495" s="12"/>
      <c r="J495" s="14"/>
      <c r="K495" s="20" t="str">
        <f aca="false">IF(OR(J495="",N(G495)=0),"",J495/G495)</f>
        <v/>
      </c>
      <c r="L495" s="12"/>
      <c r="M495" s="12"/>
      <c r="N495" s="12"/>
    </row>
    <row r="496" customFormat="false" ht="15" hidden="false" customHeight="false" outlineLevel="0" collapsed="false">
      <c r="A496" s="16"/>
      <c r="B496" s="12"/>
      <c r="C496" s="18" t="str">
        <f aca="false">IF(B496="","",IFERROR(INDEX(Inventario!$B$7:$B$46,MATCH(B496,Inventario!$A$7:$A$46,0)),"Clave no existe"))</f>
        <v/>
      </c>
      <c r="D496" s="18" t="str">
        <f aca="false">IF(B496="","",IFERROR(INDEX(Inventario!$C$7:$C$46,MATCH(B496,Inventario!$A$7:$A$46,0)),""))</f>
        <v/>
      </c>
      <c r="E496" s="19"/>
      <c r="F496" s="19"/>
      <c r="G496" s="20" t="str">
        <f aca="false">IF(OR(E496="",F496=""),IF(B496="","",IF(A496="","",8)),F496-E496)</f>
        <v/>
      </c>
      <c r="H496" s="14"/>
      <c r="I496" s="12"/>
      <c r="J496" s="14"/>
      <c r="K496" s="20" t="str">
        <f aca="false">IF(OR(J496="",N(G496)=0),"",J496/G496)</f>
        <v/>
      </c>
      <c r="L496" s="12"/>
      <c r="M496" s="12"/>
      <c r="N496" s="12"/>
    </row>
    <row r="497" customFormat="false" ht="15" hidden="false" customHeight="false" outlineLevel="0" collapsed="false">
      <c r="A497" s="16"/>
      <c r="B497" s="12"/>
      <c r="C497" s="18" t="str">
        <f aca="false">IF(B497="","",IFERROR(INDEX(Inventario!$B$7:$B$46,MATCH(B497,Inventario!$A$7:$A$46,0)),"Clave no existe"))</f>
        <v/>
      </c>
      <c r="D497" s="18" t="str">
        <f aca="false">IF(B497="","",IFERROR(INDEX(Inventario!$C$7:$C$46,MATCH(B497,Inventario!$A$7:$A$46,0)),""))</f>
        <v/>
      </c>
      <c r="E497" s="19"/>
      <c r="F497" s="19"/>
      <c r="G497" s="20" t="str">
        <f aca="false">IF(OR(E497="",F497=""),IF(B497="","",IF(A497="","",8)),F497-E497)</f>
        <v/>
      </c>
      <c r="H497" s="14"/>
      <c r="I497" s="12"/>
      <c r="J497" s="14"/>
      <c r="K497" s="20" t="str">
        <f aca="false">IF(OR(J497="",N(G497)=0),"",J497/G497)</f>
        <v/>
      </c>
      <c r="L497" s="12"/>
      <c r="M497" s="12"/>
      <c r="N497" s="12"/>
    </row>
    <row r="498" customFormat="false" ht="15" hidden="false" customHeight="false" outlineLevel="0" collapsed="false">
      <c r="A498" s="16"/>
      <c r="B498" s="12"/>
      <c r="C498" s="18" t="str">
        <f aca="false">IF(B498="","",IFERROR(INDEX(Inventario!$B$7:$B$46,MATCH(B498,Inventario!$A$7:$A$46,0)),"Clave no existe"))</f>
        <v/>
      </c>
      <c r="D498" s="18" t="str">
        <f aca="false">IF(B498="","",IFERROR(INDEX(Inventario!$C$7:$C$46,MATCH(B498,Inventario!$A$7:$A$46,0)),""))</f>
        <v/>
      </c>
      <c r="E498" s="19"/>
      <c r="F498" s="19"/>
      <c r="G498" s="20" t="str">
        <f aca="false">IF(OR(E498="",F498=""),IF(B498="","",IF(A498="","",8)),F498-E498)</f>
        <v/>
      </c>
      <c r="H498" s="14"/>
      <c r="I498" s="12"/>
      <c r="J498" s="14"/>
      <c r="K498" s="20" t="str">
        <f aca="false">IF(OR(J498="",N(G498)=0),"",J498/G498)</f>
        <v/>
      </c>
      <c r="L498" s="12"/>
      <c r="M498" s="12"/>
      <c r="N498" s="12"/>
    </row>
    <row r="499" customFormat="false" ht="15" hidden="false" customHeight="false" outlineLevel="0" collapsed="false">
      <c r="A499" s="16"/>
      <c r="B499" s="12"/>
      <c r="C499" s="18" t="str">
        <f aca="false">IF(B499="","",IFERROR(INDEX(Inventario!$B$7:$B$46,MATCH(B499,Inventario!$A$7:$A$46,0)),"Clave no existe"))</f>
        <v/>
      </c>
      <c r="D499" s="18" t="str">
        <f aca="false">IF(B499="","",IFERROR(INDEX(Inventario!$C$7:$C$46,MATCH(B499,Inventario!$A$7:$A$46,0)),""))</f>
        <v/>
      </c>
      <c r="E499" s="19"/>
      <c r="F499" s="19"/>
      <c r="G499" s="20" t="str">
        <f aca="false">IF(OR(E499="",F499=""),IF(B499="","",IF(A499="","",8)),F499-E499)</f>
        <v/>
      </c>
      <c r="H499" s="14"/>
      <c r="I499" s="12"/>
      <c r="J499" s="14"/>
      <c r="K499" s="20" t="str">
        <f aca="false">IF(OR(J499="",N(G499)=0),"",J499/G499)</f>
        <v/>
      </c>
      <c r="L499" s="12"/>
      <c r="M499" s="12"/>
      <c r="N499" s="12"/>
    </row>
    <row r="500" customFormat="false" ht="15" hidden="false" customHeight="false" outlineLevel="0" collapsed="false">
      <c r="A500" s="16"/>
      <c r="B500" s="12"/>
      <c r="C500" s="18" t="str">
        <f aca="false">IF(B500="","",IFERROR(INDEX(Inventario!$B$7:$B$46,MATCH(B500,Inventario!$A$7:$A$46,0)),"Clave no existe"))</f>
        <v/>
      </c>
      <c r="D500" s="18" t="str">
        <f aca="false">IF(B500="","",IFERROR(INDEX(Inventario!$C$7:$C$46,MATCH(B500,Inventario!$A$7:$A$46,0)),""))</f>
        <v/>
      </c>
      <c r="E500" s="19"/>
      <c r="F500" s="19"/>
      <c r="G500" s="20" t="str">
        <f aca="false">IF(OR(E500="",F500=""),IF(B500="","",IF(A500="","",8)),F500-E500)</f>
        <v/>
      </c>
      <c r="H500" s="14"/>
      <c r="I500" s="12"/>
      <c r="J500" s="14"/>
      <c r="K500" s="20" t="str">
        <f aca="false">IF(OR(J500="",N(G500)=0),"",J500/G500)</f>
        <v/>
      </c>
      <c r="L500" s="12"/>
      <c r="M500" s="12"/>
      <c r="N500" s="12"/>
    </row>
    <row r="501" customFormat="false" ht="15" hidden="false" customHeight="false" outlineLevel="0" collapsed="false">
      <c r="A501" s="16"/>
      <c r="B501" s="12"/>
      <c r="C501" s="18" t="str">
        <f aca="false">IF(B501="","",IFERROR(INDEX(Inventario!$B$7:$B$46,MATCH(B501,Inventario!$A$7:$A$46,0)),"Clave no existe"))</f>
        <v/>
      </c>
      <c r="D501" s="18" t="str">
        <f aca="false">IF(B501="","",IFERROR(INDEX(Inventario!$C$7:$C$46,MATCH(B501,Inventario!$A$7:$A$46,0)),""))</f>
        <v/>
      </c>
      <c r="E501" s="19"/>
      <c r="F501" s="19"/>
      <c r="G501" s="20" t="str">
        <f aca="false">IF(OR(E501="",F501=""),IF(B501="","",IF(A501="","",8)),F501-E501)</f>
        <v/>
      </c>
      <c r="H501" s="14"/>
      <c r="I501" s="12"/>
      <c r="J501" s="14"/>
      <c r="K501" s="20" t="str">
        <f aca="false">IF(OR(J501="",N(G501)=0),"",J501/G501)</f>
        <v/>
      </c>
      <c r="L501" s="12"/>
      <c r="M501" s="12"/>
      <c r="N501" s="12"/>
    </row>
    <row r="502" customFormat="false" ht="15" hidden="false" customHeight="false" outlineLevel="0" collapsed="false">
      <c r="A502" s="16"/>
      <c r="B502" s="12"/>
      <c r="C502" s="18" t="str">
        <f aca="false">IF(B502="","",IFERROR(INDEX(Inventario!$B$7:$B$46,MATCH(B502,Inventario!$A$7:$A$46,0)),"Clave no existe"))</f>
        <v/>
      </c>
      <c r="D502" s="18" t="str">
        <f aca="false">IF(B502="","",IFERROR(INDEX(Inventario!$C$7:$C$46,MATCH(B502,Inventario!$A$7:$A$46,0)),""))</f>
        <v/>
      </c>
      <c r="E502" s="19"/>
      <c r="F502" s="19"/>
      <c r="G502" s="20" t="str">
        <f aca="false">IF(OR(E502="",F502=""),IF(B502="","",IF(A502="","",8)),F502-E502)</f>
        <v/>
      </c>
      <c r="H502" s="14"/>
      <c r="I502" s="12"/>
      <c r="J502" s="14"/>
      <c r="K502" s="20" t="str">
        <f aca="false">IF(OR(J502="",N(G502)=0),"",J502/G502)</f>
        <v/>
      </c>
      <c r="L502" s="12"/>
      <c r="M502" s="12"/>
      <c r="N502" s="12"/>
    </row>
    <row r="503" customFormat="false" ht="15" hidden="false" customHeight="false" outlineLevel="0" collapsed="false">
      <c r="A503" s="16"/>
      <c r="B503" s="12"/>
      <c r="C503" s="18" t="str">
        <f aca="false">IF(B503="","",IFERROR(INDEX(Inventario!$B$7:$B$46,MATCH(B503,Inventario!$A$7:$A$46,0)),"Clave no existe"))</f>
        <v/>
      </c>
      <c r="D503" s="18" t="str">
        <f aca="false">IF(B503="","",IFERROR(INDEX(Inventario!$C$7:$C$46,MATCH(B503,Inventario!$A$7:$A$46,0)),""))</f>
        <v/>
      </c>
      <c r="E503" s="19"/>
      <c r="F503" s="19"/>
      <c r="G503" s="20" t="str">
        <f aca="false">IF(OR(E503="",F503=""),IF(B503="","",IF(A503="","",8)),F503-E503)</f>
        <v/>
      </c>
      <c r="H503" s="14"/>
      <c r="I503" s="12"/>
      <c r="J503" s="14"/>
      <c r="K503" s="20" t="str">
        <f aca="false">IF(OR(J503="",N(G503)=0),"",J503/G503)</f>
        <v/>
      </c>
      <c r="L503" s="12"/>
      <c r="M503" s="12"/>
      <c r="N503" s="12"/>
    </row>
    <row r="504" customFormat="false" ht="15" hidden="false" customHeight="false" outlineLevel="0" collapsed="false">
      <c r="A504" s="16"/>
      <c r="B504" s="12"/>
      <c r="C504" s="18" t="str">
        <f aca="false">IF(B504="","",IFERROR(INDEX(Inventario!$B$7:$B$46,MATCH(B504,Inventario!$A$7:$A$46,0)),"Clave no existe"))</f>
        <v/>
      </c>
      <c r="D504" s="18" t="str">
        <f aca="false">IF(B504="","",IFERROR(INDEX(Inventario!$C$7:$C$46,MATCH(B504,Inventario!$A$7:$A$46,0)),""))</f>
        <v/>
      </c>
      <c r="E504" s="19"/>
      <c r="F504" s="19"/>
      <c r="G504" s="20" t="str">
        <f aca="false">IF(OR(E504="",F504=""),IF(B504="","",IF(A504="","",8)),F504-E504)</f>
        <v/>
      </c>
      <c r="H504" s="14"/>
      <c r="I504" s="12"/>
      <c r="J504" s="14"/>
      <c r="K504" s="20" t="str">
        <f aca="false">IF(OR(J504="",N(G504)=0),"",J504/G504)</f>
        <v/>
      </c>
      <c r="L504" s="12"/>
      <c r="M504" s="12"/>
      <c r="N504" s="12"/>
    </row>
    <row r="505" customFormat="false" ht="15" hidden="false" customHeight="false" outlineLevel="0" collapsed="false">
      <c r="A505" s="16"/>
      <c r="B505" s="12"/>
      <c r="C505" s="18" t="str">
        <f aca="false">IF(B505="","",IFERROR(INDEX(Inventario!$B$7:$B$46,MATCH(B505,Inventario!$A$7:$A$46,0)),"Clave no existe"))</f>
        <v/>
      </c>
      <c r="D505" s="18" t="str">
        <f aca="false">IF(B505="","",IFERROR(INDEX(Inventario!$C$7:$C$46,MATCH(B505,Inventario!$A$7:$A$46,0)),""))</f>
        <v/>
      </c>
      <c r="E505" s="19"/>
      <c r="F505" s="19"/>
      <c r="G505" s="20" t="str">
        <f aca="false">IF(OR(E505="",F505=""),IF(B505="","",IF(A505="","",8)),F505-E505)</f>
        <v/>
      </c>
      <c r="H505" s="14"/>
      <c r="I505" s="12"/>
      <c r="J505" s="14"/>
      <c r="K505" s="20" t="str">
        <f aca="false">IF(OR(J505="",N(G505)=0),"",J505/G505)</f>
        <v/>
      </c>
      <c r="L505" s="12"/>
      <c r="M505" s="12"/>
      <c r="N505" s="12"/>
    </row>
    <row r="506" customFormat="false" ht="15" hidden="false" customHeight="false" outlineLevel="0" collapsed="false">
      <c r="A506" s="16"/>
      <c r="B506" s="12"/>
      <c r="C506" s="18" t="str">
        <f aca="false">IF(B506="","",IFERROR(INDEX(Inventario!$B$7:$B$46,MATCH(B506,Inventario!$A$7:$A$46,0)),"Clave no existe"))</f>
        <v/>
      </c>
      <c r="D506" s="18" t="str">
        <f aca="false">IF(B506="","",IFERROR(INDEX(Inventario!$C$7:$C$46,MATCH(B506,Inventario!$A$7:$A$46,0)),""))</f>
        <v/>
      </c>
      <c r="E506" s="19"/>
      <c r="F506" s="19"/>
      <c r="G506" s="20" t="str">
        <f aca="false">IF(OR(E506="",F506=""),IF(B506="","",IF(A506="","",8)),F506-E506)</f>
        <v/>
      </c>
      <c r="H506" s="14"/>
      <c r="I506" s="12"/>
      <c r="J506" s="14"/>
      <c r="K506" s="20" t="str">
        <f aca="false">IF(OR(J506="",N(G506)=0),"",J506/G506)</f>
        <v/>
      </c>
      <c r="L506" s="12"/>
      <c r="M506" s="12"/>
      <c r="N506" s="12"/>
    </row>
    <row r="507" customFormat="false" ht="15" hidden="false" customHeight="false" outlineLevel="0" collapsed="false">
      <c r="A507" s="16"/>
      <c r="B507" s="12"/>
      <c r="C507" s="18" t="str">
        <f aca="false">IF(B507="","",IFERROR(INDEX(Inventario!$B$7:$B$46,MATCH(B507,Inventario!$A$7:$A$46,0)),"Clave no existe"))</f>
        <v/>
      </c>
      <c r="D507" s="18" t="str">
        <f aca="false">IF(B507="","",IFERROR(INDEX(Inventario!$C$7:$C$46,MATCH(B507,Inventario!$A$7:$A$46,0)),""))</f>
        <v/>
      </c>
      <c r="E507" s="19"/>
      <c r="F507" s="19"/>
      <c r="G507" s="20" t="str">
        <f aca="false">IF(OR(E507="",F507=""),IF(B507="","",IF(A507="","",8)),F507-E507)</f>
        <v/>
      </c>
      <c r="H507" s="14"/>
      <c r="I507" s="12"/>
      <c r="J507" s="14"/>
      <c r="K507" s="20" t="str">
        <f aca="false">IF(OR(J507="",N(G507)=0),"",J507/G507)</f>
        <v/>
      </c>
      <c r="L507" s="12"/>
      <c r="M507" s="12"/>
      <c r="N507" s="12"/>
    </row>
    <row r="508" customFormat="false" ht="15" hidden="false" customHeight="false" outlineLevel="0" collapsed="false">
      <c r="A508" s="16"/>
      <c r="B508" s="12"/>
      <c r="C508" s="18" t="str">
        <f aca="false">IF(B508="","",IFERROR(INDEX(Inventario!$B$7:$B$46,MATCH(B508,Inventario!$A$7:$A$46,0)),"Clave no existe"))</f>
        <v/>
      </c>
      <c r="D508" s="18" t="str">
        <f aca="false">IF(B508="","",IFERROR(INDEX(Inventario!$C$7:$C$46,MATCH(B508,Inventario!$A$7:$A$46,0)),""))</f>
        <v/>
      </c>
      <c r="E508" s="19"/>
      <c r="F508" s="19"/>
      <c r="G508" s="20" t="str">
        <f aca="false">IF(OR(E508="",F508=""),IF(B508="","",IF(A508="","",8)),F508-E508)</f>
        <v/>
      </c>
      <c r="H508" s="14"/>
      <c r="I508" s="12"/>
      <c r="J508" s="14"/>
      <c r="K508" s="20" t="str">
        <f aca="false">IF(OR(J508="",N(G508)=0),"",J508/G508)</f>
        <v/>
      </c>
      <c r="L508" s="12"/>
      <c r="M508" s="12"/>
      <c r="N508" s="12"/>
    </row>
    <row r="509" customFormat="false" ht="15" hidden="false" customHeight="false" outlineLevel="0" collapsed="false">
      <c r="A509" s="16"/>
      <c r="B509" s="12"/>
      <c r="C509" s="18" t="str">
        <f aca="false">IF(B509="","",IFERROR(INDEX(Inventario!$B$7:$B$46,MATCH(B509,Inventario!$A$7:$A$46,0)),"Clave no existe"))</f>
        <v/>
      </c>
      <c r="D509" s="18" t="str">
        <f aca="false">IF(B509="","",IFERROR(INDEX(Inventario!$C$7:$C$46,MATCH(B509,Inventario!$A$7:$A$46,0)),""))</f>
        <v/>
      </c>
      <c r="E509" s="19"/>
      <c r="F509" s="19"/>
      <c r="G509" s="20" t="str">
        <f aca="false">IF(OR(E509="",F509=""),IF(B509="","",IF(A509="","",8)),F509-E509)</f>
        <v/>
      </c>
      <c r="H509" s="14"/>
      <c r="I509" s="12"/>
      <c r="J509" s="14"/>
      <c r="K509" s="20" t="str">
        <f aca="false">IF(OR(J509="",N(G509)=0),"",J509/G509)</f>
        <v/>
      </c>
      <c r="L509" s="12"/>
      <c r="M509" s="12"/>
      <c r="N509" s="12"/>
    </row>
    <row r="510" customFormat="false" ht="15" hidden="false" customHeight="false" outlineLevel="0" collapsed="false">
      <c r="A510" s="16"/>
      <c r="B510" s="12"/>
      <c r="C510" s="18" t="str">
        <f aca="false">IF(B510="","",IFERROR(INDEX(Inventario!$B$7:$B$46,MATCH(B510,Inventario!$A$7:$A$46,0)),"Clave no existe"))</f>
        <v/>
      </c>
      <c r="D510" s="18" t="str">
        <f aca="false">IF(B510="","",IFERROR(INDEX(Inventario!$C$7:$C$46,MATCH(B510,Inventario!$A$7:$A$46,0)),""))</f>
        <v/>
      </c>
      <c r="E510" s="19"/>
      <c r="F510" s="19"/>
      <c r="G510" s="20" t="str">
        <f aca="false">IF(OR(E510="",F510=""),IF(B510="","",IF(A510="","",8)),F510-E510)</f>
        <v/>
      </c>
      <c r="H510" s="14"/>
      <c r="I510" s="12"/>
      <c r="J510" s="14"/>
      <c r="K510" s="20" t="str">
        <f aca="false">IF(OR(J510="",N(G510)=0),"",J510/G510)</f>
        <v/>
      </c>
      <c r="L510" s="12"/>
      <c r="M510" s="12"/>
      <c r="N510" s="12"/>
    </row>
    <row r="511" customFormat="false" ht="15" hidden="false" customHeight="false" outlineLevel="0" collapsed="false">
      <c r="A511" s="16"/>
      <c r="B511" s="12"/>
      <c r="C511" s="18" t="str">
        <f aca="false">IF(B511="","",IFERROR(INDEX(Inventario!$B$7:$B$46,MATCH(B511,Inventario!$A$7:$A$46,0)),"Clave no existe"))</f>
        <v/>
      </c>
      <c r="D511" s="18" t="str">
        <f aca="false">IF(B511="","",IFERROR(INDEX(Inventario!$C$7:$C$46,MATCH(B511,Inventario!$A$7:$A$46,0)),""))</f>
        <v/>
      </c>
      <c r="E511" s="19"/>
      <c r="F511" s="19"/>
      <c r="G511" s="20" t="str">
        <f aca="false">IF(OR(E511="",F511=""),IF(B511="","",IF(A511="","",8)),F511-E511)</f>
        <v/>
      </c>
      <c r="H511" s="14"/>
      <c r="I511" s="12"/>
      <c r="J511" s="14"/>
      <c r="K511" s="20" t="str">
        <f aca="false">IF(OR(J511="",N(G511)=0),"",J511/G511)</f>
        <v/>
      </c>
      <c r="L511" s="12"/>
      <c r="M511" s="12"/>
      <c r="N511" s="12"/>
    </row>
    <row r="512" customFormat="false" ht="15" hidden="false" customHeight="false" outlineLevel="0" collapsed="false">
      <c r="A512" s="16"/>
      <c r="B512" s="12"/>
      <c r="C512" s="18" t="str">
        <f aca="false">IF(B512="","",IFERROR(INDEX(Inventario!$B$7:$B$46,MATCH(B512,Inventario!$A$7:$A$46,0)),"Clave no existe"))</f>
        <v/>
      </c>
      <c r="D512" s="18" t="str">
        <f aca="false">IF(B512="","",IFERROR(INDEX(Inventario!$C$7:$C$46,MATCH(B512,Inventario!$A$7:$A$46,0)),""))</f>
        <v/>
      </c>
      <c r="E512" s="19"/>
      <c r="F512" s="19"/>
      <c r="G512" s="20" t="str">
        <f aca="false">IF(OR(E512="",F512=""),IF(B512="","",IF(A512="","",8)),F512-E512)</f>
        <v/>
      </c>
      <c r="H512" s="14"/>
      <c r="I512" s="12"/>
      <c r="J512" s="14"/>
      <c r="K512" s="20" t="str">
        <f aca="false">IF(OR(J512="",N(G512)=0),"",J512/G512)</f>
        <v/>
      </c>
      <c r="L512" s="12"/>
      <c r="M512" s="12"/>
      <c r="N512" s="12"/>
    </row>
    <row r="513" customFormat="false" ht="15" hidden="false" customHeight="false" outlineLevel="0" collapsed="false">
      <c r="A513" s="16"/>
      <c r="B513" s="12"/>
      <c r="C513" s="18" t="str">
        <f aca="false">IF(B513="","",IFERROR(INDEX(Inventario!$B$7:$B$46,MATCH(B513,Inventario!$A$7:$A$46,0)),"Clave no existe"))</f>
        <v/>
      </c>
      <c r="D513" s="18" t="str">
        <f aca="false">IF(B513="","",IFERROR(INDEX(Inventario!$C$7:$C$46,MATCH(B513,Inventario!$A$7:$A$46,0)),""))</f>
        <v/>
      </c>
      <c r="E513" s="19"/>
      <c r="F513" s="19"/>
      <c r="G513" s="20" t="str">
        <f aca="false">IF(OR(E513="",F513=""),IF(B513="","",IF(A513="","",8)),F513-E513)</f>
        <v/>
      </c>
      <c r="H513" s="14"/>
      <c r="I513" s="12"/>
      <c r="J513" s="14"/>
      <c r="K513" s="20" t="str">
        <f aca="false">IF(OR(J513="",N(G513)=0),"",J513/G513)</f>
        <v/>
      </c>
      <c r="L513" s="12"/>
      <c r="M513" s="12"/>
      <c r="N513" s="12"/>
    </row>
    <row r="514" customFormat="false" ht="15" hidden="false" customHeight="false" outlineLevel="0" collapsed="false">
      <c r="A514" s="16"/>
      <c r="B514" s="12"/>
      <c r="C514" s="18" t="str">
        <f aca="false">IF(B514="","",IFERROR(INDEX(Inventario!$B$7:$B$46,MATCH(B514,Inventario!$A$7:$A$46,0)),"Clave no existe"))</f>
        <v/>
      </c>
      <c r="D514" s="18" t="str">
        <f aca="false">IF(B514="","",IFERROR(INDEX(Inventario!$C$7:$C$46,MATCH(B514,Inventario!$A$7:$A$46,0)),""))</f>
        <v/>
      </c>
      <c r="E514" s="19"/>
      <c r="F514" s="19"/>
      <c r="G514" s="20" t="str">
        <f aca="false">IF(OR(E514="",F514=""),IF(B514="","",IF(A514="","",8)),F514-E514)</f>
        <v/>
      </c>
      <c r="H514" s="14"/>
      <c r="I514" s="12"/>
      <c r="J514" s="14"/>
      <c r="K514" s="20" t="str">
        <f aca="false">IF(OR(J514="",N(G514)=0),"",J514/G514)</f>
        <v/>
      </c>
      <c r="L514" s="12"/>
      <c r="M514" s="12"/>
      <c r="N514" s="12"/>
    </row>
    <row r="515" customFormat="false" ht="15" hidden="false" customHeight="false" outlineLevel="0" collapsed="false">
      <c r="A515" s="16"/>
      <c r="B515" s="12"/>
      <c r="C515" s="18" t="str">
        <f aca="false">IF(B515="","",IFERROR(INDEX(Inventario!$B$7:$B$46,MATCH(B515,Inventario!$A$7:$A$46,0)),"Clave no existe"))</f>
        <v/>
      </c>
      <c r="D515" s="18" t="str">
        <f aca="false">IF(B515="","",IFERROR(INDEX(Inventario!$C$7:$C$46,MATCH(B515,Inventario!$A$7:$A$46,0)),""))</f>
        <v/>
      </c>
      <c r="E515" s="19"/>
      <c r="F515" s="19"/>
      <c r="G515" s="20" t="str">
        <f aca="false">IF(OR(E515="",F515=""),IF(B515="","",IF(A515="","",8)),F515-E515)</f>
        <v/>
      </c>
      <c r="H515" s="14"/>
      <c r="I515" s="12"/>
      <c r="J515" s="14"/>
      <c r="K515" s="20" t="str">
        <f aca="false">IF(OR(J515="",N(G515)=0),"",J515/G515)</f>
        <v/>
      </c>
      <c r="L515" s="12"/>
      <c r="M515" s="12"/>
      <c r="N515" s="12"/>
    </row>
    <row r="516" customFormat="false" ht="15" hidden="false" customHeight="false" outlineLevel="0" collapsed="false">
      <c r="A516" s="16"/>
      <c r="B516" s="12"/>
      <c r="C516" s="18" t="str">
        <f aca="false">IF(B516="","",IFERROR(INDEX(Inventario!$B$7:$B$46,MATCH(B516,Inventario!$A$7:$A$46,0)),"Clave no existe"))</f>
        <v/>
      </c>
      <c r="D516" s="18" t="str">
        <f aca="false">IF(B516="","",IFERROR(INDEX(Inventario!$C$7:$C$46,MATCH(B516,Inventario!$A$7:$A$46,0)),""))</f>
        <v/>
      </c>
      <c r="E516" s="19"/>
      <c r="F516" s="19"/>
      <c r="G516" s="20" t="str">
        <f aca="false">IF(OR(E516="",F516=""),IF(B516="","",IF(A516="","",8)),F516-E516)</f>
        <v/>
      </c>
      <c r="H516" s="14"/>
      <c r="I516" s="12"/>
      <c r="J516" s="14"/>
      <c r="K516" s="20" t="str">
        <f aca="false">IF(OR(J516="",N(G516)=0),"",J516/G516)</f>
        <v/>
      </c>
      <c r="L516" s="12"/>
      <c r="M516" s="12"/>
      <c r="N516" s="12"/>
    </row>
    <row r="517" customFormat="false" ht="15" hidden="false" customHeight="false" outlineLevel="0" collapsed="false">
      <c r="A517" s="16"/>
      <c r="B517" s="12"/>
      <c r="C517" s="18" t="str">
        <f aca="false">IF(B517="","",IFERROR(INDEX(Inventario!$B$7:$B$46,MATCH(B517,Inventario!$A$7:$A$46,0)),"Clave no existe"))</f>
        <v/>
      </c>
      <c r="D517" s="18" t="str">
        <f aca="false">IF(B517="","",IFERROR(INDEX(Inventario!$C$7:$C$46,MATCH(B517,Inventario!$A$7:$A$46,0)),""))</f>
        <v/>
      </c>
      <c r="E517" s="19"/>
      <c r="F517" s="19"/>
      <c r="G517" s="20" t="str">
        <f aca="false">IF(OR(E517="",F517=""),IF(B517="","",IF(A517="","",8)),F517-E517)</f>
        <v/>
      </c>
      <c r="H517" s="14"/>
      <c r="I517" s="12"/>
      <c r="J517" s="14"/>
      <c r="K517" s="20" t="str">
        <f aca="false">IF(OR(J517="",N(G517)=0),"",J517/G517)</f>
        <v/>
      </c>
      <c r="L517" s="12"/>
      <c r="M517" s="12"/>
      <c r="N517" s="12"/>
    </row>
    <row r="518" customFormat="false" ht="15" hidden="false" customHeight="false" outlineLevel="0" collapsed="false">
      <c r="A518" s="16"/>
      <c r="B518" s="12"/>
      <c r="C518" s="18" t="str">
        <f aca="false">IF(B518="","",IFERROR(INDEX(Inventario!$B$7:$B$46,MATCH(B518,Inventario!$A$7:$A$46,0)),"Clave no existe"))</f>
        <v/>
      </c>
      <c r="D518" s="18" t="str">
        <f aca="false">IF(B518="","",IFERROR(INDEX(Inventario!$C$7:$C$46,MATCH(B518,Inventario!$A$7:$A$46,0)),""))</f>
        <v/>
      </c>
      <c r="E518" s="19"/>
      <c r="F518" s="19"/>
      <c r="G518" s="20" t="str">
        <f aca="false">IF(OR(E518="",F518=""),IF(B518="","",IF(A518="","",8)),F518-E518)</f>
        <v/>
      </c>
      <c r="H518" s="14"/>
      <c r="I518" s="12"/>
      <c r="J518" s="14"/>
      <c r="K518" s="20" t="str">
        <f aca="false">IF(OR(J518="",N(G518)=0),"",J518/G518)</f>
        <v/>
      </c>
      <c r="L518" s="12"/>
      <c r="M518" s="12"/>
      <c r="N518" s="12"/>
    </row>
    <row r="519" customFormat="false" ht="15" hidden="false" customHeight="false" outlineLevel="0" collapsed="false">
      <c r="A519" s="16"/>
      <c r="B519" s="12"/>
      <c r="C519" s="18" t="str">
        <f aca="false">IF(B519="","",IFERROR(INDEX(Inventario!$B$7:$B$46,MATCH(B519,Inventario!$A$7:$A$46,0)),"Clave no existe"))</f>
        <v/>
      </c>
      <c r="D519" s="18" t="str">
        <f aca="false">IF(B519="","",IFERROR(INDEX(Inventario!$C$7:$C$46,MATCH(B519,Inventario!$A$7:$A$46,0)),""))</f>
        <v/>
      </c>
      <c r="E519" s="19"/>
      <c r="F519" s="19"/>
      <c r="G519" s="20" t="str">
        <f aca="false">IF(OR(E519="",F519=""),IF(B519="","",IF(A519="","",8)),F519-E519)</f>
        <v/>
      </c>
      <c r="H519" s="14"/>
      <c r="I519" s="12"/>
      <c r="J519" s="14"/>
      <c r="K519" s="20" t="str">
        <f aca="false">IF(OR(J519="",N(G519)=0),"",J519/G519)</f>
        <v/>
      </c>
      <c r="L519" s="12"/>
      <c r="M519" s="12"/>
      <c r="N519" s="12"/>
    </row>
    <row r="520" customFormat="false" ht="15" hidden="false" customHeight="false" outlineLevel="0" collapsed="false">
      <c r="A520" s="16"/>
      <c r="B520" s="12"/>
      <c r="C520" s="18" t="str">
        <f aca="false">IF(B520="","",IFERROR(INDEX(Inventario!$B$7:$B$46,MATCH(B520,Inventario!$A$7:$A$46,0)),"Clave no existe"))</f>
        <v/>
      </c>
      <c r="D520" s="18" t="str">
        <f aca="false">IF(B520="","",IFERROR(INDEX(Inventario!$C$7:$C$46,MATCH(B520,Inventario!$A$7:$A$46,0)),""))</f>
        <v/>
      </c>
      <c r="E520" s="19"/>
      <c r="F520" s="19"/>
      <c r="G520" s="20" t="str">
        <f aca="false">IF(OR(E520="",F520=""),IF(B520="","",IF(A520="","",8)),F520-E520)</f>
        <v/>
      </c>
      <c r="H520" s="14"/>
      <c r="I520" s="12"/>
      <c r="J520" s="14"/>
      <c r="K520" s="20" t="str">
        <f aca="false">IF(OR(J520="",N(G520)=0),"",J520/G520)</f>
        <v/>
      </c>
      <c r="L520" s="12"/>
      <c r="M520" s="12"/>
      <c r="N520" s="12"/>
    </row>
    <row r="521" customFormat="false" ht="15" hidden="false" customHeight="false" outlineLevel="0" collapsed="false">
      <c r="A521" s="16"/>
      <c r="B521" s="12"/>
      <c r="C521" s="18" t="str">
        <f aca="false">IF(B521="","",IFERROR(INDEX(Inventario!$B$7:$B$46,MATCH(B521,Inventario!$A$7:$A$46,0)),"Clave no existe"))</f>
        <v/>
      </c>
      <c r="D521" s="18" t="str">
        <f aca="false">IF(B521="","",IFERROR(INDEX(Inventario!$C$7:$C$46,MATCH(B521,Inventario!$A$7:$A$46,0)),""))</f>
        <v/>
      </c>
      <c r="E521" s="19"/>
      <c r="F521" s="19"/>
      <c r="G521" s="20" t="str">
        <f aca="false">IF(OR(E521="",F521=""),IF(B521="","",IF(A521="","",8)),F521-E521)</f>
        <v/>
      </c>
      <c r="H521" s="14"/>
      <c r="I521" s="12"/>
      <c r="J521" s="14"/>
      <c r="K521" s="20" t="str">
        <f aca="false">IF(OR(J521="",N(G521)=0),"",J521/G521)</f>
        <v/>
      </c>
      <c r="L521" s="12"/>
      <c r="M521" s="12"/>
      <c r="N521" s="12"/>
    </row>
    <row r="522" customFormat="false" ht="15" hidden="false" customHeight="false" outlineLevel="0" collapsed="false">
      <c r="A522" s="16"/>
      <c r="B522" s="12"/>
      <c r="C522" s="18" t="str">
        <f aca="false">IF(B522="","",IFERROR(INDEX(Inventario!$B$7:$B$46,MATCH(B522,Inventario!$A$7:$A$46,0)),"Clave no existe"))</f>
        <v/>
      </c>
      <c r="D522" s="18" t="str">
        <f aca="false">IF(B522="","",IFERROR(INDEX(Inventario!$C$7:$C$46,MATCH(B522,Inventario!$A$7:$A$46,0)),""))</f>
        <v/>
      </c>
      <c r="E522" s="19"/>
      <c r="F522" s="19"/>
      <c r="G522" s="20" t="str">
        <f aca="false">IF(OR(E522="",F522=""),IF(B522="","",IF(A522="","",8)),F522-E522)</f>
        <v/>
      </c>
      <c r="H522" s="14"/>
      <c r="I522" s="12"/>
      <c r="J522" s="14"/>
      <c r="K522" s="20" t="str">
        <f aca="false">IF(OR(J522="",N(G522)=0),"",J522/G522)</f>
        <v/>
      </c>
      <c r="L522" s="12"/>
      <c r="M522" s="12"/>
      <c r="N522" s="12"/>
    </row>
    <row r="523" customFormat="false" ht="15" hidden="false" customHeight="false" outlineLevel="0" collapsed="false">
      <c r="A523" s="16"/>
      <c r="B523" s="12"/>
      <c r="C523" s="18" t="str">
        <f aca="false">IF(B523="","",IFERROR(INDEX(Inventario!$B$7:$B$46,MATCH(B523,Inventario!$A$7:$A$46,0)),"Clave no existe"))</f>
        <v/>
      </c>
      <c r="D523" s="18" t="str">
        <f aca="false">IF(B523="","",IFERROR(INDEX(Inventario!$C$7:$C$46,MATCH(B523,Inventario!$A$7:$A$46,0)),""))</f>
        <v/>
      </c>
      <c r="E523" s="19"/>
      <c r="F523" s="19"/>
      <c r="G523" s="20" t="str">
        <f aca="false">IF(OR(E523="",F523=""),IF(B523="","",IF(A523="","",8)),F523-E523)</f>
        <v/>
      </c>
      <c r="H523" s="14"/>
      <c r="I523" s="12"/>
      <c r="J523" s="14"/>
      <c r="K523" s="20" t="str">
        <f aca="false">IF(OR(J523="",N(G523)=0),"",J523/G523)</f>
        <v/>
      </c>
      <c r="L523" s="12"/>
      <c r="M523" s="12"/>
      <c r="N523" s="12"/>
    </row>
    <row r="524" customFormat="false" ht="15" hidden="false" customHeight="false" outlineLevel="0" collapsed="false">
      <c r="A524" s="16"/>
      <c r="B524" s="12"/>
      <c r="C524" s="18" t="str">
        <f aca="false">IF(B524="","",IFERROR(INDEX(Inventario!$B$7:$B$46,MATCH(B524,Inventario!$A$7:$A$46,0)),"Clave no existe"))</f>
        <v/>
      </c>
      <c r="D524" s="18" t="str">
        <f aca="false">IF(B524="","",IFERROR(INDEX(Inventario!$C$7:$C$46,MATCH(B524,Inventario!$A$7:$A$46,0)),""))</f>
        <v/>
      </c>
      <c r="E524" s="19"/>
      <c r="F524" s="19"/>
      <c r="G524" s="20" t="str">
        <f aca="false">IF(OR(E524="",F524=""),IF(B524="","",IF(A524="","",8)),F524-E524)</f>
        <v/>
      </c>
      <c r="H524" s="14"/>
      <c r="I524" s="12"/>
      <c r="J524" s="14"/>
      <c r="K524" s="20" t="str">
        <f aca="false">IF(OR(J524="",N(G524)=0),"",J524/G524)</f>
        <v/>
      </c>
      <c r="L524" s="12"/>
      <c r="M524" s="12"/>
      <c r="N524" s="12"/>
    </row>
    <row r="525" customFormat="false" ht="15" hidden="false" customHeight="false" outlineLevel="0" collapsed="false">
      <c r="A525" s="16"/>
      <c r="B525" s="12"/>
      <c r="C525" s="18" t="str">
        <f aca="false">IF(B525="","",IFERROR(INDEX(Inventario!$B$7:$B$46,MATCH(B525,Inventario!$A$7:$A$46,0)),"Clave no existe"))</f>
        <v/>
      </c>
      <c r="D525" s="18" t="str">
        <f aca="false">IF(B525="","",IFERROR(INDEX(Inventario!$C$7:$C$46,MATCH(B525,Inventario!$A$7:$A$46,0)),""))</f>
        <v/>
      </c>
      <c r="E525" s="19"/>
      <c r="F525" s="19"/>
      <c r="G525" s="20" t="str">
        <f aca="false">IF(OR(E525="",F525=""),IF(B525="","",IF(A525="","",8)),F525-E525)</f>
        <v/>
      </c>
      <c r="H525" s="14"/>
      <c r="I525" s="12"/>
      <c r="J525" s="14"/>
      <c r="K525" s="20" t="str">
        <f aca="false">IF(OR(J525="",N(G525)=0),"",J525/G525)</f>
        <v/>
      </c>
      <c r="L525" s="12"/>
      <c r="M525" s="12"/>
      <c r="N525" s="12"/>
    </row>
    <row r="526" customFormat="false" ht="15" hidden="false" customHeight="false" outlineLevel="0" collapsed="false">
      <c r="A526" s="16"/>
      <c r="B526" s="12"/>
      <c r="C526" s="18" t="str">
        <f aca="false">IF(B526="","",IFERROR(INDEX(Inventario!$B$7:$B$46,MATCH(B526,Inventario!$A$7:$A$46,0)),"Clave no existe"))</f>
        <v/>
      </c>
      <c r="D526" s="18" t="str">
        <f aca="false">IF(B526="","",IFERROR(INDEX(Inventario!$C$7:$C$46,MATCH(B526,Inventario!$A$7:$A$46,0)),""))</f>
        <v/>
      </c>
      <c r="E526" s="19"/>
      <c r="F526" s="19"/>
      <c r="G526" s="20" t="str">
        <f aca="false">IF(OR(E526="",F526=""),IF(B526="","",IF(A526="","",8)),F526-E526)</f>
        <v/>
      </c>
      <c r="H526" s="14"/>
      <c r="I526" s="12"/>
      <c r="J526" s="14"/>
      <c r="K526" s="20" t="str">
        <f aca="false">IF(OR(J526="",N(G526)=0),"",J526/G526)</f>
        <v/>
      </c>
      <c r="L526" s="12"/>
      <c r="M526" s="12"/>
      <c r="N526" s="12"/>
    </row>
    <row r="527" customFormat="false" ht="15" hidden="false" customHeight="false" outlineLevel="0" collapsed="false">
      <c r="A527" s="16"/>
      <c r="B527" s="12"/>
      <c r="C527" s="18" t="str">
        <f aca="false">IF(B527="","",IFERROR(INDEX(Inventario!$B$7:$B$46,MATCH(B527,Inventario!$A$7:$A$46,0)),"Clave no existe"))</f>
        <v/>
      </c>
      <c r="D527" s="18" t="str">
        <f aca="false">IF(B527="","",IFERROR(INDEX(Inventario!$C$7:$C$46,MATCH(B527,Inventario!$A$7:$A$46,0)),""))</f>
        <v/>
      </c>
      <c r="E527" s="19"/>
      <c r="F527" s="19"/>
      <c r="G527" s="20" t="str">
        <f aca="false">IF(OR(E527="",F527=""),IF(B527="","",IF(A527="","",8)),F527-E527)</f>
        <v/>
      </c>
      <c r="H527" s="14"/>
      <c r="I527" s="12"/>
      <c r="J527" s="14"/>
      <c r="K527" s="20" t="str">
        <f aca="false">IF(OR(J527="",N(G527)=0),"",J527/G527)</f>
        <v/>
      </c>
      <c r="L527" s="12"/>
      <c r="M527" s="12"/>
      <c r="N527" s="12"/>
    </row>
    <row r="528" customFormat="false" ht="15" hidden="false" customHeight="false" outlineLevel="0" collapsed="false">
      <c r="A528" s="16"/>
      <c r="B528" s="12"/>
      <c r="C528" s="18" t="str">
        <f aca="false">IF(B528="","",IFERROR(INDEX(Inventario!$B$7:$B$46,MATCH(B528,Inventario!$A$7:$A$46,0)),"Clave no existe"))</f>
        <v/>
      </c>
      <c r="D528" s="18" t="str">
        <f aca="false">IF(B528="","",IFERROR(INDEX(Inventario!$C$7:$C$46,MATCH(B528,Inventario!$A$7:$A$46,0)),""))</f>
        <v/>
      </c>
      <c r="E528" s="19"/>
      <c r="F528" s="19"/>
      <c r="G528" s="20" t="str">
        <f aca="false">IF(OR(E528="",F528=""),IF(B528="","",IF(A528="","",8)),F528-E528)</f>
        <v/>
      </c>
      <c r="H528" s="14"/>
      <c r="I528" s="12"/>
      <c r="J528" s="14"/>
      <c r="K528" s="20" t="str">
        <f aca="false">IF(OR(J528="",N(G528)=0),"",J528/G528)</f>
        <v/>
      </c>
      <c r="L528" s="12"/>
      <c r="M528" s="12"/>
      <c r="N528" s="12"/>
    </row>
    <row r="529" customFormat="false" ht="15" hidden="false" customHeight="false" outlineLevel="0" collapsed="false">
      <c r="A529" s="16"/>
      <c r="B529" s="12"/>
      <c r="C529" s="18" t="str">
        <f aca="false">IF(B529="","",IFERROR(INDEX(Inventario!$B$7:$B$46,MATCH(B529,Inventario!$A$7:$A$46,0)),"Clave no existe"))</f>
        <v/>
      </c>
      <c r="D529" s="18" t="str">
        <f aca="false">IF(B529="","",IFERROR(INDEX(Inventario!$C$7:$C$46,MATCH(B529,Inventario!$A$7:$A$46,0)),""))</f>
        <v/>
      </c>
      <c r="E529" s="19"/>
      <c r="F529" s="19"/>
      <c r="G529" s="20" t="str">
        <f aca="false">IF(OR(E529="",F529=""),IF(B529="","",IF(A529="","",8)),F529-E529)</f>
        <v/>
      </c>
      <c r="H529" s="14"/>
      <c r="I529" s="12"/>
      <c r="J529" s="14"/>
      <c r="K529" s="20" t="str">
        <f aca="false">IF(OR(J529="",N(G529)=0),"",J529/G529)</f>
        <v/>
      </c>
      <c r="L529" s="12"/>
      <c r="M529" s="12"/>
      <c r="N529" s="12"/>
    </row>
    <row r="530" customFormat="false" ht="15" hidden="false" customHeight="false" outlineLevel="0" collapsed="false">
      <c r="A530" s="16"/>
      <c r="B530" s="12"/>
      <c r="C530" s="18" t="str">
        <f aca="false">IF(B530="","",IFERROR(INDEX(Inventario!$B$7:$B$46,MATCH(B530,Inventario!$A$7:$A$46,0)),"Clave no existe"))</f>
        <v/>
      </c>
      <c r="D530" s="18" t="str">
        <f aca="false">IF(B530="","",IFERROR(INDEX(Inventario!$C$7:$C$46,MATCH(B530,Inventario!$A$7:$A$46,0)),""))</f>
        <v/>
      </c>
      <c r="E530" s="19"/>
      <c r="F530" s="19"/>
      <c r="G530" s="20" t="str">
        <f aca="false">IF(OR(E530="",F530=""),IF(B530="","",IF(A530="","",8)),F530-E530)</f>
        <v/>
      </c>
      <c r="H530" s="14"/>
      <c r="I530" s="12"/>
      <c r="J530" s="14"/>
      <c r="K530" s="20" t="str">
        <f aca="false">IF(OR(J530="",N(G530)=0),"",J530/G530)</f>
        <v/>
      </c>
      <c r="L530" s="12"/>
      <c r="M530" s="12"/>
      <c r="N530" s="12"/>
    </row>
    <row r="531" customFormat="false" ht="15" hidden="false" customHeight="false" outlineLevel="0" collapsed="false">
      <c r="A531" s="16"/>
      <c r="B531" s="12"/>
      <c r="C531" s="18" t="str">
        <f aca="false">IF(B531="","",IFERROR(INDEX(Inventario!$B$7:$B$46,MATCH(B531,Inventario!$A$7:$A$46,0)),"Clave no existe"))</f>
        <v/>
      </c>
      <c r="D531" s="18" t="str">
        <f aca="false">IF(B531="","",IFERROR(INDEX(Inventario!$C$7:$C$46,MATCH(B531,Inventario!$A$7:$A$46,0)),""))</f>
        <v/>
      </c>
      <c r="E531" s="19"/>
      <c r="F531" s="19"/>
      <c r="G531" s="20" t="str">
        <f aca="false">IF(OR(E531="",F531=""),IF(B531="","",IF(A531="","",8)),F531-E531)</f>
        <v/>
      </c>
      <c r="H531" s="14"/>
      <c r="I531" s="12"/>
      <c r="J531" s="14"/>
      <c r="K531" s="20" t="str">
        <f aca="false">IF(OR(J531="",N(G531)=0),"",J531/G531)</f>
        <v/>
      </c>
      <c r="L531" s="12"/>
      <c r="M531" s="12"/>
      <c r="N531" s="12"/>
    </row>
    <row r="532" customFormat="false" ht="15" hidden="false" customHeight="false" outlineLevel="0" collapsed="false">
      <c r="A532" s="16"/>
      <c r="B532" s="12"/>
      <c r="C532" s="18" t="str">
        <f aca="false">IF(B532="","",IFERROR(INDEX(Inventario!$B$7:$B$46,MATCH(B532,Inventario!$A$7:$A$46,0)),"Clave no existe"))</f>
        <v/>
      </c>
      <c r="D532" s="18" t="str">
        <f aca="false">IF(B532="","",IFERROR(INDEX(Inventario!$C$7:$C$46,MATCH(B532,Inventario!$A$7:$A$46,0)),""))</f>
        <v/>
      </c>
      <c r="E532" s="19"/>
      <c r="F532" s="19"/>
      <c r="G532" s="20" t="str">
        <f aca="false">IF(OR(E532="",F532=""),IF(B532="","",IF(A532="","",8)),F532-E532)</f>
        <v/>
      </c>
      <c r="H532" s="14"/>
      <c r="I532" s="12"/>
      <c r="J532" s="14"/>
      <c r="K532" s="20" t="str">
        <f aca="false">IF(OR(J532="",N(G532)=0),"",J532/G532)</f>
        <v/>
      </c>
      <c r="L532" s="12"/>
      <c r="M532" s="12"/>
      <c r="N532" s="12"/>
    </row>
    <row r="533" customFormat="false" ht="15" hidden="false" customHeight="false" outlineLevel="0" collapsed="false">
      <c r="A533" s="16"/>
      <c r="B533" s="12"/>
      <c r="C533" s="18" t="str">
        <f aca="false">IF(B533="","",IFERROR(INDEX(Inventario!$B$7:$B$46,MATCH(B533,Inventario!$A$7:$A$46,0)),"Clave no existe"))</f>
        <v/>
      </c>
      <c r="D533" s="18" t="str">
        <f aca="false">IF(B533="","",IFERROR(INDEX(Inventario!$C$7:$C$46,MATCH(B533,Inventario!$A$7:$A$46,0)),""))</f>
        <v/>
      </c>
      <c r="E533" s="19"/>
      <c r="F533" s="19"/>
      <c r="G533" s="20" t="str">
        <f aca="false">IF(OR(E533="",F533=""),IF(B533="","",IF(A533="","",8)),F533-E533)</f>
        <v/>
      </c>
      <c r="H533" s="14"/>
      <c r="I533" s="12"/>
      <c r="J533" s="14"/>
      <c r="K533" s="20" t="str">
        <f aca="false">IF(OR(J533="",N(G533)=0),"",J533/G533)</f>
        <v/>
      </c>
      <c r="L533" s="12"/>
      <c r="M533" s="12"/>
      <c r="N533" s="12"/>
    </row>
    <row r="534" customFormat="false" ht="15" hidden="false" customHeight="false" outlineLevel="0" collapsed="false">
      <c r="A534" s="16"/>
      <c r="B534" s="12"/>
      <c r="C534" s="18" t="str">
        <f aca="false">IF(B534="","",IFERROR(INDEX(Inventario!$B$7:$B$46,MATCH(B534,Inventario!$A$7:$A$46,0)),"Clave no existe"))</f>
        <v/>
      </c>
      <c r="D534" s="18" t="str">
        <f aca="false">IF(B534="","",IFERROR(INDEX(Inventario!$C$7:$C$46,MATCH(B534,Inventario!$A$7:$A$46,0)),""))</f>
        <v/>
      </c>
      <c r="E534" s="19"/>
      <c r="F534" s="19"/>
      <c r="G534" s="20" t="str">
        <f aca="false">IF(OR(E534="",F534=""),IF(B534="","",IF(A534="","",8)),F534-E534)</f>
        <v/>
      </c>
      <c r="H534" s="14"/>
      <c r="I534" s="12"/>
      <c r="J534" s="14"/>
      <c r="K534" s="20" t="str">
        <f aca="false">IF(OR(J534="",N(G534)=0),"",J534/G534)</f>
        <v/>
      </c>
      <c r="L534" s="12"/>
      <c r="M534" s="12"/>
      <c r="N534" s="12"/>
    </row>
    <row r="535" customFormat="false" ht="15" hidden="false" customHeight="false" outlineLevel="0" collapsed="false">
      <c r="A535" s="16"/>
      <c r="B535" s="12"/>
      <c r="C535" s="18" t="str">
        <f aca="false">IF(B535="","",IFERROR(INDEX(Inventario!$B$7:$B$46,MATCH(B535,Inventario!$A$7:$A$46,0)),"Clave no existe"))</f>
        <v/>
      </c>
      <c r="D535" s="18" t="str">
        <f aca="false">IF(B535="","",IFERROR(INDEX(Inventario!$C$7:$C$46,MATCH(B535,Inventario!$A$7:$A$46,0)),""))</f>
        <v/>
      </c>
      <c r="E535" s="19"/>
      <c r="F535" s="19"/>
      <c r="G535" s="20" t="str">
        <f aca="false">IF(OR(E535="",F535=""),IF(B535="","",IF(A535="","",8)),F535-E535)</f>
        <v/>
      </c>
      <c r="H535" s="14"/>
      <c r="I535" s="12"/>
      <c r="J535" s="14"/>
      <c r="K535" s="20" t="str">
        <f aca="false">IF(OR(J535="",N(G535)=0),"",J535/G535)</f>
        <v/>
      </c>
      <c r="L535" s="12"/>
      <c r="M535" s="12"/>
      <c r="N535" s="12"/>
    </row>
    <row r="536" customFormat="false" ht="15" hidden="false" customHeight="false" outlineLevel="0" collapsed="false">
      <c r="A536" s="16"/>
      <c r="B536" s="12"/>
      <c r="C536" s="18" t="str">
        <f aca="false">IF(B536="","",IFERROR(INDEX(Inventario!$B$7:$B$46,MATCH(B536,Inventario!$A$7:$A$46,0)),"Clave no existe"))</f>
        <v/>
      </c>
      <c r="D536" s="18" t="str">
        <f aca="false">IF(B536="","",IFERROR(INDEX(Inventario!$C$7:$C$46,MATCH(B536,Inventario!$A$7:$A$46,0)),""))</f>
        <v/>
      </c>
      <c r="E536" s="19"/>
      <c r="F536" s="19"/>
      <c r="G536" s="20" t="str">
        <f aca="false">IF(OR(E536="",F536=""),IF(B536="","",IF(A536="","",8)),F536-E536)</f>
        <v/>
      </c>
      <c r="H536" s="14"/>
      <c r="I536" s="12"/>
      <c r="J536" s="14"/>
      <c r="K536" s="20" t="str">
        <f aca="false">IF(OR(J536="",N(G536)=0),"",J536/G536)</f>
        <v/>
      </c>
      <c r="L536" s="12"/>
      <c r="M536" s="12"/>
      <c r="N536" s="12"/>
    </row>
    <row r="537" customFormat="false" ht="15" hidden="false" customHeight="false" outlineLevel="0" collapsed="false">
      <c r="A537" s="16"/>
      <c r="B537" s="12"/>
      <c r="C537" s="18" t="str">
        <f aca="false">IF(B537="","",IFERROR(INDEX(Inventario!$B$7:$B$46,MATCH(B537,Inventario!$A$7:$A$46,0)),"Clave no existe"))</f>
        <v/>
      </c>
      <c r="D537" s="18" t="str">
        <f aca="false">IF(B537="","",IFERROR(INDEX(Inventario!$C$7:$C$46,MATCH(B537,Inventario!$A$7:$A$46,0)),""))</f>
        <v/>
      </c>
      <c r="E537" s="19"/>
      <c r="F537" s="19"/>
      <c r="G537" s="20" t="str">
        <f aca="false">IF(OR(E537="",F537=""),IF(B537="","",IF(A537="","",8)),F537-E537)</f>
        <v/>
      </c>
      <c r="H537" s="14"/>
      <c r="I537" s="12"/>
      <c r="J537" s="14"/>
      <c r="K537" s="20" t="str">
        <f aca="false">IF(OR(J537="",N(G537)=0),"",J537/G537)</f>
        <v/>
      </c>
      <c r="L537" s="12"/>
      <c r="M537" s="12"/>
      <c r="N537" s="12"/>
    </row>
    <row r="538" customFormat="false" ht="15" hidden="false" customHeight="false" outlineLevel="0" collapsed="false">
      <c r="A538" s="16"/>
      <c r="B538" s="12"/>
      <c r="C538" s="18" t="str">
        <f aca="false">IF(B538="","",IFERROR(INDEX(Inventario!$B$7:$B$46,MATCH(B538,Inventario!$A$7:$A$46,0)),"Clave no existe"))</f>
        <v/>
      </c>
      <c r="D538" s="18" t="str">
        <f aca="false">IF(B538="","",IFERROR(INDEX(Inventario!$C$7:$C$46,MATCH(B538,Inventario!$A$7:$A$46,0)),""))</f>
        <v/>
      </c>
      <c r="E538" s="19"/>
      <c r="F538" s="19"/>
      <c r="G538" s="20" t="str">
        <f aca="false">IF(OR(E538="",F538=""),IF(B538="","",IF(A538="","",8)),F538-E538)</f>
        <v/>
      </c>
      <c r="H538" s="14"/>
      <c r="I538" s="12"/>
      <c r="J538" s="14"/>
      <c r="K538" s="20" t="str">
        <f aca="false">IF(OR(J538="",N(G538)=0),"",J538/G538)</f>
        <v/>
      </c>
      <c r="L538" s="12"/>
      <c r="M538" s="12"/>
      <c r="N538" s="12"/>
    </row>
    <row r="539" customFormat="false" ht="15" hidden="false" customHeight="false" outlineLevel="0" collapsed="false">
      <c r="A539" s="16"/>
      <c r="B539" s="12"/>
      <c r="C539" s="18" t="str">
        <f aca="false">IF(B539="","",IFERROR(INDEX(Inventario!$B$7:$B$46,MATCH(B539,Inventario!$A$7:$A$46,0)),"Clave no existe"))</f>
        <v/>
      </c>
      <c r="D539" s="18" t="str">
        <f aca="false">IF(B539="","",IFERROR(INDEX(Inventario!$C$7:$C$46,MATCH(B539,Inventario!$A$7:$A$46,0)),""))</f>
        <v/>
      </c>
      <c r="E539" s="19"/>
      <c r="F539" s="19"/>
      <c r="G539" s="20" t="str">
        <f aca="false">IF(OR(E539="",F539=""),IF(B539="","",IF(A539="","",8)),F539-E539)</f>
        <v/>
      </c>
      <c r="H539" s="14"/>
      <c r="I539" s="12"/>
      <c r="J539" s="14"/>
      <c r="K539" s="20" t="str">
        <f aca="false">IF(OR(J539="",N(G539)=0),"",J539/G539)</f>
        <v/>
      </c>
      <c r="L539" s="12"/>
      <c r="M539" s="12"/>
      <c r="N539" s="12"/>
    </row>
    <row r="540" customFormat="false" ht="15" hidden="false" customHeight="false" outlineLevel="0" collapsed="false">
      <c r="A540" s="16"/>
      <c r="B540" s="12"/>
      <c r="C540" s="18" t="str">
        <f aca="false">IF(B540="","",IFERROR(INDEX(Inventario!$B$7:$B$46,MATCH(B540,Inventario!$A$7:$A$46,0)),"Clave no existe"))</f>
        <v/>
      </c>
      <c r="D540" s="18" t="str">
        <f aca="false">IF(B540="","",IFERROR(INDEX(Inventario!$C$7:$C$46,MATCH(B540,Inventario!$A$7:$A$46,0)),""))</f>
        <v/>
      </c>
      <c r="E540" s="19"/>
      <c r="F540" s="19"/>
      <c r="G540" s="20" t="str">
        <f aca="false">IF(OR(E540="",F540=""),IF(B540="","",IF(A540="","",8)),F540-E540)</f>
        <v/>
      </c>
      <c r="H540" s="14"/>
      <c r="I540" s="12"/>
      <c r="J540" s="14"/>
      <c r="K540" s="20" t="str">
        <f aca="false">IF(OR(J540="",N(G540)=0),"",J540/G540)</f>
        <v/>
      </c>
      <c r="L540" s="12"/>
      <c r="M540" s="12"/>
      <c r="N540" s="12"/>
    </row>
    <row r="541" customFormat="false" ht="15" hidden="false" customHeight="false" outlineLevel="0" collapsed="false">
      <c r="A541" s="16"/>
      <c r="B541" s="12"/>
      <c r="C541" s="18" t="str">
        <f aca="false">IF(B541="","",IFERROR(INDEX(Inventario!$B$7:$B$46,MATCH(B541,Inventario!$A$7:$A$46,0)),"Clave no existe"))</f>
        <v/>
      </c>
      <c r="D541" s="18" t="str">
        <f aca="false">IF(B541="","",IFERROR(INDEX(Inventario!$C$7:$C$46,MATCH(B541,Inventario!$A$7:$A$46,0)),""))</f>
        <v/>
      </c>
      <c r="E541" s="19"/>
      <c r="F541" s="19"/>
      <c r="G541" s="20" t="str">
        <f aca="false">IF(OR(E541="",F541=""),IF(B541="","",IF(A541="","",8)),F541-E541)</f>
        <v/>
      </c>
      <c r="H541" s="14"/>
      <c r="I541" s="12"/>
      <c r="J541" s="14"/>
      <c r="K541" s="20" t="str">
        <f aca="false">IF(OR(J541="",N(G541)=0),"",J541/G541)</f>
        <v/>
      </c>
      <c r="L541" s="12"/>
      <c r="M541" s="12"/>
      <c r="N541" s="12"/>
    </row>
    <row r="542" customFormat="false" ht="15" hidden="false" customHeight="false" outlineLevel="0" collapsed="false">
      <c r="A542" s="16"/>
      <c r="B542" s="12"/>
      <c r="C542" s="18" t="str">
        <f aca="false">IF(B542="","",IFERROR(INDEX(Inventario!$B$7:$B$46,MATCH(B542,Inventario!$A$7:$A$46,0)),"Clave no existe"))</f>
        <v/>
      </c>
      <c r="D542" s="18" t="str">
        <f aca="false">IF(B542="","",IFERROR(INDEX(Inventario!$C$7:$C$46,MATCH(B542,Inventario!$A$7:$A$46,0)),""))</f>
        <v/>
      </c>
      <c r="E542" s="19"/>
      <c r="F542" s="19"/>
      <c r="G542" s="20" t="str">
        <f aca="false">IF(OR(E542="",F542=""),IF(B542="","",IF(A542="","",8)),F542-E542)</f>
        <v/>
      </c>
      <c r="H542" s="14"/>
      <c r="I542" s="12"/>
      <c r="J542" s="14"/>
      <c r="K542" s="20" t="str">
        <f aca="false">IF(OR(J542="",N(G542)=0),"",J542/G542)</f>
        <v/>
      </c>
      <c r="L542" s="12"/>
      <c r="M542" s="12"/>
      <c r="N542" s="12"/>
    </row>
    <row r="543" customFormat="false" ht="15" hidden="false" customHeight="false" outlineLevel="0" collapsed="false">
      <c r="A543" s="16"/>
      <c r="B543" s="12"/>
      <c r="C543" s="18" t="str">
        <f aca="false">IF(B543="","",IFERROR(INDEX(Inventario!$B$7:$B$46,MATCH(B543,Inventario!$A$7:$A$46,0)),"Clave no existe"))</f>
        <v/>
      </c>
      <c r="D543" s="18" t="str">
        <f aca="false">IF(B543="","",IFERROR(INDEX(Inventario!$C$7:$C$46,MATCH(B543,Inventario!$A$7:$A$46,0)),""))</f>
        <v/>
      </c>
      <c r="E543" s="19"/>
      <c r="F543" s="19"/>
      <c r="G543" s="20" t="str">
        <f aca="false">IF(OR(E543="",F543=""),IF(B543="","",IF(A543="","",8)),F543-E543)</f>
        <v/>
      </c>
      <c r="H543" s="14"/>
      <c r="I543" s="12"/>
      <c r="J543" s="14"/>
      <c r="K543" s="20" t="str">
        <f aca="false">IF(OR(J543="",N(G543)=0),"",J543/G543)</f>
        <v/>
      </c>
      <c r="L543" s="12"/>
      <c r="M543" s="12"/>
      <c r="N543" s="12"/>
    </row>
    <row r="544" customFormat="false" ht="15" hidden="false" customHeight="false" outlineLevel="0" collapsed="false">
      <c r="A544" s="16"/>
      <c r="B544" s="12"/>
      <c r="C544" s="18" t="str">
        <f aca="false">IF(B544="","",IFERROR(INDEX(Inventario!$B$7:$B$46,MATCH(B544,Inventario!$A$7:$A$46,0)),"Clave no existe"))</f>
        <v/>
      </c>
      <c r="D544" s="18" t="str">
        <f aca="false">IF(B544="","",IFERROR(INDEX(Inventario!$C$7:$C$46,MATCH(B544,Inventario!$A$7:$A$46,0)),""))</f>
        <v/>
      </c>
      <c r="E544" s="19"/>
      <c r="F544" s="19"/>
      <c r="G544" s="20" t="str">
        <f aca="false">IF(OR(E544="",F544=""),IF(B544="","",IF(A544="","",8)),F544-E544)</f>
        <v/>
      </c>
      <c r="H544" s="14"/>
      <c r="I544" s="12"/>
      <c r="J544" s="14"/>
      <c r="K544" s="20" t="str">
        <f aca="false">IF(OR(J544="",N(G544)=0),"",J544/G544)</f>
        <v/>
      </c>
      <c r="L544" s="12"/>
      <c r="M544" s="12"/>
      <c r="N544" s="12"/>
    </row>
    <row r="545" customFormat="false" ht="15" hidden="false" customHeight="false" outlineLevel="0" collapsed="false">
      <c r="A545" s="16"/>
      <c r="B545" s="12"/>
      <c r="C545" s="18" t="str">
        <f aca="false">IF(B545="","",IFERROR(INDEX(Inventario!$B$7:$B$46,MATCH(B545,Inventario!$A$7:$A$46,0)),"Clave no existe"))</f>
        <v/>
      </c>
      <c r="D545" s="18" t="str">
        <f aca="false">IF(B545="","",IFERROR(INDEX(Inventario!$C$7:$C$46,MATCH(B545,Inventario!$A$7:$A$46,0)),""))</f>
        <v/>
      </c>
      <c r="E545" s="19"/>
      <c r="F545" s="19"/>
      <c r="G545" s="20" t="str">
        <f aca="false">IF(OR(E545="",F545=""),IF(B545="","",IF(A545="","",8)),F545-E545)</f>
        <v/>
      </c>
      <c r="H545" s="14"/>
      <c r="I545" s="12"/>
      <c r="J545" s="14"/>
      <c r="K545" s="20" t="str">
        <f aca="false">IF(OR(J545="",N(G545)=0),"",J545/G545)</f>
        <v/>
      </c>
      <c r="L545" s="12"/>
      <c r="M545" s="12"/>
      <c r="N545" s="12"/>
    </row>
    <row r="546" customFormat="false" ht="15" hidden="false" customHeight="false" outlineLevel="0" collapsed="false">
      <c r="A546" s="16"/>
      <c r="B546" s="12"/>
      <c r="C546" s="18" t="str">
        <f aca="false">IF(B546="","",IFERROR(INDEX(Inventario!$B$7:$B$46,MATCH(B546,Inventario!$A$7:$A$46,0)),"Clave no existe"))</f>
        <v/>
      </c>
      <c r="D546" s="18" t="str">
        <f aca="false">IF(B546="","",IFERROR(INDEX(Inventario!$C$7:$C$46,MATCH(B546,Inventario!$A$7:$A$46,0)),""))</f>
        <v/>
      </c>
      <c r="E546" s="19"/>
      <c r="F546" s="19"/>
      <c r="G546" s="20" t="str">
        <f aca="false">IF(OR(E546="",F546=""),IF(B546="","",IF(A546="","",8)),F546-E546)</f>
        <v/>
      </c>
      <c r="H546" s="14"/>
      <c r="I546" s="12"/>
      <c r="J546" s="14"/>
      <c r="K546" s="20" t="str">
        <f aca="false">IF(OR(J546="",N(G546)=0),"",J546/G546)</f>
        <v/>
      </c>
      <c r="L546" s="12"/>
      <c r="M546" s="12"/>
      <c r="N546" s="12"/>
    </row>
    <row r="547" customFormat="false" ht="15" hidden="false" customHeight="false" outlineLevel="0" collapsed="false">
      <c r="A547" s="16"/>
      <c r="B547" s="12"/>
      <c r="C547" s="18" t="str">
        <f aca="false">IF(B547="","",IFERROR(INDEX(Inventario!$B$7:$B$46,MATCH(B547,Inventario!$A$7:$A$46,0)),"Clave no existe"))</f>
        <v/>
      </c>
      <c r="D547" s="18" t="str">
        <f aca="false">IF(B547="","",IFERROR(INDEX(Inventario!$C$7:$C$46,MATCH(B547,Inventario!$A$7:$A$46,0)),""))</f>
        <v/>
      </c>
      <c r="E547" s="19"/>
      <c r="F547" s="19"/>
      <c r="G547" s="20" t="str">
        <f aca="false">IF(OR(E547="",F547=""),IF(B547="","",IF(A547="","",8)),F547-E547)</f>
        <v/>
      </c>
      <c r="H547" s="14"/>
      <c r="I547" s="12"/>
      <c r="J547" s="14"/>
      <c r="K547" s="20" t="str">
        <f aca="false">IF(OR(J547="",N(G547)=0),"",J547/G547)</f>
        <v/>
      </c>
      <c r="L547" s="12"/>
      <c r="M547" s="12"/>
      <c r="N547" s="12"/>
    </row>
    <row r="548" customFormat="false" ht="15" hidden="false" customHeight="false" outlineLevel="0" collapsed="false">
      <c r="A548" s="16"/>
      <c r="B548" s="12"/>
      <c r="C548" s="18" t="str">
        <f aca="false">IF(B548="","",IFERROR(INDEX(Inventario!$B$7:$B$46,MATCH(B548,Inventario!$A$7:$A$46,0)),"Clave no existe"))</f>
        <v/>
      </c>
      <c r="D548" s="18" t="str">
        <f aca="false">IF(B548="","",IFERROR(INDEX(Inventario!$C$7:$C$46,MATCH(B548,Inventario!$A$7:$A$46,0)),""))</f>
        <v/>
      </c>
      <c r="E548" s="19"/>
      <c r="F548" s="19"/>
      <c r="G548" s="20" t="str">
        <f aca="false">IF(OR(E548="",F548=""),IF(B548="","",IF(A548="","",8)),F548-E548)</f>
        <v/>
      </c>
      <c r="H548" s="14"/>
      <c r="I548" s="12"/>
      <c r="J548" s="14"/>
      <c r="K548" s="20" t="str">
        <f aca="false">IF(OR(J548="",N(G548)=0),"",J548/G548)</f>
        <v/>
      </c>
      <c r="L548" s="12"/>
      <c r="M548" s="12"/>
      <c r="N548" s="12"/>
    </row>
    <row r="549" customFormat="false" ht="15" hidden="false" customHeight="false" outlineLevel="0" collapsed="false">
      <c r="A549" s="16"/>
      <c r="B549" s="12"/>
      <c r="C549" s="18" t="str">
        <f aca="false">IF(B549="","",IFERROR(INDEX(Inventario!$B$7:$B$46,MATCH(B549,Inventario!$A$7:$A$46,0)),"Clave no existe"))</f>
        <v/>
      </c>
      <c r="D549" s="18" t="str">
        <f aca="false">IF(B549="","",IFERROR(INDEX(Inventario!$C$7:$C$46,MATCH(B549,Inventario!$A$7:$A$46,0)),""))</f>
        <v/>
      </c>
      <c r="E549" s="19"/>
      <c r="F549" s="19"/>
      <c r="G549" s="20" t="str">
        <f aca="false">IF(OR(E549="",F549=""),IF(B549="","",IF(A549="","",8)),F549-E549)</f>
        <v/>
      </c>
      <c r="H549" s="14"/>
      <c r="I549" s="12"/>
      <c r="J549" s="14"/>
      <c r="K549" s="20" t="str">
        <f aca="false">IF(OR(J549="",N(G549)=0),"",J549/G549)</f>
        <v/>
      </c>
      <c r="L549" s="12"/>
      <c r="M549" s="12"/>
      <c r="N549" s="12"/>
    </row>
    <row r="550" customFormat="false" ht="15" hidden="false" customHeight="false" outlineLevel="0" collapsed="false">
      <c r="A550" s="16"/>
      <c r="B550" s="12"/>
      <c r="C550" s="18" t="str">
        <f aca="false">IF(B550="","",IFERROR(INDEX(Inventario!$B$7:$B$46,MATCH(B550,Inventario!$A$7:$A$46,0)),"Clave no existe"))</f>
        <v/>
      </c>
      <c r="D550" s="18" t="str">
        <f aca="false">IF(B550="","",IFERROR(INDEX(Inventario!$C$7:$C$46,MATCH(B550,Inventario!$A$7:$A$46,0)),""))</f>
        <v/>
      </c>
      <c r="E550" s="19"/>
      <c r="F550" s="19"/>
      <c r="G550" s="20" t="str">
        <f aca="false">IF(OR(E550="",F550=""),IF(B550="","",IF(A550="","",8)),F550-E550)</f>
        <v/>
      </c>
      <c r="H550" s="14"/>
      <c r="I550" s="12"/>
      <c r="J550" s="14"/>
      <c r="K550" s="20" t="str">
        <f aca="false">IF(OR(J550="",N(G550)=0),"",J550/G550)</f>
        <v/>
      </c>
      <c r="L550" s="12"/>
      <c r="M550" s="12"/>
      <c r="N550" s="12"/>
    </row>
    <row r="551" customFormat="false" ht="15" hidden="false" customHeight="false" outlineLevel="0" collapsed="false">
      <c r="A551" s="16"/>
      <c r="B551" s="12"/>
      <c r="C551" s="18" t="str">
        <f aca="false">IF(B551="","",IFERROR(INDEX(Inventario!$B$7:$B$46,MATCH(B551,Inventario!$A$7:$A$46,0)),"Clave no existe"))</f>
        <v/>
      </c>
      <c r="D551" s="18" t="str">
        <f aca="false">IF(B551="","",IFERROR(INDEX(Inventario!$C$7:$C$46,MATCH(B551,Inventario!$A$7:$A$46,0)),""))</f>
        <v/>
      </c>
      <c r="E551" s="19"/>
      <c r="F551" s="19"/>
      <c r="G551" s="20" t="str">
        <f aca="false">IF(OR(E551="",F551=""),IF(B551="","",IF(A551="","",8)),F551-E551)</f>
        <v/>
      </c>
      <c r="H551" s="14"/>
      <c r="I551" s="12"/>
      <c r="J551" s="14"/>
      <c r="K551" s="20" t="str">
        <f aca="false">IF(OR(J551="",N(G551)=0),"",J551/G551)</f>
        <v/>
      </c>
      <c r="L551" s="12"/>
      <c r="M551" s="12"/>
      <c r="N551" s="12"/>
    </row>
    <row r="552" customFormat="false" ht="15" hidden="false" customHeight="false" outlineLevel="0" collapsed="false">
      <c r="A552" s="16"/>
      <c r="B552" s="12"/>
      <c r="C552" s="18" t="str">
        <f aca="false">IF(B552="","",IFERROR(INDEX(Inventario!$B$7:$B$46,MATCH(B552,Inventario!$A$7:$A$46,0)),"Clave no existe"))</f>
        <v/>
      </c>
      <c r="D552" s="18" t="str">
        <f aca="false">IF(B552="","",IFERROR(INDEX(Inventario!$C$7:$C$46,MATCH(B552,Inventario!$A$7:$A$46,0)),""))</f>
        <v/>
      </c>
      <c r="E552" s="19"/>
      <c r="F552" s="19"/>
      <c r="G552" s="20" t="str">
        <f aca="false">IF(OR(E552="",F552=""),IF(B552="","",IF(A552="","",8)),F552-E552)</f>
        <v/>
      </c>
      <c r="H552" s="14"/>
      <c r="I552" s="12"/>
      <c r="J552" s="14"/>
      <c r="K552" s="20" t="str">
        <f aca="false">IF(OR(J552="",N(G552)=0),"",J552/G552)</f>
        <v/>
      </c>
      <c r="L552" s="12"/>
      <c r="M552" s="12"/>
      <c r="N552" s="12"/>
    </row>
    <row r="553" customFormat="false" ht="15" hidden="false" customHeight="false" outlineLevel="0" collapsed="false">
      <c r="A553" s="16"/>
      <c r="B553" s="12"/>
      <c r="C553" s="18" t="str">
        <f aca="false">IF(B553="","",IFERROR(INDEX(Inventario!$B$7:$B$46,MATCH(B553,Inventario!$A$7:$A$46,0)),"Clave no existe"))</f>
        <v/>
      </c>
      <c r="D553" s="18" t="str">
        <f aca="false">IF(B553="","",IFERROR(INDEX(Inventario!$C$7:$C$46,MATCH(B553,Inventario!$A$7:$A$46,0)),""))</f>
        <v/>
      </c>
      <c r="E553" s="19"/>
      <c r="F553" s="19"/>
      <c r="G553" s="20" t="str">
        <f aca="false">IF(OR(E553="",F553=""),IF(B553="","",IF(A553="","",8)),F553-E553)</f>
        <v/>
      </c>
      <c r="H553" s="14"/>
      <c r="I553" s="12"/>
      <c r="J553" s="14"/>
      <c r="K553" s="20" t="str">
        <f aca="false">IF(OR(J553="",N(G553)=0),"",J553/G553)</f>
        <v/>
      </c>
      <c r="L553" s="12"/>
      <c r="M553" s="12"/>
      <c r="N553" s="12"/>
    </row>
    <row r="554" customFormat="false" ht="15" hidden="false" customHeight="false" outlineLevel="0" collapsed="false">
      <c r="A554" s="16"/>
      <c r="B554" s="12"/>
      <c r="C554" s="18" t="str">
        <f aca="false">IF(B554="","",IFERROR(INDEX(Inventario!$B$7:$B$46,MATCH(B554,Inventario!$A$7:$A$46,0)),"Clave no existe"))</f>
        <v/>
      </c>
      <c r="D554" s="18" t="str">
        <f aca="false">IF(B554="","",IFERROR(INDEX(Inventario!$C$7:$C$46,MATCH(B554,Inventario!$A$7:$A$46,0)),""))</f>
        <v/>
      </c>
      <c r="E554" s="19"/>
      <c r="F554" s="19"/>
      <c r="G554" s="20" t="str">
        <f aca="false">IF(OR(E554="",F554=""),IF(B554="","",IF(A554="","",8)),F554-E554)</f>
        <v/>
      </c>
      <c r="H554" s="14"/>
      <c r="I554" s="12"/>
      <c r="J554" s="14"/>
      <c r="K554" s="20" t="str">
        <f aca="false">IF(OR(J554="",N(G554)=0),"",J554/G554)</f>
        <v/>
      </c>
      <c r="L554" s="12"/>
      <c r="M554" s="12"/>
      <c r="N554" s="12"/>
    </row>
    <row r="555" customFormat="false" ht="15" hidden="false" customHeight="false" outlineLevel="0" collapsed="false">
      <c r="A555" s="16"/>
      <c r="B555" s="12"/>
      <c r="C555" s="18" t="str">
        <f aca="false">IF(B555="","",IFERROR(INDEX(Inventario!$B$7:$B$46,MATCH(B555,Inventario!$A$7:$A$46,0)),"Clave no existe"))</f>
        <v/>
      </c>
      <c r="D555" s="18" t="str">
        <f aca="false">IF(B555="","",IFERROR(INDEX(Inventario!$C$7:$C$46,MATCH(B555,Inventario!$A$7:$A$46,0)),""))</f>
        <v/>
      </c>
      <c r="E555" s="19"/>
      <c r="F555" s="19"/>
      <c r="G555" s="20" t="str">
        <f aca="false">IF(OR(E555="",F555=""),IF(B555="","",IF(A555="","",8)),F555-E555)</f>
        <v/>
      </c>
      <c r="H555" s="14"/>
      <c r="I555" s="12"/>
      <c r="J555" s="14"/>
      <c r="K555" s="20" t="str">
        <f aca="false">IF(OR(J555="",N(G555)=0),"",J555/G555)</f>
        <v/>
      </c>
      <c r="L555" s="12"/>
      <c r="M555" s="12"/>
      <c r="N555" s="12"/>
    </row>
    <row r="556" customFormat="false" ht="15" hidden="false" customHeight="false" outlineLevel="0" collapsed="false">
      <c r="A556" s="16"/>
      <c r="B556" s="12"/>
      <c r="C556" s="18" t="str">
        <f aca="false">IF(B556="","",IFERROR(INDEX(Inventario!$B$7:$B$46,MATCH(B556,Inventario!$A$7:$A$46,0)),"Clave no existe"))</f>
        <v/>
      </c>
      <c r="D556" s="18" t="str">
        <f aca="false">IF(B556="","",IFERROR(INDEX(Inventario!$C$7:$C$46,MATCH(B556,Inventario!$A$7:$A$46,0)),""))</f>
        <v/>
      </c>
      <c r="E556" s="19"/>
      <c r="F556" s="19"/>
      <c r="G556" s="20" t="str">
        <f aca="false">IF(OR(E556="",F556=""),IF(B556="","",IF(A556="","",8)),F556-E556)</f>
        <v/>
      </c>
      <c r="H556" s="14"/>
      <c r="I556" s="12"/>
      <c r="J556" s="14"/>
      <c r="K556" s="20" t="str">
        <f aca="false">IF(OR(J556="",N(G556)=0),"",J556/G556)</f>
        <v/>
      </c>
      <c r="L556" s="12"/>
      <c r="M556" s="12"/>
      <c r="N556" s="12"/>
    </row>
    <row r="557" customFormat="false" ht="15" hidden="false" customHeight="false" outlineLevel="0" collapsed="false">
      <c r="A557" s="16"/>
      <c r="B557" s="12"/>
      <c r="C557" s="18" t="str">
        <f aca="false">IF(B557="","",IFERROR(INDEX(Inventario!$B$7:$B$46,MATCH(B557,Inventario!$A$7:$A$46,0)),"Clave no existe"))</f>
        <v/>
      </c>
      <c r="D557" s="18" t="str">
        <f aca="false">IF(B557="","",IFERROR(INDEX(Inventario!$C$7:$C$46,MATCH(B557,Inventario!$A$7:$A$46,0)),""))</f>
        <v/>
      </c>
      <c r="E557" s="19"/>
      <c r="F557" s="19"/>
      <c r="G557" s="20" t="str">
        <f aca="false">IF(OR(E557="",F557=""),IF(B557="","",IF(A557="","",8)),F557-E557)</f>
        <v/>
      </c>
      <c r="H557" s="14"/>
      <c r="I557" s="12"/>
      <c r="J557" s="14"/>
      <c r="K557" s="20" t="str">
        <f aca="false">IF(OR(J557="",N(G557)=0),"",J557/G557)</f>
        <v/>
      </c>
      <c r="L557" s="12"/>
      <c r="M557" s="12"/>
      <c r="N557" s="12"/>
    </row>
    <row r="558" customFormat="false" ht="15" hidden="false" customHeight="false" outlineLevel="0" collapsed="false">
      <c r="A558" s="16"/>
      <c r="B558" s="12"/>
      <c r="C558" s="18" t="str">
        <f aca="false">IF(B558="","",IFERROR(INDEX(Inventario!$B$7:$B$46,MATCH(B558,Inventario!$A$7:$A$46,0)),"Clave no existe"))</f>
        <v/>
      </c>
      <c r="D558" s="18" t="str">
        <f aca="false">IF(B558="","",IFERROR(INDEX(Inventario!$C$7:$C$46,MATCH(B558,Inventario!$A$7:$A$46,0)),""))</f>
        <v/>
      </c>
      <c r="E558" s="19"/>
      <c r="F558" s="19"/>
      <c r="G558" s="20" t="str">
        <f aca="false">IF(OR(E558="",F558=""),IF(B558="","",IF(A558="","",8)),F558-E558)</f>
        <v/>
      </c>
      <c r="H558" s="14"/>
      <c r="I558" s="12"/>
      <c r="J558" s="14"/>
      <c r="K558" s="20" t="str">
        <f aca="false">IF(OR(J558="",N(G558)=0),"",J558/G558)</f>
        <v/>
      </c>
      <c r="L558" s="12"/>
      <c r="M558" s="12"/>
      <c r="N558" s="12"/>
    </row>
    <row r="559" customFormat="false" ht="15" hidden="false" customHeight="false" outlineLevel="0" collapsed="false">
      <c r="A559" s="16"/>
      <c r="B559" s="12"/>
      <c r="C559" s="18" t="str">
        <f aca="false">IF(B559="","",IFERROR(INDEX(Inventario!$B$7:$B$46,MATCH(B559,Inventario!$A$7:$A$46,0)),"Clave no existe"))</f>
        <v/>
      </c>
      <c r="D559" s="18" t="str">
        <f aca="false">IF(B559="","",IFERROR(INDEX(Inventario!$C$7:$C$46,MATCH(B559,Inventario!$A$7:$A$46,0)),""))</f>
        <v/>
      </c>
      <c r="E559" s="19"/>
      <c r="F559" s="19"/>
      <c r="G559" s="20" t="str">
        <f aca="false">IF(OR(E559="",F559=""),IF(B559="","",IF(A559="","",8)),F559-E559)</f>
        <v/>
      </c>
      <c r="H559" s="14"/>
      <c r="I559" s="12"/>
      <c r="J559" s="14"/>
      <c r="K559" s="20" t="str">
        <f aca="false">IF(OR(J559="",N(G559)=0),"",J559/G559)</f>
        <v/>
      </c>
      <c r="L559" s="12"/>
      <c r="M559" s="12"/>
      <c r="N559" s="12"/>
    </row>
    <row r="560" customFormat="false" ht="15" hidden="false" customHeight="false" outlineLevel="0" collapsed="false">
      <c r="A560" s="16"/>
      <c r="B560" s="12"/>
      <c r="C560" s="18" t="str">
        <f aca="false">IF(B560="","",IFERROR(INDEX(Inventario!$B$7:$B$46,MATCH(B560,Inventario!$A$7:$A$46,0)),"Clave no existe"))</f>
        <v/>
      </c>
      <c r="D560" s="18" t="str">
        <f aca="false">IF(B560="","",IFERROR(INDEX(Inventario!$C$7:$C$46,MATCH(B560,Inventario!$A$7:$A$46,0)),""))</f>
        <v/>
      </c>
      <c r="E560" s="19"/>
      <c r="F560" s="19"/>
      <c r="G560" s="20" t="str">
        <f aca="false">IF(OR(E560="",F560=""),IF(B560="","",IF(A560="","",8)),F560-E560)</f>
        <v/>
      </c>
      <c r="H560" s="14"/>
      <c r="I560" s="12"/>
      <c r="J560" s="14"/>
      <c r="K560" s="20" t="str">
        <f aca="false">IF(OR(J560="",N(G560)=0),"",J560/G560)</f>
        <v/>
      </c>
      <c r="L560" s="12"/>
      <c r="M560" s="12"/>
      <c r="N560" s="12"/>
    </row>
    <row r="561" customFormat="false" ht="15" hidden="false" customHeight="false" outlineLevel="0" collapsed="false">
      <c r="A561" s="16"/>
      <c r="B561" s="12"/>
      <c r="C561" s="18" t="str">
        <f aca="false">IF(B561="","",IFERROR(INDEX(Inventario!$B$7:$B$46,MATCH(B561,Inventario!$A$7:$A$46,0)),"Clave no existe"))</f>
        <v/>
      </c>
      <c r="D561" s="18" t="str">
        <f aca="false">IF(B561="","",IFERROR(INDEX(Inventario!$C$7:$C$46,MATCH(B561,Inventario!$A$7:$A$46,0)),""))</f>
        <v/>
      </c>
      <c r="E561" s="19"/>
      <c r="F561" s="19"/>
      <c r="G561" s="20" t="str">
        <f aca="false">IF(OR(E561="",F561=""),IF(B561="","",IF(A561="","",8)),F561-E561)</f>
        <v/>
      </c>
      <c r="H561" s="14"/>
      <c r="I561" s="12"/>
      <c r="J561" s="14"/>
      <c r="K561" s="20" t="str">
        <f aca="false">IF(OR(J561="",N(G561)=0),"",J561/G561)</f>
        <v/>
      </c>
      <c r="L561" s="12"/>
      <c r="M561" s="12"/>
      <c r="N561" s="12"/>
    </row>
    <row r="562" customFormat="false" ht="15" hidden="false" customHeight="false" outlineLevel="0" collapsed="false">
      <c r="A562" s="16"/>
      <c r="B562" s="12"/>
      <c r="C562" s="18" t="str">
        <f aca="false">IF(B562="","",IFERROR(INDEX(Inventario!$B$7:$B$46,MATCH(B562,Inventario!$A$7:$A$46,0)),"Clave no existe"))</f>
        <v/>
      </c>
      <c r="D562" s="18" t="str">
        <f aca="false">IF(B562="","",IFERROR(INDEX(Inventario!$C$7:$C$46,MATCH(B562,Inventario!$A$7:$A$46,0)),""))</f>
        <v/>
      </c>
      <c r="E562" s="19"/>
      <c r="F562" s="19"/>
      <c r="G562" s="20" t="str">
        <f aca="false">IF(OR(E562="",F562=""),IF(B562="","",IF(A562="","",8)),F562-E562)</f>
        <v/>
      </c>
      <c r="H562" s="14"/>
      <c r="I562" s="12"/>
      <c r="J562" s="14"/>
      <c r="K562" s="20" t="str">
        <f aca="false">IF(OR(J562="",N(G562)=0),"",J562/G562)</f>
        <v/>
      </c>
      <c r="L562" s="12"/>
      <c r="M562" s="12"/>
      <c r="N562" s="12"/>
    </row>
    <row r="563" customFormat="false" ht="15" hidden="false" customHeight="false" outlineLevel="0" collapsed="false">
      <c r="A563" s="16"/>
      <c r="B563" s="12"/>
      <c r="C563" s="18" t="str">
        <f aca="false">IF(B563="","",IFERROR(INDEX(Inventario!$B$7:$B$46,MATCH(B563,Inventario!$A$7:$A$46,0)),"Clave no existe"))</f>
        <v/>
      </c>
      <c r="D563" s="18" t="str">
        <f aca="false">IF(B563="","",IFERROR(INDEX(Inventario!$C$7:$C$46,MATCH(B563,Inventario!$A$7:$A$46,0)),""))</f>
        <v/>
      </c>
      <c r="E563" s="19"/>
      <c r="F563" s="19"/>
      <c r="G563" s="20" t="str">
        <f aca="false">IF(OR(E563="",F563=""),IF(B563="","",IF(A563="","",8)),F563-E563)</f>
        <v/>
      </c>
      <c r="H563" s="14"/>
      <c r="I563" s="12"/>
      <c r="J563" s="14"/>
      <c r="K563" s="20" t="str">
        <f aca="false">IF(OR(J563="",N(G563)=0),"",J563/G563)</f>
        <v/>
      </c>
      <c r="L563" s="12"/>
      <c r="M563" s="12"/>
      <c r="N563" s="12"/>
    </row>
    <row r="564" customFormat="false" ht="15" hidden="false" customHeight="false" outlineLevel="0" collapsed="false">
      <c r="A564" s="16"/>
      <c r="B564" s="12"/>
      <c r="C564" s="18" t="str">
        <f aca="false">IF(B564="","",IFERROR(INDEX(Inventario!$B$7:$B$46,MATCH(B564,Inventario!$A$7:$A$46,0)),"Clave no existe"))</f>
        <v/>
      </c>
      <c r="D564" s="18" t="str">
        <f aca="false">IF(B564="","",IFERROR(INDEX(Inventario!$C$7:$C$46,MATCH(B564,Inventario!$A$7:$A$46,0)),""))</f>
        <v/>
      </c>
      <c r="E564" s="19"/>
      <c r="F564" s="19"/>
      <c r="G564" s="20" t="str">
        <f aca="false">IF(OR(E564="",F564=""),IF(B564="","",IF(A564="","",8)),F564-E564)</f>
        <v/>
      </c>
      <c r="H564" s="14"/>
      <c r="I564" s="12"/>
      <c r="J564" s="14"/>
      <c r="K564" s="20" t="str">
        <f aca="false">IF(OR(J564="",N(G564)=0),"",J564/G564)</f>
        <v/>
      </c>
      <c r="L564" s="12"/>
      <c r="M564" s="12"/>
      <c r="N564" s="12"/>
    </row>
    <row r="565" customFormat="false" ht="15" hidden="false" customHeight="false" outlineLevel="0" collapsed="false">
      <c r="A565" s="16"/>
      <c r="B565" s="12"/>
      <c r="C565" s="18" t="str">
        <f aca="false">IF(B565="","",IFERROR(INDEX(Inventario!$B$7:$B$46,MATCH(B565,Inventario!$A$7:$A$46,0)),"Clave no existe"))</f>
        <v/>
      </c>
      <c r="D565" s="18" t="str">
        <f aca="false">IF(B565="","",IFERROR(INDEX(Inventario!$C$7:$C$46,MATCH(B565,Inventario!$A$7:$A$46,0)),""))</f>
        <v/>
      </c>
      <c r="E565" s="19"/>
      <c r="F565" s="19"/>
      <c r="G565" s="20" t="str">
        <f aca="false">IF(OR(E565="",F565=""),IF(B565="","",IF(A565="","",8)),F565-E565)</f>
        <v/>
      </c>
      <c r="H565" s="14"/>
      <c r="I565" s="12"/>
      <c r="J565" s="14"/>
      <c r="K565" s="20" t="str">
        <f aca="false">IF(OR(J565="",N(G565)=0),"",J565/G565)</f>
        <v/>
      </c>
      <c r="L565" s="12"/>
      <c r="M565" s="12"/>
      <c r="N565" s="12"/>
    </row>
    <row r="566" customFormat="false" ht="15" hidden="false" customHeight="false" outlineLevel="0" collapsed="false">
      <c r="A566" s="16"/>
      <c r="B566" s="12"/>
      <c r="C566" s="18" t="str">
        <f aca="false">IF(B566="","",IFERROR(INDEX(Inventario!$B$7:$B$46,MATCH(B566,Inventario!$A$7:$A$46,0)),"Clave no existe"))</f>
        <v/>
      </c>
      <c r="D566" s="18" t="str">
        <f aca="false">IF(B566="","",IFERROR(INDEX(Inventario!$C$7:$C$46,MATCH(B566,Inventario!$A$7:$A$46,0)),""))</f>
        <v/>
      </c>
      <c r="E566" s="19"/>
      <c r="F566" s="19"/>
      <c r="G566" s="20" t="str">
        <f aca="false">IF(OR(E566="",F566=""),IF(B566="","",IF(A566="","",8)),F566-E566)</f>
        <v/>
      </c>
      <c r="H566" s="14"/>
      <c r="I566" s="12"/>
      <c r="J566" s="14"/>
      <c r="K566" s="20" t="str">
        <f aca="false">IF(OR(J566="",N(G566)=0),"",J566/G566)</f>
        <v/>
      </c>
      <c r="L566" s="12"/>
      <c r="M566" s="12"/>
      <c r="N566" s="12"/>
    </row>
    <row r="567" customFormat="false" ht="15" hidden="false" customHeight="false" outlineLevel="0" collapsed="false">
      <c r="A567" s="16"/>
      <c r="B567" s="12"/>
      <c r="C567" s="18" t="str">
        <f aca="false">IF(B567="","",IFERROR(INDEX(Inventario!$B$7:$B$46,MATCH(B567,Inventario!$A$7:$A$46,0)),"Clave no existe"))</f>
        <v/>
      </c>
      <c r="D567" s="18" t="str">
        <f aca="false">IF(B567="","",IFERROR(INDEX(Inventario!$C$7:$C$46,MATCH(B567,Inventario!$A$7:$A$46,0)),""))</f>
        <v/>
      </c>
      <c r="E567" s="19"/>
      <c r="F567" s="19"/>
      <c r="G567" s="20" t="str">
        <f aca="false">IF(OR(E567="",F567=""),IF(B567="","",IF(A567="","",8)),F567-E567)</f>
        <v/>
      </c>
      <c r="H567" s="14"/>
      <c r="I567" s="12"/>
      <c r="J567" s="14"/>
      <c r="K567" s="20" t="str">
        <f aca="false">IF(OR(J567="",N(G567)=0),"",J567/G567)</f>
        <v/>
      </c>
      <c r="L567" s="12"/>
      <c r="M567" s="12"/>
      <c r="N567" s="12"/>
    </row>
    <row r="568" customFormat="false" ht="15" hidden="false" customHeight="false" outlineLevel="0" collapsed="false">
      <c r="A568" s="16"/>
      <c r="B568" s="12"/>
      <c r="C568" s="18" t="str">
        <f aca="false">IF(B568="","",IFERROR(INDEX(Inventario!$B$7:$B$46,MATCH(B568,Inventario!$A$7:$A$46,0)),"Clave no existe"))</f>
        <v/>
      </c>
      <c r="D568" s="18" t="str">
        <f aca="false">IF(B568="","",IFERROR(INDEX(Inventario!$C$7:$C$46,MATCH(B568,Inventario!$A$7:$A$46,0)),""))</f>
        <v/>
      </c>
      <c r="E568" s="19"/>
      <c r="F568" s="19"/>
      <c r="G568" s="20" t="str">
        <f aca="false">IF(OR(E568="",F568=""),IF(B568="","",IF(A568="","",8)),F568-E568)</f>
        <v/>
      </c>
      <c r="H568" s="14"/>
      <c r="I568" s="12"/>
      <c r="J568" s="14"/>
      <c r="K568" s="20" t="str">
        <f aca="false">IF(OR(J568="",N(G568)=0),"",J568/G568)</f>
        <v/>
      </c>
      <c r="L568" s="12"/>
      <c r="M568" s="12"/>
      <c r="N568" s="12"/>
    </row>
    <row r="569" customFormat="false" ht="15" hidden="false" customHeight="false" outlineLevel="0" collapsed="false">
      <c r="A569" s="16"/>
      <c r="B569" s="12"/>
      <c r="C569" s="18" t="str">
        <f aca="false">IF(B569="","",IFERROR(INDEX(Inventario!$B$7:$B$46,MATCH(B569,Inventario!$A$7:$A$46,0)),"Clave no existe"))</f>
        <v/>
      </c>
      <c r="D569" s="18" t="str">
        <f aca="false">IF(B569="","",IFERROR(INDEX(Inventario!$C$7:$C$46,MATCH(B569,Inventario!$A$7:$A$46,0)),""))</f>
        <v/>
      </c>
      <c r="E569" s="19"/>
      <c r="F569" s="19"/>
      <c r="G569" s="20" t="str">
        <f aca="false">IF(OR(E569="",F569=""),IF(B569="","",IF(A569="","",8)),F569-E569)</f>
        <v/>
      </c>
      <c r="H569" s="14"/>
      <c r="I569" s="12"/>
      <c r="J569" s="14"/>
      <c r="K569" s="20" t="str">
        <f aca="false">IF(OR(J569="",N(G569)=0),"",J569/G569)</f>
        <v/>
      </c>
      <c r="L569" s="12"/>
      <c r="M569" s="12"/>
      <c r="N569" s="12"/>
    </row>
    <row r="570" customFormat="false" ht="15" hidden="false" customHeight="false" outlineLevel="0" collapsed="false">
      <c r="A570" s="16"/>
      <c r="B570" s="12"/>
      <c r="C570" s="18" t="str">
        <f aca="false">IF(B570="","",IFERROR(INDEX(Inventario!$B$7:$B$46,MATCH(B570,Inventario!$A$7:$A$46,0)),"Clave no existe"))</f>
        <v/>
      </c>
      <c r="D570" s="18" t="str">
        <f aca="false">IF(B570="","",IFERROR(INDEX(Inventario!$C$7:$C$46,MATCH(B570,Inventario!$A$7:$A$46,0)),""))</f>
        <v/>
      </c>
      <c r="E570" s="19"/>
      <c r="F570" s="19"/>
      <c r="G570" s="20" t="str">
        <f aca="false">IF(OR(E570="",F570=""),IF(B570="","",IF(A570="","",8)),F570-E570)</f>
        <v/>
      </c>
      <c r="H570" s="14"/>
      <c r="I570" s="12"/>
      <c r="J570" s="14"/>
      <c r="K570" s="20" t="str">
        <f aca="false">IF(OR(J570="",N(G570)=0),"",J570/G570)</f>
        <v/>
      </c>
      <c r="L570" s="12"/>
      <c r="M570" s="12"/>
      <c r="N570" s="12"/>
    </row>
    <row r="571" customFormat="false" ht="15" hidden="false" customHeight="false" outlineLevel="0" collapsed="false">
      <c r="A571" s="16"/>
      <c r="B571" s="12"/>
      <c r="C571" s="18" t="str">
        <f aca="false">IF(B571="","",IFERROR(INDEX(Inventario!$B$7:$B$46,MATCH(B571,Inventario!$A$7:$A$46,0)),"Clave no existe"))</f>
        <v/>
      </c>
      <c r="D571" s="18" t="str">
        <f aca="false">IF(B571="","",IFERROR(INDEX(Inventario!$C$7:$C$46,MATCH(B571,Inventario!$A$7:$A$46,0)),""))</f>
        <v/>
      </c>
      <c r="E571" s="19"/>
      <c r="F571" s="19"/>
      <c r="G571" s="20" t="str">
        <f aca="false">IF(OR(E571="",F571=""),IF(B571="","",IF(A571="","",8)),F571-E571)</f>
        <v/>
      </c>
      <c r="H571" s="14"/>
      <c r="I571" s="12"/>
      <c r="J571" s="14"/>
      <c r="K571" s="20" t="str">
        <f aca="false">IF(OR(J571="",N(G571)=0),"",J571/G571)</f>
        <v/>
      </c>
      <c r="L571" s="12"/>
      <c r="M571" s="12"/>
      <c r="N571" s="12"/>
    </row>
    <row r="572" customFormat="false" ht="15" hidden="false" customHeight="false" outlineLevel="0" collapsed="false">
      <c r="A572" s="16"/>
      <c r="B572" s="12"/>
      <c r="C572" s="18" t="str">
        <f aca="false">IF(B572="","",IFERROR(INDEX(Inventario!$B$7:$B$46,MATCH(B572,Inventario!$A$7:$A$46,0)),"Clave no existe"))</f>
        <v/>
      </c>
      <c r="D572" s="18" t="str">
        <f aca="false">IF(B572="","",IFERROR(INDEX(Inventario!$C$7:$C$46,MATCH(B572,Inventario!$A$7:$A$46,0)),""))</f>
        <v/>
      </c>
      <c r="E572" s="19"/>
      <c r="F572" s="19"/>
      <c r="G572" s="20" t="str">
        <f aca="false">IF(OR(E572="",F572=""),IF(B572="","",IF(A572="","",8)),F572-E572)</f>
        <v/>
      </c>
      <c r="H572" s="14"/>
      <c r="I572" s="12"/>
      <c r="J572" s="14"/>
      <c r="K572" s="20" t="str">
        <f aca="false">IF(OR(J572="",N(G572)=0),"",J572/G572)</f>
        <v/>
      </c>
      <c r="L572" s="12"/>
      <c r="M572" s="12"/>
      <c r="N572" s="12"/>
    </row>
    <row r="573" customFormat="false" ht="15" hidden="false" customHeight="false" outlineLevel="0" collapsed="false">
      <c r="A573" s="16"/>
      <c r="B573" s="12"/>
      <c r="C573" s="18" t="str">
        <f aca="false">IF(B573="","",IFERROR(INDEX(Inventario!$B$7:$B$46,MATCH(B573,Inventario!$A$7:$A$46,0)),"Clave no existe"))</f>
        <v/>
      </c>
      <c r="D573" s="18" t="str">
        <f aca="false">IF(B573="","",IFERROR(INDEX(Inventario!$C$7:$C$46,MATCH(B573,Inventario!$A$7:$A$46,0)),""))</f>
        <v/>
      </c>
      <c r="E573" s="19"/>
      <c r="F573" s="19"/>
      <c r="G573" s="20" t="str">
        <f aca="false">IF(OR(E573="",F573=""),IF(B573="","",IF(A573="","",8)),F573-E573)</f>
        <v/>
      </c>
      <c r="H573" s="14"/>
      <c r="I573" s="12"/>
      <c r="J573" s="14"/>
      <c r="K573" s="20" t="str">
        <f aca="false">IF(OR(J573="",N(G573)=0),"",J573/G573)</f>
        <v/>
      </c>
      <c r="L573" s="12"/>
      <c r="M573" s="12"/>
      <c r="N573" s="12"/>
    </row>
    <row r="574" customFormat="false" ht="15" hidden="false" customHeight="false" outlineLevel="0" collapsed="false">
      <c r="A574" s="16"/>
      <c r="B574" s="12"/>
      <c r="C574" s="18" t="str">
        <f aca="false">IF(B574="","",IFERROR(INDEX(Inventario!$B$7:$B$46,MATCH(B574,Inventario!$A$7:$A$46,0)),"Clave no existe"))</f>
        <v/>
      </c>
      <c r="D574" s="18" t="str">
        <f aca="false">IF(B574="","",IFERROR(INDEX(Inventario!$C$7:$C$46,MATCH(B574,Inventario!$A$7:$A$46,0)),""))</f>
        <v/>
      </c>
      <c r="E574" s="19"/>
      <c r="F574" s="19"/>
      <c r="G574" s="20" t="str">
        <f aca="false">IF(OR(E574="",F574=""),IF(B574="","",IF(A574="","",8)),F574-E574)</f>
        <v/>
      </c>
      <c r="H574" s="14"/>
      <c r="I574" s="12"/>
      <c r="J574" s="14"/>
      <c r="K574" s="20" t="str">
        <f aca="false">IF(OR(J574="",N(G574)=0),"",J574/G574)</f>
        <v/>
      </c>
      <c r="L574" s="12"/>
      <c r="M574" s="12"/>
      <c r="N574" s="12"/>
    </row>
    <row r="575" customFormat="false" ht="15" hidden="false" customHeight="false" outlineLevel="0" collapsed="false">
      <c r="A575" s="16"/>
      <c r="B575" s="12"/>
      <c r="C575" s="18" t="str">
        <f aca="false">IF(B575="","",IFERROR(INDEX(Inventario!$B$7:$B$46,MATCH(B575,Inventario!$A$7:$A$46,0)),"Clave no existe"))</f>
        <v/>
      </c>
      <c r="D575" s="18" t="str">
        <f aca="false">IF(B575="","",IFERROR(INDEX(Inventario!$C$7:$C$46,MATCH(B575,Inventario!$A$7:$A$46,0)),""))</f>
        <v/>
      </c>
      <c r="E575" s="19"/>
      <c r="F575" s="19"/>
      <c r="G575" s="20" t="str">
        <f aca="false">IF(OR(E575="",F575=""),IF(B575="","",IF(A575="","",8)),F575-E575)</f>
        <v/>
      </c>
      <c r="H575" s="14"/>
      <c r="I575" s="12"/>
      <c r="J575" s="14"/>
      <c r="K575" s="20" t="str">
        <f aca="false">IF(OR(J575="",N(G575)=0),"",J575/G575)</f>
        <v/>
      </c>
      <c r="L575" s="12"/>
      <c r="M575" s="12"/>
      <c r="N575" s="12"/>
    </row>
    <row r="576" customFormat="false" ht="15" hidden="false" customHeight="false" outlineLevel="0" collapsed="false">
      <c r="A576" s="16"/>
      <c r="B576" s="12"/>
      <c r="C576" s="18" t="str">
        <f aca="false">IF(B576="","",IFERROR(INDEX(Inventario!$B$7:$B$46,MATCH(B576,Inventario!$A$7:$A$46,0)),"Clave no existe"))</f>
        <v/>
      </c>
      <c r="D576" s="18" t="str">
        <f aca="false">IF(B576="","",IFERROR(INDEX(Inventario!$C$7:$C$46,MATCH(B576,Inventario!$A$7:$A$46,0)),""))</f>
        <v/>
      </c>
      <c r="E576" s="19"/>
      <c r="F576" s="19"/>
      <c r="G576" s="20" t="str">
        <f aca="false">IF(OR(E576="",F576=""),IF(B576="","",IF(A576="","",8)),F576-E576)</f>
        <v/>
      </c>
      <c r="H576" s="14"/>
      <c r="I576" s="12"/>
      <c r="J576" s="14"/>
      <c r="K576" s="20" t="str">
        <f aca="false">IF(OR(J576="",N(G576)=0),"",J576/G576)</f>
        <v/>
      </c>
      <c r="L576" s="12"/>
      <c r="M576" s="12"/>
      <c r="N576" s="12"/>
    </row>
    <row r="577" customFormat="false" ht="15" hidden="false" customHeight="false" outlineLevel="0" collapsed="false">
      <c r="A577" s="16"/>
      <c r="B577" s="12"/>
      <c r="C577" s="18" t="str">
        <f aca="false">IF(B577="","",IFERROR(INDEX(Inventario!$B$7:$B$46,MATCH(B577,Inventario!$A$7:$A$46,0)),"Clave no existe"))</f>
        <v/>
      </c>
      <c r="D577" s="18" t="str">
        <f aca="false">IF(B577="","",IFERROR(INDEX(Inventario!$C$7:$C$46,MATCH(B577,Inventario!$A$7:$A$46,0)),""))</f>
        <v/>
      </c>
      <c r="E577" s="19"/>
      <c r="F577" s="19"/>
      <c r="G577" s="20" t="str">
        <f aca="false">IF(OR(E577="",F577=""),IF(B577="","",IF(A577="","",8)),F577-E577)</f>
        <v/>
      </c>
      <c r="H577" s="14"/>
      <c r="I577" s="12"/>
      <c r="J577" s="14"/>
      <c r="K577" s="20" t="str">
        <f aca="false">IF(OR(J577="",N(G577)=0),"",J577/G577)</f>
        <v/>
      </c>
      <c r="L577" s="12"/>
      <c r="M577" s="12"/>
      <c r="N577" s="12"/>
    </row>
    <row r="578" customFormat="false" ht="15" hidden="false" customHeight="false" outlineLevel="0" collapsed="false">
      <c r="A578" s="16"/>
      <c r="B578" s="12"/>
      <c r="C578" s="18" t="str">
        <f aca="false">IF(B578="","",IFERROR(INDEX(Inventario!$B$7:$B$46,MATCH(B578,Inventario!$A$7:$A$46,0)),"Clave no existe"))</f>
        <v/>
      </c>
      <c r="D578" s="18" t="str">
        <f aca="false">IF(B578="","",IFERROR(INDEX(Inventario!$C$7:$C$46,MATCH(B578,Inventario!$A$7:$A$46,0)),""))</f>
        <v/>
      </c>
      <c r="E578" s="19"/>
      <c r="F578" s="19"/>
      <c r="G578" s="20" t="str">
        <f aca="false">IF(OR(E578="",F578=""),IF(B578="","",IF(A578="","",8)),F578-E578)</f>
        <v/>
      </c>
      <c r="H578" s="14"/>
      <c r="I578" s="12"/>
      <c r="J578" s="14"/>
      <c r="K578" s="20" t="str">
        <f aca="false">IF(OR(J578="",N(G578)=0),"",J578/G578)</f>
        <v/>
      </c>
      <c r="L578" s="12"/>
      <c r="M578" s="12"/>
      <c r="N578" s="12"/>
    </row>
    <row r="579" customFormat="false" ht="15" hidden="false" customHeight="false" outlineLevel="0" collapsed="false">
      <c r="A579" s="16"/>
      <c r="B579" s="12"/>
      <c r="C579" s="18" t="str">
        <f aca="false">IF(B579="","",IFERROR(INDEX(Inventario!$B$7:$B$46,MATCH(B579,Inventario!$A$7:$A$46,0)),"Clave no existe"))</f>
        <v/>
      </c>
      <c r="D579" s="18" t="str">
        <f aca="false">IF(B579="","",IFERROR(INDEX(Inventario!$C$7:$C$46,MATCH(B579,Inventario!$A$7:$A$46,0)),""))</f>
        <v/>
      </c>
      <c r="E579" s="19"/>
      <c r="F579" s="19"/>
      <c r="G579" s="20" t="str">
        <f aca="false">IF(OR(E579="",F579=""),IF(B579="","",IF(A579="","",8)),F579-E579)</f>
        <v/>
      </c>
      <c r="H579" s="14"/>
      <c r="I579" s="12"/>
      <c r="J579" s="14"/>
      <c r="K579" s="20" t="str">
        <f aca="false">IF(OR(J579="",N(G579)=0),"",J579/G579)</f>
        <v/>
      </c>
      <c r="L579" s="12"/>
      <c r="M579" s="12"/>
      <c r="N579" s="12"/>
    </row>
    <row r="580" customFormat="false" ht="15" hidden="false" customHeight="false" outlineLevel="0" collapsed="false">
      <c r="A580" s="16"/>
      <c r="B580" s="12"/>
      <c r="C580" s="18" t="str">
        <f aca="false">IF(B580="","",IFERROR(INDEX(Inventario!$B$7:$B$46,MATCH(B580,Inventario!$A$7:$A$46,0)),"Clave no existe"))</f>
        <v/>
      </c>
      <c r="D580" s="18" t="str">
        <f aca="false">IF(B580="","",IFERROR(INDEX(Inventario!$C$7:$C$46,MATCH(B580,Inventario!$A$7:$A$46,0)),""))</f>
        <v/>
      </c>
      <c r="E580" s="19"/>
      <c r="F580" s="19"/>
      <c r="G580" s="20" t="str">
        <f aca="false">IF(OR(E580="",F580=""),IF(B580="","",IF(A580="","",8)),F580-E580)</f>
        <v/>
      </c>
      <c r="H580" s="14"/>
      <c r="I580" s="12"/>
      <c r="J580" s="14"/>
      <c r="K580" s="20" t="str">
        <f aca="false">IF(OR(J580="",N(G580)=0),"",J580/G580)</f>
        <v/>
      </c>
      <c r="L580" s="12"/>
      <c r="M580" s="12"/>
      <c r="N580" s="12"/>
    </row>
    <row r="581" customFormat="false" ht="15" hidden="false" customHeight="false" outlineLevel="0" collapsed="false">
      <c r="A581" s="16"/>
      <c r="B581" s="12"/>
      <c r="C581" s="18" t="str">
        <f aca="false">IF(B581="","",IFERROR(INDEX(Inventario!$B$7:$B$46,MATCH(B581,Inventario!$A$7:$A$46,0)),"Clave no existe"))</f>
        <v/>
      </c>
      <c r="D581" s="18" t="str">
        <f aca="false">IF(B581="","",IFERROR(INDEX(Inventario!$C$7:$C$46,MATCH(B581,Inventario!$A$7:$A$46,0)),""))</f>
        <v/>
      </c>
      <c r="E581" s="19"/>
      <c r="F581" s="19"/>
      <c r="G581" s="20" t="str">
        <f aca="false">IF(OR(E581="",F581=""),IF(B581="","",IF(A581="","",8)),F581-E581)</f>
        <v/>
      </c>
      <c r="H581" s="14"/>
      <c r="I581" s="12"/>
      <c r="J581" s="14"/>
      <c r="K581" s="20" t="str">
        <f aca="false">IF(OR(J581="",N(G581)=0),"",J581/G581)</f>
        <v/>
      </c>
      <c r="L581" s="12"/>
      <c r="M581" s="12"/>
      <c r="N581" s="12"/>
    </row>
    <row r="582" customFormat="false" ht="15" hidden="false" customHeight="false" outlineLevel="0" collapsed="false">
      <c r="A582" s="16"/>
      <c r="B582" s="12"/>
      <c r="C582" s="18" t="str">
        <f aca="false">IF(B582="","",IFERROR(INDEX(Inventario!$B$7:$B$46,MATCH(B582,Inventario!$A$7:$A$46,0)),"Clave no existe"))</f>
        <v/>
      </c>
      <c r="D582" s="18" t="str">
        <f aca="false">IF(B582="","",IFERROR(INDEX(Inventario!$C$7:$C$46,MATCH(B582,Inventario!$A$7:$A$46,0)),""))</f>
        <v/>
      </c>
      <c r="E582" s="19"/>
      <c r="F582" s="19"/>
      <c r="G582" s="20" t="str">
        <f aca="false">IF(OR(E582="",F582=""),IF(B582="","",IF(A582="","",8)),F582-E582)</f>
        <v/>
      </c>
      <c r="H582" s="14"/>
      <c r="I582" s="12"/>
      <c r="J582" s="14"/>
      <c r="K582" s="20" t="str">
        <f aca="false">IF(OR(J582="",N(G582)=0),"",J582/G582)</f>
        <v/>
      </c>
      <c r="L582" s="12"/>
      <c r="M582" s="12"/>
      <c r="N582" s="12"/>
    </row>
    <row r="583" customFormat="false" ht="15" hidden="false" customHeight="false" outlineLevel="0" collapsed="false">
      <c r="A583" s="16"/>
      <c r="B583" s="12"/>
      <c r="C583" s="18" t="str">
        <f aca="false">IF(B583="","",IFERROR(INDEX(Inventario!$B$7:$B$46,MATCH(B583,Inventario!$A$7:$A$46,0)),"Clave no existe"))</f>
        <v/>
      </c>
      <c r="D583" s="18" t="str">
        <f aca="false">IF(B583="","",IFERROR(INDEX(Inventario!$C$7:$C$46,MATCH(B583,Inventario!$A$7:$A$46,0)),""))</f>
        <v/>
      </c>
      <c r="E583" s="19"/>
      <c r="F583" s="19"/>
      <c r="G583" s="20" t="str">
        <f aca="false">IF(OR(E583="",F583=""),IF(B583="","",IF(A583="","",8)),F583-E583)</f>
        <v/>
      </c>
      <c r="H583" s="14"/>
      <c r="I583" s="12"/>
      <c r="J583" s="14"/>
      <c r="K583" s="20" t="str">
        <f aca="false">IF(OR(J583="",N(G583)=0),"",J583/G583)</f>
        <v/>
      </c>
      <c r="L583" s="12"/>
      <c r="M583" s="12"/>
      <c r="N583" s="12"/>
    </row>
    <row r="584" customFormat="false" ht="15" hidden="false" customHeight="false" outlineLevel="0" collapsed="false">
      <c r="A584" s="16"/>
      <c r="B584" s="12"/>
      <c r="C584" s="18" t="str">
        <f aca="false">IF(B584="","",IFERROR(INDEX(Inventario!$B$7:$B$46,MATCH(B584,Inventario!$A$7:$A$46,0)),"Clave no existe"))</f>
        <v/>
      </c>
      <c r="D584" s="18" t="str">
        <f aca="false">IF(B584="","",IFERROR(INDEX(Inventario!$C$7:$C$46,MATCH(B584,Inventario!$A$7:$A$46,0)),""))</f>
        <v/>
      </c>
      <c r="E584" s="19"/>
      <c r="F584" s="19"/>
      <c r="G584" s="20" t="str">
        <f aca="false">IF(OR(E584="",F584=""),IF(B584="","",IF(A584="","",8)),F584-E584)</f>
        <v/>
      </c>
      <c r="H584" s="14"/>
      <c r="I584" s="12"/>
      <c r="J584" s="14"/>
      <c r="K584" s="20" t="str">
        <f aca="false">IF(OR(J584="",N(G584)=0),"",J584/G584)</f>
        <v/>
      </c>
      <c r="L584" s="12"/>
      <c r="M584" s="12"/>
      <c r="N584" s="12"/>
    </row>
    <row r="585" customFormat="false" ht="15" hidden="false" customHeight="false" outlineLevel="0" collapsed="false">
      <c r="A585" s="16"/>
      <c r="B585" s="12"/>
      <c r="C585" s="18" t="str">
        <f aca="false">IF(B585="","",IFERROR(INDEX(Inventario!$B$7:$B$46,MATCH(B585,Inventario!$A$7:$A$46,0)),"Clave no existe"))</f>
        <v/>
      </c>
      <c r="D585" s="18" t="str">
        <f aca="false">IF(B585="","",IFERROR(INDEX(Inventario!$C$7:$C$46,MATCH(B585,Inventario!$A$7:$A$46,0)),""))</f>
        <v/>
      </c>
      <c r="E585" s="19"/>
      <c r="F585" s="19"/>
      <c r="G585" s="20" t="str">
        <f aca="false">IF(OR(E585="",F585=""),IF(B585="","",IF(A585="","",8)),F585-E585)</f>
        <v/>
      </c>
      <c r="H585" s="14"/>
      <c r="I585" s="12"/>
      <c r="J585" s="14"/>
      <c r="K585" s="20" t="str">
        <f aca="false">IF(OR(J585="",N(G585)=0),"",J585/G585)</f>
        <v/>
      </c>
      <c r="L585" s="12"/>
      <c r="M585" s="12"/>
      <c r="N585" s="12"/>
    </row>
    <row r="586" customFormat="false" ht="15" hidden="false" customHeight="false" outlineLevel="0" collapsed="false">
      <c r="A586" s="16"/>
      <c r="B586" s="12"/>
      <c r="C586" s="18" t="str">
        <f aca="false">IF(B586="","",IFERROR(INDEX(Inventario!$B$7:$B$46,MATCH(B586,Inventario!$A$7:$A$46,0)),"Clave no existe"))</f>
        <v/>
      </c>
      <c r="D586" s="18" t="str">
        <f aca="false">IF(B586="","",IFERROR(INDEX(Inventario!$C$7:$C$46,MATCH(B586,Inventario!$A$7:$A$46,0)),""))</f>
        <v/>
      </c>
      <c r="E586" s="19"/>
      <c r="F586" s="19"/>
      <c r="G586" s="20" t="str">
        <f aca="false">IF(OR(E586="",F586=""),IF(B586="","",IF(A586="","",8)),F586-E586)</f>
        <v/>
      </c>
      <c r="H586" s="14"/>
      <c r="I586" s="12"/>
      <c r="J586" s="14"/>
      <c r="K586" s="20" t="str">
        <f aca="false">IF(OR(J586="",N(G586)=0),"",J586/G586)</f>
        <v/>
      </c>
      <c r="L586" s="12"/>
      <c r="M586" s="12"/>
      <c r="N586" s="12"/>
    </row>
    <row r="587" customFormat="false" ht="15" hidden="false" customHeight="false" outlineLevel="0" collapsed="false">
      <c r="A587" s="16"/>
      <c r="B587" s="12"/>
      <c r="C587" s="18" t="str">
        <f aca="false">IF(B587="","",IFERROR(INDEX(Inventario!$B$7:$B$46,MATCH(B587,Inventario!$A$7:$A$46,0)),"Clave no existe"))</f>
        <v/>
      </c>
      <c r="D587" s="18" t="str">
        <f aca="false">IF(B587="","",IFERROR(INDEX(Inventario!$C$7:$C$46,MATCH(B587,Inventario!$A$7:$A$46,0)),""))</f>
        <v/>
      </c>
      <c r="E587" s="19"/>
      <c r="F587" s="19"/>
      <c r="G587" s="20" t="str">
        <f aca="false">IF(OR(E587="",F587=""),IF(B587="","",IF(A587="","",8)),F587-E587)</f>
        <v/>
      </c>
      <c r="H587" s="14"/>
      <c r="I587" s="12"/>
      <c r="J587" s="14"/>
      <c r="K587" s="20" t="str">
        <f aca="false">IF(OR(J587="",N(G587)=0),"",J587/G587)</f>
        <v/>
      </c>
      <c r="L587" s="12"/>
      <c r="M587" s="12"/>
      <c r="N587" s="12"/>
    </row>
    <row r="588" customFormat="false" ht="15" hidden="false" customHeight="false" outlineLevel="0" collapsed="false">
      <c r="A588" s="16"/>
      <c r="B588" s="12"/>
      <c r="C588" s="18" t="str">
        <f aca="false">IF(B588="","",IFERROR(INDEX(Inventario!$B$7:$B$46,MATCH(B588,Inventario!$A$7:$A$46,0)),"Clave no existe"))</f>
        <v/>
      </c>
      <c r="D588" s="18" t="str">
        <f aca="false">IF(B588="","",IFERROR(INDEX(Inventario!$C$7:$C$46,MATCH(B588,Inventario!$A$7:$A$46,0)),""))</f>
        <v/>
      </c>
      <c r="E588" s="19"/>
      <c r="F588" s="19"/>
      <c r="G588" s="20" t="str">
        <f aca="false">IF(OR(E588="",F588=""),IF(B588="","",IF(A588="","",8)),F588-E588)</f>
        <v/>
      </c>
      <c r="H588" s="14"/>
      <c r="I588" s="12"/>
      <c r="J588" s="14"/>
      <c r="K588" s="20" t="str">
        <f aca="false">IF(OR(J588="",N(G588)=0),"",J588/G588)</f>
        <v/>
      </c>
      <c r="L588" s="12"/>
      <c r="M588" s="12"/>
      <c r="N588" s="12"/>
    </row>
    <row r="589" customFormat="false" ht="15" hidden="false" customHeight="false" outlineLevel="0" collapsed="false">
      <c r="A589" s="16"/>
      <c r="B589" s="12"/>
      <c r="C589" s="18" t="str">
        <f aca="false">IF(B589="","",IFERROR(INDEX(Inventario!$B$7:$B$46,MATCH(B589,Inventario!$A$7:$A$46,0)),"Clave no existe"))</f>
        <v/>
      </c>
      <c r="D589" s="18" t="str">
        <f aca="false">IF(B589="","",IFERROR(INDEX(Inventario!$C$7:$C$46,MATCH(B589,Inventario!$A$7:$A$46,0)),""))</f>
        <v/>
      </c>
      <c r="E589" s="19"/>
      <c r="F589" s="19"/>
      <c r="G589" s="20" t="str">
        <f aca="false">IF(OR(E589="",F589=""),IF(B589="","",IF(A589="","",8)),F589-E589)</f>
        <v/>
      </c>
      <c r="H589" s="14"/>
      <c r="I589" s="12"/>
      <c r="J589" s="14"/>
      <c r="K589" s="20" t="str">
        <f aca="false">IF(OR(J589="",N(G589)=0),"",J589/G589)</f>
        <v/>
      </c>
      <c r="L589" s="12"/>
      <c r="M589" s="12"/>
      <c r="N589" s="12"/>
    </row>
    <row r="590" customFormat="false" ht="15" hidden="false" customHeight="false" outlineLevel="0" collapsed="false">
      <c r="A590" s="16"/>
      <c r="B590" s="12"/>
      <c r="C590" s="18" t="str">
        <f aca="false">IF(B590="","",IFERROR(INDEX(Inventario!$B$7:$B$46,MATCH(B590,Inventario!$A$7:$A$46,0)),"Clave no existe"))</f>
        <v/>
      </c>
      <c r="D590" s="18" t="str">
        <f aca="false">IF(B590="","",IFERROR(INDEX(Inventario!$C$7:$C$46,MATCH(B590,Inventario!$A$7:$A$46,0)),""))</f>
        <v/>
      </c>
      <c r="E590" s="19"/>
      <c r="F590" s="19"/>
      <c r="G590" s="20" t="str">
        <f aca="false">IF(OR(E590="",F590=""),IF(B590="","",IF(A590="","",8)),F590-E590)</f>
        <v/>
      </c>
      <c r="H590" s="14"/>
      <c r="I590" s="12"/>
      <c r="J590" s="14"/>
      <c r="K590" s="20" t="str">
        <f aca="false">IF(OR(J590="",N(G590)=0),"",J590/G590)</f>
        <v/>
      </c>
      <c r="L590" s="12"/>
      <c r="M590" s="12"/>
      <c r="N590" s="12"/>
    </row>
    <row r="591" customFormat="false" ht="15" hidden="false" customHeight="false" outlineLevel="0" collapsed="false">
      <c r="A591" s="16"/>
      <c r="B591" s="12"/>
      <c r="C591" s="18" t="str">
        <f aca="false">IF(B591="","",IFERROR(INDEX(Inventario!$B$7:$B$46,MATCH(B591,Inventario!$A$7:$A$46,0)),"Clave no existe"))</f>
        <v/>
      </c>
      <c r="D591" s="18" t="str">
        <f aca="false">IF(B591="","",IFERROR(INDEX(Inventario!$C$7:$C$46,MATCH(B591,Inventario!$A$7:$A$46,0)),""))</f>
        <v/>
      </c>
      <c r="E591" s="19"/>
      <c r="F591" s="19"/>
      <c r="G591" s="20" t="str">
        <f aca="false">IF(OR(E591="",F591=""),IF(B591="","",IF(A591="","",8)),F591-E591)</f>
        <v/>
      </c>
      <c r="H591" s="14"/>
      <c r="I591" s="12"/>
      <c r="J591" s="14"/>
      <c r="K591" s="20" t="str">
        <f aca="false">IF(OR(J591="",N(G591)=0),"",J591/G591)</f>
        <v/>
      </c>
      <c r="L591" s="12"/>
      <c r="M591" s="12"/>
      <c r="N591" s="12"/>
    </row>
    <row r="592" customFormat="false" ht="15" hidden="false" customHeight="false" outlineLevel="0" collapsed="false">
      <c r="A592" s="16"/>
      <c r="B592" s="12"/>
      <c r="C592" s="18" t="str">
        <f aca="false">IF(B592="","",IFERROR(INDEX(Inventario!$B$7:$B$46,MATCH(B592,Inventario!$A$7:$A$46,0)),"Clave no existe"))</f>
        <v/>
      </c>
      <c r="D592" s="18" t="str">
        <f aca="false">IF(B592="","",IFERROR(INDEX(Inventario!$C$7:$C$46,MATCH(B592,Inventario!$A$7:$A$46,0)),""))</f>
        <v/>
      </c>
      <c r="E592" s="19"/>
      <c r="F592" s="19"/>
      <c r="G592" s="20" t="str">
        <f aca="false">IF(OR(E592="",F592=""),IF(B592="","",IF(A592="","",8)),F592-E592)</f>
        <v/>
      </c>
      <c r="H592" s="14"/>
      <c r="I592" s="12"/>
      <c r="J592" s="14"/>
      <c r="K592" s="20" t="str">
        <f aca="false">IF(OR(J592="",N(G592)=0),"",J592/G592)</f>
        <v/>
      </c>
      <c r="L592" s="12"/>
      <c r="M592" s="12"/>
      <c r="N592" s="12"/>
    </row>
    <row r="593" customFormat="false" ht="15" hidden="false" customHeight="false" outlineLevel="0" collapsed="false">
      <c r="A593" s="16"/>
      <c r="B593" s="12"/>
      <c r="C593" s="18" t="str">
        <f aca="false">IF(B593="","",IFERROR(INDEX(Inventario!$B$7:$B$46,MATCH(B593,Inventario!$A$7:$A$46,0)),"Clave no existe"))</f>
        <v/>
      </c>
      <c r="D593" s="18" t="str">
        <f aca="false">IF(B593="","",IFERROR(INDEX(Inventario!$C$7:$C$46,MATCH(B593,Inventario!$A$7:$A$46,0)),""))</f>
        <v/>
      </c>
      <c r="E593" s="19"/>
      <c r="F593" s="19"/>
      <c r="G593" s="20" t="str">
        <f aca="false">IF(OR(E593="",F593=""),IF(B593="","",IF(A593="","",8)),F593-E593)</f>
        <v/>
      </c>
      <c r="H593" s="14"/>
      <c r="I593" s="12"/>
      <c r="J593" s="14"/>
      <c r="K593" s="20" t="str">
        <f aca="false">IF(OR(J593="",N(G593)=0),"",J593/G593)</f>
        <v/>
      </c>
      <c r="L593" s="12"/>
      <c r="M593" s="12"/>
      <c r="N593" s="12"/>
    </row>
    <row r="594" customFormat="false" ht="15" hidden="false" customHeight="false" outlineLevel="0" collapsed="false">
      <c r="A594" s="16"/>
      <c r="B594" s="12"/>
      <c r="C594" s="18" t="str">
        <f aca="false">IF(B594="","",IFERROR(INDEX(Inventario!$B$7:$B$46,MATCH(B594,Inventario!$A$7:$A$46,0)),"Clave no existe"))</f>
        <v/>
      </c>
      <c r="D594" s="18" t="str">
        <f aca="false">IF(B594="","",IFERROR(INDEX(Inventario!$C$7:$C$46,MATCH(B594,Inventario!$A$7:$A$46,0)),""))</f>
        <v/>
      </c>
      <c r="E594" s="19"/>
      <c r="F594" s="19"/>
      <c r="G594" s="20" t="str">
        <f aca="false">IF(OR(E594="",F594=""),IF(B594="","",IF(A594="","",8)),F594-E594)</f>
        <v/>
      </c>
      <c r="H594" s="14"/>
      <c r="I594" s="12"/>
      <c r="J594" s="14"/>
      <c r="K594" s="20" t="str">
        <f aca="false">IF(OR(J594="",N(G594)=0),"",J594/G594)</f>
        <v/>
      </c>
      <c r="L594" s="12"/>
      <c r="M594" s="12"/>
      <c r="N594" s="12"/>
    </row>
    <row r="595" customFormat="false" ht="15" hidden="false" customHeight="false" outlineLevel="0" collapsed="false">
      <c r="A595" s="16"/>
      <c r="B595" s="12"/>
      <c r="C595" s="18" t="str">
        <f aca="false">IF(B595="","",IFERROR(INDEX(Inventario!$B$7:$B$46,MATCH(B595,Inventario!$A$7:$A$46,0)),"Clave no existe"))</f>
        <v/>
      </c>
      <c r="D595" s="18" t="str">
        <f aca="false">IF(B595="","",IFERROR(INDEX(Inventario!$C$7:$C$46,MATCH(B595,Inventario!$A$7:$A$46,0)),""))</f>
        <v/>
      </c>
      <c r="E595" s="19"/>
      <c r="F595" s="19"/>
      <c r="G595" s="20" t="str">
        <f aca="false">IF(OR(E595="",F595=""),IF(B595="","",IF(A595="","",8)),F595-E595)</f>
        <v/>
      </c>
      <c r="H595" s="14"/>
      <c r="I595" s="12"/>
      <c r="J595" s="14"/>
      <c r="K595" s="20" t="str">
        <f aca="false">IF(OR(J595="",N(G595)=0),"",J595/G595)</f>
        <v/>
      </c>
      <c r="L595" s="12"/>
      <c r="M595" s="12"/>
      <c r="N595" s="12"/>
    </row>
    <row r="596" customFormat="false" ht="15" hidden="false" customHeight="false" outlineLevel="0" collapsed="false">
      <c r="A596" s="16"/>
      <c r="B596" s="12"/>
      <c r="C596" s="18" t="str">
        <f aca="false">IF(B596="","",IFERROR(INDEX(Inventario!$B$7:$B$46,MATCH(B596,Inventario!$A$7:$A$46,0)),"Clave no existe"))</f>
        <v/>
      </c>
      <c r="D596" s="18" t="str">
        <f aca="false">IF(B596="","",IFERROR(INDEX(Inventario!$C$7:$C$46,MATCH(B596,Inventario!$A$7:$A$46,0)),""))</f>
        <v/>
      </c>
      <c r="E596" s="19"/>
      <c r="F596" s="19"/>
      <c r="G596" s="20" t="str">
        <f aca="false">IF(OR(E596="",F596=""),IF(B596="","",IF(A596="","",8)),F596-E596)</f>
        <v/>
      </c>
      <c r="H596" s="14"/>
      <c r="I596" s="12"/>
      <c r="J596" s="14"/>
      <c r="K596" s="20" t="str">
        <f aca="false">IF(OR(J596="",N(G596)=0),"",J596/G596)</f>
        <v/>
      </c>
      <c r="L596" s="12"/>
      <c r="M596" s="12"/>
      <c r="N596" s="12"/>
    </row>
    <row r="597" customFormat="false" ht="15" hidden="false" customHeight="false" outlineLevel="0" collapsed="false">
      <c r="A597" s="16"/>
      <c r="B597" s="12"/>
      <c r="C597" s="18" t="str">
        <f aca="false">IF(B597="","",IFERROR(INDEX(Inventario!$B$7:$B$46,MATCH(B597,Inventario!$A$7:$A$46,0)),"Clave no existe"))</f>
        <v/>
      </c>
      <c r="D597" s="18" t="str">
        <f aca="false">IF(B597="","",IFERROR(INDEX(Inventario!$C$7:$C$46,MATCH(B597,Inventario!$A$7:$A$46,0)),""))</f>
        <v/>
      </c>
      <c r="E597" s="19"/>
      <c r="F597" s="19"/>
      <c r="G597" s="20" t="str">
        <f aca="false">IF(OR(E597="",F597=""),IF(B597="","",IF(A597="","",8)),F597-E597)</f>
        <v/>
      </c>
      <c r="H597" s="14"/>
      <c r="I597" s="12"/>
      <c r="J597" s="14"/>
      <c r="K597" s="20" t="str">
        <f aca="false">IF(OR(J597="",N(G597)=0),"",J597/G597)</f>
        <v/>
      </c>
      <c r="L597" s="12"/>
      <c r="M597" s="12"/>
      <c r="N597" s="12"/>
    </row>
    <row r="598" customFormat="false" ht="15" hidden="false" customHeight="false" outlineLevel="0" collapsed="false">
      <c r="A598" s="16"/>
      <c r="B598" s="12"/>
      <c r="C598" s="18" t="str">
        <f aca="false">IF(B598="","",IFERROR(INDEX(Inventario!$B$7:$B$46,MATCH(B598,Inventario!$A$7:$A$46,0)),"Clave no existe"))</f>
        <v/>
      </c>
      <c r="D598" s="18" t="str">
        <f aca="false">IF(B598="","",IFERROR(INDEX(Inventario!$C$7:$C$46,MATCH(B598,Inventario!$A$7:$A$46,0)),""))</f>
        <v/>
      </c>
      <c r="E598" s="19"/>
      <c r="F598" s="19"/>
      <c r="G598" s="20" t="str">
        <f aca="false">IF(OR(E598="",F598=""),IF(B598="","",IF(A598="","",8)),F598-E598)</f>
        <v/>
      </c>
      <c r="H598" s="14"/>
      <c r="I598" s="12"/>
      <c r="J598" s="14"/>
      <c r="K598" s="20" t="str">
        <f aca="false">IF(OR(J598="",N(G598)=0),"",J598/G598)</f>
        <v/>
      </c>
      <c r="L598" s="12"/>
      <c r="M598" s="12"/>
      <c r="N598" s="12"/>
    </row>
    <row r="599" customFormat="false" ht="15" hidden="false" customHeight="false" outlineLevel="0" collapsed="false">
      <c r="A599" s="16"/>
      <c r="B599" s="12"/>
      <c r="C599" s="18" t="str">
        <f aca="false">IF(B599="","",IFERROR(INDEX(Inventario!$B$7:$B$46,MATCH(B599,Inventario!$A$7:$A$46,0)),"Clave no existe"))</f>
        <v/>
      </c>
      <c r="D599" s="18" t="str">
        <f aca="false">IF(B599="","",IFERROR(INDEX(Inventario!$C$7:$C$46,MATCH(B599,Inventario!$A$7:$A$46,0)),""))</f>
        <v/>
      </c>
      <c r="E599" s="19"/>
      <c r="F599" s="19"/>
      <c r="G599" s="20" t="str">
        <f aca="false">IF(OR(E599="",F599=""),IF(B599="","",IF(A599="","",8)),F599-E599)</f>
        <v/>
      </c>
      <c r="H599" s="14"/>
      <c r="I599" s="12"/>
      <c r="J599" s="14"/>
      <c r="K599" s="20" t="str">
        <f aca="false">IF(OR(J599="",N(G599)=0),"",J599/G599)</f>
        <v/>
      </c>
      <c r="L599" s="12"/>
      <c r="M599" s="12"/>
      <c r="N599" s="12"/>
    </row>
    <row r="600" customFormat="false" ht="15" hidden="false" customHeight="false" outlineLevel="0" collapsed="false">
      <c r="A600" s="16"/>
      <c r="B600" s="12"/>
      <c r="C600" s="18" t="str">
        <f aca="false">IF(B600="","",IFERROR(INDEX(Inventario!$B$7:$B$46,MATCH(B600,Inventario!$A$7:$A$46,0)),"Clave no existe"))</f>
        <v/>
      </c>
      <c r="D600" s="18" t="str">
        <f aca="false">IF(B600="","",IFERROR(INDEX(Inventario!$C$7:$C$46,MATCH(B600,Inventario!$A$7:$A$46,0)),""))</f>
        <v/>
      </c>
      <c r="E600" s="19"/>
      <c r="F600" s="19"/>
      <c r="G600" s="20" t="str">
        <f aca="false">IF(OR(E600="",F600=""),IF(B600="","",IF(A600="","",8)),F600-E600)</f>
        <v/>
      </c>
      <c r="H600" s="14"/>
      <c r="I600" s="12"/>
      <c r="J600" s="14"/>
      <c r="K600" s="20" t="str">
        <f aca="false">IF(OR(J600="",N(G600)=0),"",J600/G600)</f>
        <v/>
      </c>
      <c r="L600" s="12"/>
      <c r="M600" s="12"/>
      <c r="N600" s="12"/>
    </row>
    <row r="601" customFormat="false" ht="15" hidden="false" customHeight="false" outlineLevel="0" collapsed="false">
      <c r="A601" s="16"/>
      <c r="B601" s="12"/>
      <c r="C601" s="18" t="str">
        <f aca="false">IF(B601="","",IFERROR(INDEX(Inventario!$B$7:$B$46,MATCH(B601,Inventario!$A$7:$A$46,0)),"Clave no existe"))</f>
        <v/>
      </c>
      <c r="D601" s="18" t="str">
        <f aca="false">IF(B601="","",IFERROR(INDEX(Inventario!$C$7:$C$46,MATCH(B601,Inventario!$A$7:$A$46,0)),""))</f>
        <v/>
      </c>
      <c r="E601" s="19"/>
      <c r="F601" s="19"/>
      <c r="G601" s="20" t="str">
        <f aca="false">IF(OR(E601="",F601=""),IF(B601="","",IF(A601="","",8)),F601-E601)</f>
        <v/>
      </c>
      <c r="H601" s="14"/>
      <c r="I601" s="12"/>
      <c r="J601" s="14"/>
      <c r="K601" s="20" t="str">
        <f aca="false">IF(OR(J601="",N(G601)=0),"",J601/G601)</f>
        <v/>
      </c>
      <c r="L601" s="12"/>
      <c r="M601" s="12"/>
      <c r="N601" s="12"/>
    </row>
    <row r="602" customFormat="false" ht="15" hidden="false" customHeight="false" outlineLevel="0" collapsed="false">
      <c r="A602" s="16"/>
      <c r="B602" s="12"/>
      <c r="C602" s="18" t="str">
        <f aca="false">IF(B602="","",IFERROR(INDEX(Inventario!$B$7:$B$46,MATCH(B602,Inventario!$A$7:$A$46,0)),"Clave no existe"))</f>
        <v/>
      </c>
      <c r="D602" s="18" t="str">
        <f aca="false">IF(B602="","",IFERROR(INDEX(Inventario!$C$7:$C$46,MATCH(B602,Inventario!$A$7:$A$46,0)),""))</f>
        <v/>
      </c>
      <c r="E602" s="19"/>
      <c r="F602" s="19"/>
      <c r="G602" s="20" t="str">
        <f aca="false">IF(OR(E602="",F602=""),IF(B602="","",IF(A602="","",8)),F602-E602)</f>
        <v/>
      </c>
      <c r="H602" s="14"/>
      <c r="I602" s="12"/>
      <c r="J602" s="14"/>
      <c r="K602" s="20" t="str">
        <f aca="false">IF(OR(J602="",N(G602)=0),"",J602/G602)</f>
        <v/>
      </c>
      <c r="L602" s="12"/>
      <c r="M602" s="12"/>
      <c r="N602" s="12"/>
    </row>
    <row r="603" customFormat="false" ht="15" hidden="false" customHeight="false" outlineLevel="0" collapsed="false">
      <c r="A603" s="16"/>
      <c r="B603" s="12"/>
      <c r="C603" s="18" t="str">
        <f aca="false">IF(B603="","",IFERROR(INDEX(Inventario!$B$7:$B$46,MATCH(B603,Inventario!$A$7:$A$46,0)),"Clave no existe"))</f>
        <v/>
      </c>
      <c r="D603" s="18" t="str">
        <f aca="false">IF(B603="","",IFERROR(INDEX(Inventario!$C$7:$C$46,MATCH(B603,Inventario!$A$7:$A$46,0)),""))</f>
        <v/>
      </c>
      <c r="E603" s="19"/>
      <c r="F603" s="19"/>
      <c r="G603" s="20" t="str">
        <f aca="false">IF(OR(E603="",F603=""),IF(B603="","",IF(A603="","",8)),F603-E603)</f>
        <v/>
      </c>
      <c r="H603" s="14"/>
      <c r="I603" s="12"/>
      <c r="J603" s="14"/>
      <c r="K603" s="20" t="str">
        <f aca="false">IF(OR(J603="",N(G603)=0),"",J603/G603)</f>
        <v/>
      </c>
      <c r="L603" s="12"/>
      <c r="M603" s="12"/>
      <c r="N603" s="12"/>
    </row>
    <row r="604" customFormat="false" ht="15" hidden="false" customHeight="false" outlineLevel="0" collapsed="false">
      <c r="A604" s="16"/>
      <c r="B604" s="12"/>
      <c r="C604" s="18" t="str">
        <f aca="false">IF(B604="","",IFERROR(INDEX(Inventario!$B$7:$B$46,MATCH(B604,Inventario!$A$7:$A$46,0)),"Clave no existe"))</f>
        <v/>
      </c>
      <c r="D604" s="18" t="str">
        <f aca="false">IF(B604="","",IFERROR(INDEX(Inventario!$C$7:$C$46,MATCH(B604,Inventario!$A$7:$A$46,0)),""))</f>
        <v/>
      </c>
      <c r="E604" s="19"/>
      <c r="F604" s="19"/>
      <c r="G604" s="20" t="str">
        <f aca="false">IF(OR(E604="",F604=""),IF(B604="","",IF(A604="","",8)),F604-E604)</f>
        <v/>
      </c>
      <c r="H604" s="14"/>
      <c r="I604" s="12"/>
      <c r="J604" s="14"/>
      <c r="K604" s="20" t="str">
        <f aca="false">IF(OR(J604="",N(G604)=0),"",J604/G604)</f>
        <v/>
      </c>
      <c r="L604" s="12"/>
      <c r="M604" s="12"/>
      <c r="N604" s="12"/>
    </row>
    <row r="605" customFormat="false" ht="15" hidden="false" customHeight="false" outlineLevel="0" collapsed="false">
      <c r="A605" s="16"/>
      <c r="B605" s="12"/>
      <c r="C605" s="18" t="str">
        <f aca="false">IF(B605="","",IFERROR(INDEX(Inventario!$B$7:$B$46,MATCH(B605,Inventario!$A$7:$A$46,0)),"Clave no existe"))</f>
        <v/>
      </c>
      <c r="D605" s="18" t="str">
        <f aca="false">IF(B605="","",IFERROR(INDEX(Inventario!$C$7:$C$46,MATCH(B605,Inventario!$A$7:$A$46,0)),""))</f>
        <v/>
      </c>
      <c r="E605" s="19"/>
      <c r="F605" s="19"/>
      <c r="G605" s="20" t="str">
        <f aca="false">IF(OR(E605="",F605=""),IF(B605="","",IF(A605="","",8)),F605-E605)</f>
        <v/>
      </c>
      <c r="H605" s="14"/>
      <c r="I605" s="12"/>
      <c r="J605" s="14"/>
      <c r="K605" s="20" t="str">
        <f aca="false">IF(OR(J605="",N(G605)=0),"",J605/G605)</f>
        <v/>
      </c>
      <c r="L605" s="12"/>
      <c r="M605" s="12"/>
      <c r="N605" s="12"/>
    </row>
    <row r="606" customFormat="false" ht="15" hidden="false" customHeight="false" outlineLevel="0" collapsed="false">
      <c r="A606" s="16"/>
      <c r="B606" s="12"/>
      <c r="C606" s="18" t="str">
        <f aca="false">IF(B606="","",IFERROR(INDEX(Inventario!$B$7:$B$46,MATCH(B606,Inventario!$A$7:$A$46,0)),"Clave no existe"))</f>
        <v/>
      </c>
      <c r="D606" s="18" t="str">
        <f aca="false">IF(B606="","",IFERROR(INDEX(Inventario!$C$7:$C$46,MATCH(B606,Inventario!$A$7:$A$46,0)),""))</f>
        <v/>
      </c>
      <c r="E606" s="19"/>
      <c r="F606" s="19"/>
      <c r="G606" s="20" t="str">
        <f aca="false">IF(OR(E606="",F606=""),IF(B606="","",IF(A606="","",8)),F606-E606)</f>
        <v/>
      </c>
      <c r="H606" s="14"/>
      <c r="I606" s="12"/>
      <c r="J606" s="14"/>
      <c r="K606" s="20" t="str">
        <f aca="false">IF(OR(J606="",N(G606)=0),"",J606/G606)</f>
        <v/>
      </c>
      <c r="L606" s="12"/>
      <c r="M606" s="12"/>
      <c r="N606" s="12"/>
    </row>
    <row r="607" customFormat="false" ht="15" hidden="false" customHeight="false" outlineLevel="0" collapsed="false">
      <c r="A607" s="16"/>
      <c r="B607" s="12"/>
      <c r="C607" s="18" t="str">
        <f aca="false">IF(B607="","",IFERROR(INDEX(Inventario!$B$7:$B$46,MATCH(B607,Inventario!$A$7:$A$46,0)),"Clave no existe"))</f>
        <v/>
      </c>
      <c r="D607" s="18" t="str">
        <f aca="false">IF(B607="","",IFERROR(INDEX(Inventario!$C$7:$C$46,MATCH(B607,Inventario!$A$7:$A$46,0)),""))</f>
        <v/>
      </c>
      <c r="E607" s="19"/>
      <c r="F607" s="19"/>
      <c r="G607" s="20" t="str">
        <f aca="false">IF(OR(E607="",F607=""),IF(B607="","",IF(A607="","",8)),F607-E607)</f>
        <v/>
      </c>
      <c r="H607" s="14"/>
      <c r="I607" s="12"/>
      <c r="J607" s="14"/>
      <c r="K607" s="20" t="str">
        <f aca="false">IF(OR(J607="",N(G607)=0),"",J607/G607)</f>
        <v/>
      </c>
      <c r="L607" s="12"/>
      <c r="M607" s="12"/>
      <c r="N607" s="12"/>
    </row>
    <row r="608" customFormat="false" ht="15" hidden="false" customHeight="false" outlineLevel="0" collapsed="false">
      <c r="A608" s="16"/>
      <c r="B608" s="12"/>
      <c r="C608" s="18" t="str">
        <f aca="false">IF(B608="","",IFERROR(INDEX(Inventario!$B$7:$B$46,MATCH(B608,Inventario!$A$7:$A$46,0)),"Clave no existe"))</f>
        <v/>
      </c>
      <c r="D608" s="18" t="str">
        <f aca="false">IF(B608="","",IFERROR(INDEX(Inventario!$C$7:$C$46,MATCH(B608,Inventario!$A$7:$A$46,0)),""))</f>
        <v/>
      </c>
      <c r="E608" s="19"/>
      <c r="F608" s="19"/>
      <c r="G608" s="20" t="str">
        <f aca="false">IF(OR(E608="",F608=""),IF(B608="","",IF(A608="","",8)),F608-E608)</f>
        <v/>
      </c>
      <c r="H608" s="14"/>
      <c r="I608" s="12"/>
      <c r="J608" s="14"/>
      <c r="K608" s="20" t="str">
        <f aca="false">IF(OR(J608="",N(G608)=0),"",J608/G608)</f>
        <v/>
      </c>
      <c r="L608" s="12"/>
      <c r="M608" s="12"/>
      <c r="N608" s="12"/>
    </row>
    <row r="609" customFormat="false" ht="15" hidden="false" customHeight="false" outlineLevel="0" collapsed="false">
      <c r="A609" s="16"/>
      <c r="B609" s="12"/>
      <c r="C609" s="18" t="str">
        <f aca="false">IF(B609="","",IFERROR(INDEX(Inventario!$B$7:$B$46,MATCH(B609,Inventario!$A$7:$A$46,0)),"Clave no existe"))</f>
        <v/>
      </c>
      <c r="D609" s="18" t="str">
        <f aca="false">IF(B609="","",IFERROR(INDEX(Inventario!$C$7:$C$46,MATCH(B609,Inventario!$A$7:$A$46,0)),""))</f>
        <v/>
      </c>
      <c r="E609" s="19"/>
      <c r="F609" s="19"/>
      <c r="G609" s="20" t="str">
        <f aca="false">IF(OR(E609="",F609=""),IF(B609="","",IF(A609="","",8)),F609-E609)</f>
        <v/>
      </c>
      <c r="H609" s="14"/>
      <c r="I609" s="12"/>
      <c r="J609" s="14"/>
      <c r="K609" s="20" t="str">
        <f aca="false">IF(OR(J609="",N(G609)=0),"",J609/G609)</f>
        <v/>
      </c>
      <c r="L609" s="12"/>
      <c r="M609" s="12"/>
      <c r="N609" s="12"/>
    </row>
    <row r="610" customFormat="false" ht="15" hidden="false" customHeight="false" outlineLevel="0" collapsed="false">
      <c r="A610" s="16"/>
      <c r="B610" s="12"/>
      <c r="C610" s="18" t="str">
        <f aca="false">IF(B610="","",IFERROR(INDEX(Inventario!$B$7:$B$46,MATCH(B610,Inventario!$A$7:$A$46,0)),"Clave no existe"))</f>
        <v/>
      </c>
      <c r="D610" s="18" t="str">
        <f aca="false">IF(B610="","",IFERROR(INDEX(Inventario!$C$7:$C$46,MATCH(B610,Inventario!$A$7:$A$46,0)),""))</f>
        <v/>
      </c>
      <c r="E610" s="19"/>
      <c r="F610" s="19"/>
      <c r="G610" s="20" t="str">
        <f aca="false">IF(OR(E610="",F610=""),IF(B610="","",IF(A610="","",8)),F610-E610)</f>
        <v/>
      </c>
      <c r="H610" s="14"/>
      <c r="I610" s="12"/>
      <c r="J610" s="14"/>
      <c r="K610" s="20" t="str">
        <f aca="false">IF(OR(J610="",N(G610)=0),"",J610/G610)</f>
        <v/>
      </c>
      <c r="L610" s="12"/>
      <c r="M610" s="12"/>
      <c r="N610" s="12"/>
    </row>
    <row r="611" customFormat="false" ht="15" hidden="false" customHeight="false" outlineLevel="0" collapsed="false">
      <c r="A611" s="16"/>
      <c r="B611" s="12"/>
      <c r="C611" s="18" t="str">
        <f aca="false">IF(B611="","",IFERROR(INDEX(Inventario!$B$7:$B$46,MATCH(B611,Inventario!$A$7:$A$46,0)),"Clave no existe"))</f>
        <v/>
      </c>
      <c r="D611" s="18" t="str">
        <f aca="false">IF(B611="","",IFERROR(INDEX(Inventario!$C$7:$C$46,MATCH(B611,Inventario!$A$7:$A$46,0)),""))</f>
        <v/>
      </c>
      <c r="E611" s="19"/>
      <c r="F611" s="19"/>
      <c r="G611" s="20" t="str">
        <f aca="false">IF(OR(E611="",F611=""),IF(B611="","",IF(A611="","",8)),F611-E611)</f>
        <v/>
      </c>
      <c r="H611" s="14"/>
      <c r="I611" s="12"/>
      <c r="J611" s="14"/>
      <c r="K611" s="20" t="str">
        <f aca="false">IF(OR(J611="",N(G611)=0),"",J611/G611)</f>
        <v/>
      </c>
      <c r="L611" s="12"/>
      <c r="M611" s="12"/>
      <c r="N611" s="12"/>
    </row>
    <row r="612" customFormat="false" ht="15" hidden="false" customHeight="false" outlineLevel="0" collapsed="false">
      <c r="A612" s="16"/>
      <c r="B612" s="12"/>
      <c r="C612" s="18" t="str">
        <f aca="false">IF(B612="","",IFERROR(INDEX(Inventario!$B$7:$B$46,MATCH(B612,Inventario!$A$7:$A$46,0)),"Clave no existe"))</f>
        <v/>
      </c>
      <c r="D612" s="18" t="str">
        <f aca="false">IF(B612="","",IFERROR(INDEX(Inventario!$C$7:$C$46,MATCH(B612,Inventario!$A$7:$A$46,0)),""))</f>
        <v/>
      </c>
      <c r="E612" s="19"/>
      <c r="F612" s="19"/>
      <c r="G612" s="20" t="str">
        <f aca="false">IF(OR(E612="",F612=""),IF(B612="","",IF(A612="","",8)),F612-E612)</f>
        <v/>
      </c>
      <c r="H612" s="14"/>
      <c r="I612" s="12"/>
      <c r="J612" s="14"/>
      <c r="K612" s="20" t="str">
        <f aca="false">IF(OR(J612="",N(G612)=0),"",J612/G612)</f>
        <v/>
      </c>
      <c r="L612" s="12"/>
      <c r="M612" s="12"/>
      <c r="N612" s="12"/>
    </row>
    <row r="613" customFormat="false" ht="15" hidden="false" customHeight="false" outlineLevel="0" collapsed="false">
      <c r="A613" s="16"/>
      <c r="B613" s="12"/>
      <c r="C613" s="18" t="str">
        <f aca="false">IF(B613="","",IFERROR(INDEX(Inventario!$B$7:$B$46,MATCH(B613,Inventario!$A$7:$A$46,0)),"Clave no existe"))</f>
        <v/>
      </c>
      <c r="D613" s="18" t="str">
        <f aca="false">IF(B613="","",IFERROR(INDEX(Inventario!$C$7:$C$46,MATCH(B613,Inventario!$A$7:$A$46,0)),""))</f>
        <v/>
      </c>
      <c r="E613" s="19"/>
      <c r="F613" s="19"/>
      <c r="G613" s="20" t="str">
        <f aca="false">IF(OR(E613="",F613=""),IF(B613="","",IF(A613="","",8)),F613-E613)</f>
        <v/>
      </c>
      <c r="H613" s="14"/>
      <c r="I613" s="12"/>
      <c r="J613" s="14"/>
      <c r="K613" s="20" t="str">
        <f aca="false">IF(OR(J613="",N(G613)=0),"",J613/G613)</f>
        <v/>
      </c>
      <c r="L613" s="12"/>
      <c r="M613" s="12"/>
      <c r="N613" s="12"/>
    </row>
    <row r="614" customFormat="false" ht="15" hidden="false" customHeight="false" outlineLevel="0" collapsed="false">
      <c r="A614" s="16"/>
      <c r="B614" s="12"/>
      <c r="C614" s="18" t="str">
        <f aca="false">IF(B614="","",IFERROR(INDEX(Inventario!$B$7:$B$46,MATCH(B614,Inventario!$A$7:$A$46,0)),"Clave no existe"))</f>
        <v/>
      </c>
      <c r="D614" s="18" t="str">
        <f aca="false">IF(B614="","",IFERROR(INDEX(Inventario!$C$7:$C$46,MATCH(B614,Inventario!$A$7:$A$46,0)),""))</f>
        <v/>
      </c>
      <c r="E614" s="19"/>
      <c r="F614" s="19"/>
      <c r="G614" s="20" t="str">
        <f aca="false">IF(OR(E614="",F614=""),IF(B614="","",IF(A614="","",8)),F614-E614)</f>
        <v/>
      </c>
      <c r="H614" s="14"/>
      <c r="I614" s="12"/>
      <c r="J614" s="14"/>
      <c r="K614" s="20" t="str">
        <f aca="false">IF(OR(J614="",N(G614)=0),"",J614/G614)</f>
        <v/>
      </c>
      <c r="L614" s="12"/>
      <c r="M614" s="12"/>
      <c r="N614" s="12"/>
    </row>
    <row r="615" customFormat="false" ht="15" hidden="false" customHeight="false" outlineLevel="0" collapsed="false">
      <c r="A615" s="16"/>
      <c r="B615" s="12"/>
      <c r="C615" s="18" t="str">
        <f aca="false">IF(B615="","",IFERROR(INDEX(Inventario!$B$7:$B$46,MATCH(B615,Inventario!$A$7:$A$46,0)),"Clave no existe"))</f>
        <v/>
      </c>
      <c r="D615" s="18" t="str">
        <f aca="false">IF(B615="","",IFERROR(INDEX(Inventario!$C$7:$C$46,MATCH(B615,Inventario!$A$7:$A$46,0)),""))</f>
        <v/>
      </c>
      <c r="E615" s="19"/>
      <c r="F615" s="19"/>
      <c r="G615" s="20" t="str">
        <f aca="false">IF(OR(E615="",F615=""),IF(B615="","",IF(A615="","",8)),F615-E615)</f>
        <v/>
      </c>
      <c r="H615" s="14"/>
      <c r="I615" s="12"/>
      <c r="J615" s="14"/>
      <c r="K615" s="20" t="str">
        <f aca="false">IF(OR(J615="",N(G615)=0),"",J615/G615)</f>
        <v/>
      </c>
      <c r="L615" s="12"/>
      <c r="M615" s="12"/>
      <c r="N615" s="12"/>
    </row>
    <row r="616" customFormat="false" ht="15" hidden="false" customHeight="false" outlineLevel="0" collapsed="false">
      <c r="A616" s="16"/>
      <c r="B616" s="12"/>
      <c r="C616" s="18" t="str">
        <f aca="false">IF(B616="","",IFERROR(INDEX(Inventario!$B$7:$B$46,MATCH(B616,Inventario!$A$7:$A$46,0)),"Clave no existe"))</f>
        <v/>
      </c>
      <c r="D616" s="18" t="str">
        <f aca="false">IF(B616="","",IFERROR(INDEX(Inventario!$C$7:$C$46,MATCH(B616,Inventario!$A$7:$A$46,0)),""))</f>
        <v/>
      </c>
      <c r="E616" s="19"/>
      <c r="F616" s="19"/>
      <c r="G616" s="20" t="str">
        <f aca="false">IF(OR(E616="",F616=""),IF(B616="","",IF(A616="","",8)),F616-E616)</f>
        <v/>
      </c>
      <c r="H616" s="14"/>
      <c r="I616" s="12"/>
      <c r="J616" s="14"/>
      <c r="K616" s="20" t="str">
        <f aca="false">IF(OR(J616="",N(G616)=0),"",J616/G616)</f>
        <v/>
      </c>
      <c r="L616" s="12"/>
      <c r="M616" s="12"/>
      <c r="N616" s="12"/>
    </row>
    <row r="617" customFormat="false" ht="15" hidden="false" customHeight="false" outlineLevel="0" collapsed="false">
      <c r="A617" s="16"/>
      <c r="B617" s="12"/>
      <c r="C617" s="18" t="str">
        <f aca="false">IF(B617="","",IFERROR(INDEX(Inventario!$B$7:$B$46,MATCH(B617,Inventario!$A$7:$A$46,0)),"Clave no existe"))</f>
        <v/>
      </c>
      <c r="D617" s="18" t="str">
        <f aca="false">IF(B617="","",IFERROR(INDEX(Inventario!$C$7:$C$46,MATCH(B617,Inventario!$A$7:$A$46,0)),""))</f>
        <v/>
      </c>
      <c r="E617" s="19"/>
      <c r="F617" s="19"/>
      <c r="G617" s="20" t="str">
        <f aca="false">IF(OR(E617="",F617=""),IF(B617="","",IF(A617="","",8)),F617-E617)</f>
        <v/>
      </c>
      <c r="H617" s="14"/>
      <c r="I617" s="12"/>
      <c r="J617" s="14"/>
      <c r="K617" s="20" t="str">
        <f aca="false">IF(OR(J617="",N(G617)=0),"",J617/G617)</f>
        <v/>
      </c>
      <c r="L617" s="12"/>
      <c r="M617" s="12"/>
      <c r="N617" s="12"/>
    </row>
    <row r="618" customFormat="false" ht="15" hidden="false" customHeight="false" outlineLevel="0" collapsed="false">
      <c r="A618" s="16"/>
      <c r="B618" s="12"/>
      <c r="C618" s="18" t="str">
        <f aca="false">IF(B618="","",IFERROR(INDEX(Inventario!$B$7:$B$46,MATCH(B618,Inventario!$A$7:$A$46,0)),"Clave no existe"))</f>
        <v/>
      </c>
      <c r="D618" s="18" t="str">
        <f aca="false">IF(B618="","",IFERROR(INDEX(Inventario!$C$7:$C$46,MATCH(B618,Inventario!$A$7:$A$46,0)),""))</f>
        <v/>
      </c>
      <c r="E618" s="19"/>
      <c r="F618" s="19"/>
      <c r="G618" s="20" t="str">
        <f aca="false">IF(OR(E618="",F618=""),IF(B618="","",IF(A618="","",8)),F618-E618)</f>
        <v/>
      </c>
      <c r="H618" s="14"/>
      <c r="I618" s="12"/>
      <c r="J618" s="14"/>
      <c r="K618" s="20" t="str">
        <f aca="false">IF(OR(J618="",N(G618)=0),"",J618/G618)</f>
        <v/>
      </c>
      <c r="L618" s="12"/>
      <c r="M618" s="12"/>
      <c r="N618" s="12"/>
    </row>
    <row r="619" customFormat="false" ht="15" hidden="false" customHeight="false" outlineLevel="0" collapsed="false">
      <c r="A619" s="16"/>
      <c r="B619" s="12"/>
      <c r="C619" s="18" t="str">
        <f aca="false">IF(B619="","",IFERROR(INDEX(Inventario!$B$7:$B$46,MATCH(B619,Inventario!$A$7:$A$46,0)),"Clave no existe"))</f>
        <v/>
      </c>
      <c r="D619" s="18" t="str">
        <f aca="false">IF(B619="","",IFERROR(INDEX(Inventario!$C$7:$C$46,MATCH(B619,Inventario!$A$7:$A$46,0)),""))</f>
        <v/>
      </c>
      <c r="E619" s="19"/>
      <c r="F619" s="19"/>
      <c r="G619" s="20" t="str">
        <f aca="false">IF(OR(E619="",F619=""),IF(B619="","",IF(A619="","",8)),F619-E619)</f>
        <v/>
      </c>
      <c r="H619" s="14"/>
      <c r="I619" s="12"/>
      <c r="J619" s="14"/>
      <c r="K619" s="20" t="str">
        <f aca="false">IF(OR(J619="",N(G619)=0),"",J619/G619)</f>
        <v/>
      </c>
      <c r="L619" s="12"/>
      <c r="M619" s="12"/>
      <c r="N619" s="12"/>
    </row>
    <row r="620" customFormat="false" ht="15" hidden="false" customHeight="false" outlineLevel="0" collapsed="false">
      <c r="A620" s="16"/>
      <c r="B620" s="12"/>
      <c r="C620" s="18" t="str">
        <f aca="false">IF(B620="","",IFERROR(INDEX(Inventario!$B$7:$B$46,MATCH(B620,Inventario!$A$7:$A$46,0)),"Clave no existe"))</f>
        <v/>
      </c>
      <c r="D620" s="18" t="str">
        <f aca="false">IF(B620="","",IFERROR(INDEX(Inventario!$C$7:$C$46,MATCH(B620,Inventario!$A$7:$A$46,0)),""))</f>
        <v/>
      </c>
      <c r="E620" s="19"/>
      <c r="F620" s="19"/>
      <c r="G620" s="20" t="str">
        <f aca="false">IF(OR(E620="",F620=""),IF(B620="","",IF(A620="","",8)),F620-E620)</f>
        <v/>
      </c>
      <c r="H620" s="14"/>
      <c r="I620" s="12"/>
      <c r="J620" s="14"/>
      <c r="K620" s="20" t="str">
        <f aca="false">IF(OR(J620="",N(G620)=0),"",J620/G620)</f>
        <v/>
      </c>
      <c r="L620" s="12"/>
      <c r="M620" s="12"/>
      <c r="N620" s="12"/>
    </row>
    <row r="621" customFormat="false" ht="15" hidden="false" customHeight="false" outlineLevel="0" collapsed="false">
      <c r="A621" s="16"/>
      <c r="B621" s="12"/>
      <c r="C621" s="18" t="str">
        <f aca="false">IF(B621="","",IFERROR(INDEX(Inventario!$B$7:$B$46,MATCH(B621,Inventario!$A$7:$A$46,0)),"Clave no existe"))</f>
        <v/>
      </c>
      <c r="D621" s="18" t="str">
        <f aca="false">IF(B621="","",IFERROR(INDEX(Inventario!$C$7:$C$46,MATCH(B621,Inventario!$A$7:$A$46,0)),""))</f>
        <v/>
      </c>
      <c r="E621" s="19"/>
      <c r="F621" s="19"/>
      <c r="G621" s="20" t="str">
        <f aca="false">IF(OR(E621="",F621=""),IF(B621="","",IF(A621="","",8)),F621-E621)</f>
        <v/>
      </c>
      <c r="H621" s="14"/>
      <c r="I621" s="12"/>
      <c r="J621" s="14"/>
      <c r="K621" s="20" t="str">
        <f aca="false">IF(OR(J621="",N(G621)=0),"",J621/G621)</f>
        <v/>
      </c>
      <c r="L621" s="12"/>
      <c r="M621" s="12"/>
      <c r="N621" s="12"/>
    </row>
    <row r="622" customFormat="false" ht="15" hidden="false" customHeight="false" outlineLevel="0" collapsed="false">
      <c r="A622" s="16"/>
      <c r="B622" s="12"/>
      <c r="C622" s="18" t="str">
        <f aca="false">IF(B622="","",IFERROR(INDEX(Inventario!$B$7:$B$46,MATCH(B622,Inventario!$A$7:$A$46,0)),"Clave no existe"))</f>
        <v/>
      </c>
      <c r="D622" s="18" t="str">
        <f aca="false">IF(B622="","",IFERROR(INDEX(Inventario!$C$7:$C$46,MATCH(B622,Inventario!$A$7:$A$46,0)),""))</f>
        <v/>
      </c>
      <c r="E622" s="19"/>
      <c r="F622" s="19"/>
      <c r="G622" s="20" t="str">
        <f aca="false">IF(OR(E622="",F622=""),IF(B622="","",IF(A622="","",8)),F622-E622)</f>
        <v/>
      </c>
      <c r="H622" s="14"/>
      <c r="I622" s="12"/>
      <c r="J622" s="14"/>
      <c r="K622" s="20" t="str">
        <f aca="false">IF(OR(J622="",N(G622)=0),"",J622/G622)</f>
        <v/>
      </c>
      <c r="L622" s="12"/>
      <c r="M622" s="12"/>
      <c r="N622" s="12"/>
    </row>
    <row r="623" customFormat="false" ht="15" hidden="false" customHeight="false" outlineLevel="0" collapsed="false">
      <c r="A623" s="16"/>
      <c r="B623" s="12"/>
      <c r="C623" s="18" t="str">
        <f aca="false">IF(B623="","",IFERROR(INDEX(Inventario!$B$7:$B$46,MATCH(B623,Inventario!$A$7:$A$46,0)),"Clave no existe"))</f>
        <v/>
      </c>
      <c r="D623" s="18" t="str">
        <f aca="false">IF(B623="","",IFERROR(INDEX(Inventario!$C$7:$C$46,MATCH(B623,Inventario!$A$7:$A$46,0)),""))</f>
        <v/>
      </c>
      <c r="E623" s="19"/>
      <c r="F623" s="19"/>
      <c r="G623" s="20" t="str">
        <f aca="false">IF(OR(E623="",F623=""),IF(B623="","",IF(A623="","",8)),F623-E623)</f>
        <v/>
      </c>
      <c r="H623" s="14"/>
      <c r="I623" s="12"/>
      <c r="J623" s="14"/>
      <c r="K623" s="20" t="str">
        <f aca="false">IF(OR(J623="",N(G623)=0),"",J623/G623)</f>
        <v/>
      </c>
      <c r="L623" s="12"/>
      <c r="M623" s="12"/>
      <c r="N623" s="12"/>
    </row>
    <row r="624" customFormat="false" ht="15" hidden="false" customHeight="false" outlineLevel="0" collapsed="false">
      <c r="A624" s="16"/>
      <c r="B624" s="12"/>
      <c r="C624" s="18" t="str">
        <f aca="false">IF(B624="","",IFERROR(INDEX(Inventario!$B$7:$B$46,MATCH(B624,Inventario!$A$7:$A$46,0)),"Clave no existe"))</f>
        <v/>
      </c>
      <c r="D624" s="18" t="str">
        <f aca="false">IF(B624="","",IFERROR(INDEX(Inventario!$C$7:$C$46,MATCH(B624,Inventario!$A$7:$A$46,0)),""))</f>
        <v/>
      </c>
      <c r="E624" s="19"/>
      <c r="F624" s="19"/>
      <c r="G624" s="20" t="str">
        <f aca="false">IF(OR(E624="",F624=""),IF(B624="","",IF(A624="","",8)),F624-E624)</f>
        <v/>
      </c>
      <c r="H624" s="14"/>
      <c r="I624" s="12"/>
      <c r="J624" s="14"/>
      <c r="K624" s="20" t="str">
        <f aca="false">IF(OR(J624="",N(G624)=0),"",J624/G624)</f>
        <v/>
      </c>
      <c r="L624" s="12"/>
      <c r="M624" s="12"/>
      <c r="N624" s="12"/>
    </row>
    <row r="625" customFormat="false" ht="15" hidden="false" customHeight="false" outlineLevel="0" collapsed="false">
      <c r="A625" s="16"/>
      <c r="B625" s="12"/>
      <c r="C625" s="18" t="str">
        <f aca="false">IF(B625="","",IFERROR(INDEX(Inventario!$B$7:$B$46,MATCH(B625,Inventario!$A$7:$A$46,0)),"Clave no existe"))</f>
        <v/>
      </c>
      <c r="D625" s="18" t="str">
        <f aca="false">IF(B625="","",IFERROR(INDEX(Inventario!$C$7:$C$46,MATCH(B625,Inventario!$A$7:$A$46,0)),""))</f>
        <v/>
      </c>
      <c r="E625" s="19"/>
      <c r="F625" s="19"/>
      <c r="G625" s="20" t="str">
        <f aca="false">IF(OR(E625="",F625=""),IF(B625="","",IF(A625="","",8)),F625-E625)</f>
        <v/>
      </c>
      <c r="H625" s="14"/>
      <c r="I625" s="12"/>
      <c r="J625" s="14"/>
      <c r="K625" s="20" t="str">
        <f aca="false">IF(OR(J625="",N(G625)=0),"",J625/G625)</f>
        <v/>
      </c>
      <c r="L625" s="12"/>
      <c r="M625" s="12"/>
      <c r="N625" s="12"/>
    </row>
    <row r="626" customFormat="false" ht="15" hidden="false" customHeight="false" outlineLevel="0" collapsed="false">
      <c r="A626" s="16"/>
      <c r="B626" s="12"/>
      <c r="C626" s="18" t="str">
        <f aca="false">IF(B626="","",IFERROR(INDEX(Inventario!$B$7:$B$46,MATCH(B626,Inventario!$A$7:$A$46,0)),"Clave no existe"))</f>
        <v/>
      </c>
      <c r="D626" s="18" t="str">
        <f aca="false">IF(B626="","",IFERROR(INDEX(Inventario!$C$7:$C$46,MATCH(B626,Inventario!$A$7:$A$46,0)),""))</f>
        <v/>
      </c>
      <c r="E626" s="19"/>
      <c r="F626" s="19"/>
      <c r="G626" s="20" t="str">
        <f aca="false">IF(OR(E626="",F626=""),IF(B626="","",IF(A626="","",8)),F626-E626)</f>
        <v/>
      </c>
      <c r="H626" s="14"/>
      <c r="I626" s="12"/>
      <c r="J626" s="14"/>
      <c r="K626" s="20" t="str">
        <f aca="false">IF(OR(J626="",N(G626)=0),"",J626/G626)</f>
        <v/>
      </c>
      <c r="L626" s="12"/>
      <c r="M626" s="12"/>
      <c r="N626" s="12"/>
    </row>
    <row r="627" customFormat="false" ht="15" hidden="false" customHeight="false" outlineLevel="0" collapsed="false">
      <c r="A627" s="16"/>
      <c r="B627" s="12"/>
      <c r="C627" s="18" t="str">
        <f aca="false">IF(B627="","",IFERROR(INDEX(Inventario!$B$7:$B$46,MATCH(B627,Inventario!$A$7:$A$46,0)),"Clave no existe"))</f>
        <v/>
      </c>
      <c r="D627" s="18" t="str">
        <f aca="false">IF(B627="","",IFERROR(INDEX(Inventario!$C$7:$C$46,MATCH(B627,Inventario!$A$7:$A$46,0)),""))</f>
        <v/>
      </c>
      <c r="E627" s="19"/>
      <c r="F627" s="19"/>
      <c r="G627" s="20" t="str">
        <f aca="false">IF(OR(E627="",F627=""),IF(B627="","",IF(A627="","",8)),F627-E627)</f>
        <v/>
      </c>
      <c r="H627" s="14"/>
      <c r="I627" s="12"/>
      <c r="J627" s="14"/>
      <c r="K627" s="20" t="str">
        <f aca="false">IF(OR(J627="",N(G627)=0),"",J627/G627)</f>
        <v/>
      </c>
      <c r="L627" s="12"/>
      <c r="M627" s="12"/>
      <c r="N627" s="12"/>
    </row>
    <row r="628" customFormat="false" ht="15" hidden="false" customHeight="false" outlineLevel="0" collapsed="false">
      <c r="A628" s="16"/>
      <c r="B628" s="12"/>
      <c r="C628" s="18" t="str">
        <f aca="false">IF(B628="","",IFERROR(INDEX(Inventario!$B$7:$B$46,MATCH(B628,Inventario!$A$7:$A$46,0)),"Clave no existe"))</f>
        <v/>
      </c>
      <c r="D628" s="18" t="str">
        <f aca="false">IF(B628="","",IFERROR(INDEX(Inventario!$C$7:$C$46,MATCH(B628,Inventario!$A$7:$A$46,0)),""))</f>
        <v/>
      </c>
      <c r="E628" s="19"/>
      <c r="F628" s="19"/>
      <c r="G628" s="20" t="str">
        <f aca="false">IF(OR(E628="",F628=""),IF(B628="","",IF(A628="","",8)),F628-E628)</f>
        <v/>
      </c>
      <c r="H628" s="14"/>
      <c r="I628" s="12"/>
      <c r="J628" s="14"/>
      <c r="K628" s="20" t="str">
        <f aca="false">IF(OR(J628="",N(G628)=0),"",J628/G628)</f>
        <v/>
      </c>
      <c r="L628" s="12"/>
      <c r="M628" s="12"/>
      <c r="N628" s="12"/>
    </row>
    <row r="629" customFormat="false" ht="15" hidden="false" customHeight="false" outlineLevel="0" collapsed="false">
      <c r="A629" s="16"/>
      <c r="B629" s="12"/>
      <c r="C629" s="18" t="str">
        <f aca="false">IF(B629="","",IFERROR(INDEX(Inventario!$B$7:$B$46,MATCH(B629,Inventario!$A$7:$A$46,0)),"Clave no existe"))</f>
        <v/>
      </c>
      <c r="D629" s="18" t="str">
        <f aca="false">IF(B629="","",IFERROR(INDEX(Inventario!$C$7:$C$46,MATCH(B629,Inventario!$A$7:$A$46,0)),""))</f>
        <v/>
      </c>
      <c r="E629" s="19"/>
      <c r="F629" s="19"/>
      <c r="G629" s="20" t="str">
        <f aca="false">IF(OR(E629="",F629=""),IF(B629="","",IF(A629="","",8)),F629-E629)</f>
        <v/>
      </c>
      <c r="H629" s="14"/>
      <c r="I629" s="12"/>
      <c r="J629" s="14"/>
      <c r="K629" s="20" t="str">
        <f aca="false">IF(OR(J629="",N(G629)=0),"",J629/G629)</f>
        <v/>
      </c>
      <c r="L629" s="12"/>
      <c r="M629" s="12"/>
      <c r="N629" s="12"/>
    </row>
    <row r="630" customFormat="false" ht="15" hidden="false" customHeight="false" outlineLevel="0" collapsed="false">
      <c r="A630" s="16"/>
      <c r="B630" s="12"/>
      <c r="C630" s="18" t="str">
        <f aca="false">IF(B630="","",IFERROR(INDEX(Inventario!$B$7:$B$46,MATCH(B630,Inventario!$A$7:$A$46,0)),"Clave no existe"))</f>
        <v/>
      </c>
      <c r="D630" s="18" t="str">
        <f aca="false">IF(B630="","",IFERROR(INDEX(Inventario!$C$7:$C$46,MATCH(B630,Inventario!$A$7:$A$46,0)),""))</f>
        <v/>
      </c>
      <c r="E630" s="19"/>
      <c r="F630" s="19"/>
      <c r="G630" s="20" t="str">
        <f aca="false">IF(OR(E630="",F630=""),IF(B630="","",IF(A630="","",8)),F630-E630)</f>
        <v/>
      </c>
      <c r="H630" s="14"/>
      <c r="I630" s="12"/>
      <c r="J630" s="14"/>
      <c r="K630" s="20" t="str">
        <f aca="false">IF(OR(J630="",N(G630)=0),"",J630/G630)</f>
        <v/>
      </c>
      <c r="L630" s="12"/>
      <c r="M630" s="12"/>
      <c r="N630" s="12"/>
    </row>
    <row r="631" customFormat="false" ht="15" hidden="false" customHeight="false" outlineLevel="0" collapsed="false">
      <c r="A631" s="16"/>
      <c r="B631" s="12"/>
      <c r="C631" s="18" t="str">
        <f aca="false">IF(B631="","",IFERROR(INDEX(Inventario!$B$7:$B$46,MATCH(B631,Inventario!$A$7:$A$46,0)),"Clave no existe"))</f>
        <v/>
      </c>
      <c r="D631" s="18" t="str">
        <f aca="false">IF(B631="","",IFERROR(INDEX(Inventario!$C$7:$C$46,MATCH(B631,Inventario!$A$7:$A$46,0)),""))</f>
        <v/>
      </c>
      <c r="E631" s="19"/>
      <c r="F631" s="19"/>
      <c r="G631" s="20" t="str">
        <f aca="false">IF(OR(E631="",F631=""),IF(B631="","",IF(A631="","",8)),F631-E631)</f>
        <v/>
      </c>
      <c r="H631" s="14"/>
      <c r="I631" s="12"/>
      <c r="J631" s="14"/>
      <c r="K631" s="20" t="str">
        <f aca="false">IF(OR(J631="",N(G631)=0),"",J631/G631)</f>
        <v/>
      </c>
      <c r="L631" s="12"/>
      <c r="M631" s="12"/>
      <c r="N631" s="12"/>
    </row>
    <row r="632" customFormat="false" ht="15" hidden="false" customHeight="false" outlineLevel="0" collapsed="false">
      <c r="A632" s="16"/>
      <c r="B632" s="12"/>
      <c r="C632" s="18" t="str">
        <f aca="false">IF(B632="","",IFERROR(INDEX(Inventario!$B$7:$B$46,MATCH(B632,Inventario!$A$7:$A$46,0)),"Clave no existe"))</f>
        <v/>
      </c>
      <c r="D632" s="18" t="str">
        <f aca="false">IF(B632="","",IFERROR(INDEX(Inventario!$C$7:$C$46,MATCH(B632,Inventario!$A$7:$A$46,0)),""))</f>
        <v/>
      </c>
      <c r="E632" s="19"/>
      <c r="F632" s="19"/>
      <c r="G632" s="20" t="str">
        <f aca="false">IF(OR(E632="",F632=""),IF(B632="","",IF(A632="","",8)),F632-E632)</f>
        <v/>
      </c>
      <c r="H632" s="14"/>
      <c r="I632" s="12"/>
      <c r="J632" s="14"/>
      <c r="K632" s="20" t="str">
        <f aca="false">IF(OR(J632="",N(G632)=0),"",J632/G632)</f>
        <v/>
      </c>
      <c r="L632" s="12"/>
      <c r="M632" s="12"/>
      <c r="N632" s="12"/>
    </row>
    <row r="633" customFormat="false" ht="15" hidden="false" customHeight="false" outlineLevel="0" collapsed="false">
      <c r="A633" s="16"/>
      <c r="B633" s="12"/>
      <c r="C633" s="18" t="str">
        <f aca="false">IF(B633="","",IFERROR(INDEX(Inventario!$B$7:$B$46,MATCH(B633,Inventario!$A$7:$A$46,0)),"Clave no existe"))</f>
        <v/>
      </c>
      <c r="D633" s="18" t="str">
        <f aca="false">IF(B633="","",IFERROR(INDEX(Inventario!$C$7:$C$46,MATCH(B633,Inventario!$A$7:$A$46,0)),""))</f>
        <v/>
      </c>
      <c r="E633" s="19"/>
      <c r="F633" s="19"/>
      <c r="G633" s="20" t="str">
        <f aca="false">IF(OR(E633="",F633=""),IF(B633="","",IF(A633="","",8)),F633-E633)</f>
        <v/>
      </c>
      <c r="H633" s="14"/>
      <c r="I633" s="12"/>
      <c r="J633" s="14"/>
      <c r="K633" s="20" t="str">
        <f aca="false">IF(OR(J633="",N(G633)=0),"",J633/G633)</f>
        <v/>
      </c>
      <c r="L633" s="12"/>
      <c r="M633" s="12"/>
      <c r="N633" s="12"/>
    </row>
    <row r="634" customFormat="false" ht="15" hidden="false" customHeight="false" outlineLevel="0" collapsed="false">
      <c r="A634" s="16"/>
      <c r="B634" s="12"/>
      <c r="C634" s="18" t="str">
        <f aca="false">IF(B634="","",IFERROR(INDEX(Inventario!$B$7:$B$46,MATCH(B634,Inventario!$A$7:$A$46,0)),"Clave no existe"))</f>
        <v/>
      </c>
      <c r="D634" s="18" t="str">
        <f aca="false">IF(B634="","",IFERROR(INDEX(Inventario!$C$7:$C$46,MATCH(B634,Inventario!$A$7:$A$46,0)),""))</f>
        <v/>
      </c>
      <c r="E634" s="19"/>
      <c r="F634" s="19"/>
      <c r="G634" s="20" t="str">
        <f aca="false">IF(OR(E634="",F634=""),IF(B634="","",IF(A634="","",8)),F634-E634)</f>
        <v/>
      </c>
      <c r="H634" s="14"/>
      <c r="I634" s="12"/>
      <c r="J634" s="14"/>
      <c r="K634" s="20" t="str">
        <f aca="false">IF(OR(J634="",N(G634)=0),"",J634/G634)</f>
        <v/>
      </c>
      <c r="L634" s="12"/>
      <c r="M634" s="12"/>
      <c r="N634" s="12"/>
    </row>
    <row r="635" customFormat="false" ht="15" hidden="false" customHeight="false" outlineLevel="0" collapsed="false">
      <c r="A635" s="16"/>
      <c r="B635" s="12"/>
      <c r="C635" s="18" t="str">
        <f aca="false">IF(B635="","",IFERROR(INDEX(Inventario!$B$7:$B$46,MATCH(B635,Inventario!$A$7:$A$46,0)),"Clave no existe"))</f>
        <v/>
      </c>
      <c r="D635" s="18" t="str">
        <f aca="false">IF(B635="","",IFERROR(INDEX(Inventario!$C$7:$C$46,MATCH(B635,Inventario!$A$7:$A$46,0)),""))</f>
        <v/>
      </c>
      <c r="E635" s="19"/>
      <c r="F635" s="19"/>
      <c r="G635" s="20" t="str">
        <f aca="false">IF(OR(E635="",F635=""),IF(B635="","",IF(A635="","",8)),F635-E635)</f>
        <v/>
      </c>
      <c r="H635" s="14"/>
      <c r="I635" s="12"/>
      <c r="J635" s="14"/>
      <c r="K635" s="20" t="str">
        <f aca="false">IF(OR(J635="",N(G635)=0),"",J635/G635)</f>
        <v/>
      </c>
      <c r="L635" s="12"/>
      <c r="M635" s="12"/>
      <c r="N635" s="12"/>
    </row>
    <row r="636" customFormat="false" ht="15" hidden="false" customHeight="false" outlineLevel="0" collapsed="false">
      <c r="A636" s="16"/>
      <c r="B636" s="12"/>
      <c r="C636" s="18" t="str">
        <f aca="false">IF(B636="","",IFERROR(INDEX(Inventario!$B$7:$B$46,MATCH(B636,Inventario!$A$7:$A$46,0)),"Clave no existe"))</f>
        <v/>
      </c>
      <c r="D636" s="18" t="str">
        <f aca="false">IF(B636="","",IFERROR(INDEX(Inventario!$C$7:$C$46,MATCH(B636,Inventario!$A$7:$A$46,0)),""))</f>
        <v/>
      </c>
      <c r="E636" s="19"/>
      <c r="F636" s="19"/>
      <c r="G636" s="20" t="str">
        <f aca="false">IF(OR(E636="",F636=""),IF(B636="","",IF(A636="","",8)),F636-E636)</f>
        <v/>
      </c>
      <c r="H636" s="14"/>
      <c r="I636" s="12"/>
      <c r="J636" s="14"/>
      <c r="K636" s="20" t="str">
        <f aca="false">IF(OR(J636="",N(G636)=0),"",J636/G636)</f>
        <v/>
      </c>
      <c r="L636" s="12"/>
      <c r="M636" s="12"/>
      <c r="N636" s="12"/>
    </row>
    <row r="637" customFormat="false" ht="15" hidden="false" customHeight="false" outlineLevel="0" collapsed="false">
      <c r="A637" s="16"/>
      <c r="B637" s="12"/>
      <c r="C637" s="18" t="str">
        <f aca="false">IF(B637="","",IFERROR(INDEX(Inventario!$B$7:$B$46,MATCH(B637,Inventario!$A$7:$A$46,0)),"Clave no existe"))</f>
        <v/>
      </c>
      <c r="D637" s="18" t="str">
        <f aca="false">IF(B637="","",IFERROR(INDEX(Inventario!$C$7:$C$46,MATCH(B637,Inventario!$A$7:$A$46,0)),""))</f>
        <v/>
      </c>
      <c r="E637" s="19"/>
      <c r="F637" s="19"/>
      <c r="G637" s="20" t="str">
        <f aca="false">IF(OR(E637="",F637=""),IF(B637="","",IF(A637="","",8)),F637-E637)</f>
        <v/>
      </c>
      <c r="H637" s="14"/>
      <c r="I637" s="12"/>
      <c r="J637" s="14"/>
      <c r="K637" s="20" t="str">
        <f aca="false">IF(OR(J637="",N(G637)=0),"",J637/G637)</f>
        <v/>
      </c>
      <c r="L637" s="12"/>
      <c r="M637" s="12"/>
      <c r="N637" s="12"/>
    </row>
    <row r="638" customFormat="false" ht="15" hidden="false" customHeight="false" outlineLevel="0" collapsed="false">
      <c r="A638" s="16"/>
      <c r="B638" s="12"/>
      <c r="C638" s="18" t="str">
        <f aca="false">IF(B638="","",IFERROR(INDEX(Inventario!$B$7:$B$46,MATCH(B638,Inventario!$A$7:$A$46,0)),"Clave no existe"))</f>
        <v/>
      </c>
      <c r="D638" s="18" t="str">
        <f aca="false">IF(B638="","",IFERROR(INDEX(Inventario!$C$7:$C$46,MATCH(B638,Inventario!$A$7:$A$46,0)),""))</f>
        <v/>
      </c>
      <c r="E638" s="19"/>
      <c r="F638" s="19"/>
      <c r="G638" s="20" t="str">
        <f aca="false">IF(OR(E638="",F638=""),IF(B638="","",IF(A638="","",8)),F638-E638)</f>
        <v/>
      </c>
      <c r="H638" s="14"/>
      <c r="I638" s="12"/>
      <c r="J638" s="14"/>
      <c r="K638" s="20" t="str">
        <f aca="false">IF(OR(J638="",N(G638)=0),"",J638/G638)</f>
        <v/>
      </c>
      <c r="L638" s="12"/>
      <c r="M638" s="12"/>
      <c r="N638" s="12"/>
    </row>
    <row r="639" customFormat="false" ht="15" hidden="false" customHeight="false" outlineLevel="0" collapsed="false">
      <c r="A639" s="16"/>
      <c r="B639" s="12"/>
      <c r="C639" s="18" t="str">
        <f aca="false">IF(B639="","",IFERROR(INDEX(Inventario!$B$7:$B$46,MATCH(B639,Inventario!$A$7:$A$46,0)),"Clave no existe"))</f>
        <v/>
      </c>
      <c r="D639" s="18" t="str">
        <f aca="false">IF(B639="","",IFERROR(INDEX(Inventario!$C$7:$C$46,MATCH(B639,Inventario!$A$7:$A$46,0)),""))</f>
        <v/>
      </c>
      <c r="E639" s="19"/>
      <c r="F639" s="19"/>
      <c r="G639" s="20" t="str">
        <f aca="false">IF(OR(E639="",F639=""),IF(B639="","",IF(A639="","",8)),F639-E639)</f>
        <v/>
      </c>
      <c r="H639" s="14"/>
      <c r="I639" s="12"/>
      <c r="J639" s="14"/>
      <c r="K639" s="20" t="str">
        <f aca="false">IF(OR(J639="",N(G639)=0),"",J639/G639)</f>
        <v/>
      </c>
      <c r="L639" s="12"/>
      <c r="M639" s="12"/>
      <c r="N639" s="12"/>
    </row>
    <row r="640" customFormat="false" ht="15" hidden="false" customHeight="false" outlineLevel="0" collapsed="false">
      <c r="A640" s="16"/>
      <c r="B640" s="12"/>
      <c r="C640" s="18" t="str">
        <f aca="false">IF(B640="","",IFERROR(INDEX(Inventario!$B$7:$B$46,MATCH(B640,Inventario!$A$7:$A$46,0)),"Clave no existe"))</f>
        <v/>
      </c>
      <c r="D640" s="18" t="str">
        <f aca="false">IF(B640="","",IFERROR(INDEX(Inventario!$C$7:$C$46,MATCH(B640,Inventario!$A$7:$A$46,0)),""))</f>
        <v/>
      </c>
      <c r="E640" s="19"/>
      <c r="F640" s="19"/>
      <c r="G640" s="20" t="str">
        <f aca="false">IF(OR(E640="",F640=""),IF(B640="","",IF(A640="","",8)),F640-E640)</f>
        <v/>
      </c>
      <c r="H640" s="14"/>
      <c r="I640" s="12"/>
      <c r="J640" s="14"/>
      <c r="K640" s="20" t="str">
        <f aca="false">IF(OR(J640="",N(G640)=0),"",J640/G640)</f>
        <v/>
      </c>
      <c r="L640" s="12"/>
      <c r="M640" s="12"/>
      <c r="N640" s="12"/>
    </row>
    <row r="641" customFormat="false" ht="15" hidden="false" customHeight="false" outlineLevel="0" collapsed="false">
      <c r="A641" s="16"/>
      <c r="B641" s="12"/>
      <c r="C641" s="18" t="str">
        <f aca="false">IF(B641="","",IFERROR(INDEX(Inventario!$B$7:$B$46,MATCH(B641,Inventario!$A$7:$A$46,0)),"Clave no existe"))</f>
        <v/>
      </c>
      <c r="D641" s="18" t="str">
        <f aca="false">IF(B641="","",IFERROR(INDEX(Inventario!$C$7:$C$46,MATCH(B641,Inventario!$A$7:$A$46,0)),""))</f>
        <v/>
      </c>
      <c r="E641" s="19"/>
      <c r="F641" s="19"/>
      <c r="G641" s="20" t="str">
        <f aca="false">IF(OR(E641="",F641=""),IF(B641="","",IF(A641="","",8)),F641-E641)</f>
        <v/>
      </c>
      <c r="H641" s="14"/>
      <c r="I641" s="12"/>
      <c r="J641" s="14"/>
      <c r="K641" s="20" t="str">
        <f aca="false">IF(OR(J641="",N(G641)=0),"",J641/G641)</f>
        <v/>
      </c>
      <c r="L641" s="12"/>
      <c r="M641" s="12"/>
      <c r="N641" s="12"/>
    </row>
    <row r="642" customFormat="false" ht="15" hidden="false" customHeight="false" outlineLevel="0" collapsed="false">
      <c r="A642" s="16"/>
      <c r="B642" s="12"/>
      <c r="C642" s="18" t="str">
        <f aca="false">IF(B642="","",IFERROR(INDEX(Inventario!$B$7:$B$46,MATCH(B642,Inventario!$A$7:$A$46,0)),"Clave no existe"))</f>
        <v/>
      </c>
      <c r="D642" s="18" t="str">
        <f aca="false">IF(B642="","",IFERROR(INDEX(Inventario!$C$7:$C$46,MATCH(B642,Inventario!$A$7:$A$46,0)),""))</f>
        <v/>
      </c>
      <c r="E642" s="19"/>
      <c r="F642" s="19"/>
      <c r="G642" s="20" t="str">
        <f aca="false">IF(OR(E642="",F642=""),IF(B642="","",IF(A642="","",8)),F642-E642)</f>
        <v/>
      </c>
      <c r="H642" s="14"/>
      <c r="I642" s="12"/>
      <c r="J642" s="14"/>
      <c r="K642" s="20" t="str">
        <f aca="false">IF(OR(J642="",N(G642)=0),"",J642/G642)</f>
        <v/>
      </c>
      <c r="L642" s="12"/>
      <c r="M642" s="12"/>
      <c r="N642" s="12"/>
    </row>
    <row r="643" customFormat="false" ht="15" hidden="false" customHeight="false" outlineLevel="0" collapsed="false">
      <c r="A643" s="16"/>
      <c r="B643" s="12"/>
      <c r="C643" s="18" t="str">
        <f aca="false">IF(B643="","",IFERROR(INDEX(Inventario!$B$7:$B$46,MATCH(B643,Inventario!$A$7:$A$46,0)),"Clave no existe"))</f>
        <v/>
      </c>
      <c r="D643" s="18" t="str">
        <f aca="false">IF(B643="","",IFERROR(INDEX(Inventario!$C$7:$C$46,MATCH(B643,Inventario!$A$7:$A$46,0)),""))</f>
        <v/>
      </c>
      <c r="E643" s="19"/>
      <c r="F643" s="19"/>
      <c r="G643" s="20" t="str">
        <f aca="false">IF(OR(E643="",F643=""),IF(B643="","",IF(A643="","",8)),F643-E643)</f>
        <v/>
      </c>
      <c r="H643" s="14"/>
      <c r="I643" s="12"/>
      <c r="J643" s="14"/>
      <c r="K643" s="20" t="str">
        <f aca="false">IF(OR(J643="",N(G643)=0),"",J643/G643)</f>
        <v/>
      </c>
      <c r="L643" s="12"/>
      <c r="M643" s="12"/>
      <c r="N643" s="12"/>
    </row>
    <row r="644" customFormat="false" ht="15" hidden="false" customHeight="false" outlineLevel="0" collapsed="false">
      <c r="A644" s="16"/>
      <c r="B644" s="12"/>
      <c r="C644" s="18" t="str">
        <f aca="false">IF(B644="","",IFERROR(INDEX(Inventario!$B$7:$B$46,MATCH(B644,Inventario!$A$7:$A$46,0)),"Clave no existe"))</f>
        <v/>
      </c>
      <c r="D644" s="18" t="str">
        <f aca="false">IF(B644="","",IFERROR(INDEX(Inventario!$C$7:$C$46,MATCH(B644,Inventario!$A$7:$A$46,0)),""))</f>
        <v/>
      </c>
      <c r="E644" s="19"/>
      <c r="F644" s="19"/>
      <c r="G644" s="20" t="str">
        <f aca="false">IF(OR(E644="",F644=""),IF(B644="","",IF(A644="","",8)),F644-E644)</f>
        <v/>
      </c>
      <c r="H644" s="14"/>
      <c r="I644" s="12"/>
      <c r="J644" s="14"/>
      <c r="K644" s="20" t="str">
        <f aca="false">IF(OR(J644="",N(G644)=0),"",J644/G644)</f>
        <v/>
      </c>
      <c r="L644" s="12"/>
      <c r="M644" s="12"/>
      <c r="N644" s="12"/>
    </row>
    <row r="645" customFormat="false" ht="15" hidden="false" customHeight="false" outlineLevel="0" collapsed="false">
      <c r="A645" s="16"/>
      <c r="B645" s="12"/>
      <c r="C645" s="18" t="str">
        <f aca="false">IF(B645="","",IFERROR(INDEX(Inventario!$B$7:$B$46,MATCH(B645,Inventario!$A$7:$A$46,0)),"Clave no existe"))</f>
        <v/>
      </c>
      <c r="D645" s="18" t="str">
        <f aca="false">IF(B645="","",IFERROR(INDEX(Inventario!$C$7:$C$46,MATCH(B645,Inventario!$A$7:$A$46,0)),""))</f>
        <v/>
      </c>
      <c r="E645" s="19"/>
      <c r="F645" s="19"/>
      <c r="G645" s="20" t="str">
        <f aca="false">IF(OR(E645="",F645=""),IF(B645="","",IF(A645="","",8)),F645-E645)</f>
        <v/>
      </c>
      <c r="H645" s="14"/>
      <c r="I645" s="12"/>
      <c r="J645" s="14"/>
      <c r="K645" s="20" t="str">
        <f aca="false">IF(OR(J645="",N(G645)=0),"",J645/G645)</f>
        <v/>
      </c>
      <c r="L645" s="12"/>
      <c r="M645" s="12"/>
      <c r="N645" s="12"/>
    </row>
    <row r="646" customFormat="false" ht="15" hidden="false" customHeight="false" outlineLevel="0" collapsed="false">
      <c r="A646" s="16"/>
      <c r="B646" s="12"/>
      <c r="C646" s="18" t="str">
        <f aca="false">IF(B646="","",IFERROR(INDEX(Inventario!$B$7:$B$46,MATCH(B646,Inventario!$A$7:$A$46,0)),"Clave no existe"))</f>
        <v/>
      </c>
      <c r="D646" s="18" t="str">
        <f aca="false">IF(B646="","",IFERROR(INDEX(Inventario!$C$7:$C$46,MATCH(B646,Inventario!$A$7:$A$46,0)),""))</f>
        <v/>
      </c>
      <c r="E646" s="19"/>
      <c r="F646" s="19"/>
      <c r="G646" s="20" t="str">
        <f aca="false">IF(OR(E646="",F646=""),IF(B646="","",IF(A646="","",8)),F646-E646)</f>
        <v/>
      </c>
      <c r="H646" s="14"/>
      <c r="I646" s="12"/>
      <c r="J646" s="14"/>
      <c r="K646" s="20" t="str">
        <f aca="false">IF(OR(J646="",N(G646)=0),"",J646/G646)</f>
        <v/>
      </c>
      <c r="L646" s="12"/>
      <c r="M646" s="12"/>
      <c r="N646" s="12"/>
    </row>
    <row r="647" customFormat="false" ht="15" hidden="false" customHeight="false" outlineLevel="0" collapsed="false">
      <c r="A647" s="16"/>
      <c r="B647" s="12"/>
      <c r="C647" s="18" t="str">
        <f aca="false">IF(B647="","",IFERROR(INDEX(Inventario!$B$7:$B$46,MATCH(B647,Inventario!$A$7:$A$46,0)),"Clave no existe"))</f>
        <v/>
      </c>
      <c r="D647" s="18" t="str">
        <f aca="false">IF(B647="","",IFERROR(INDEX(Inventario!$C$7:$C$46,MATCH(B647,Inventario!$A$7:$A$46,0)),""))</f>
        <v/>
      </c>
      <c r="E647" s="19"/>
      <c r="F647" s="19"/>
      <c r="G647" s="20" t="str">
        <f aca="false">IF(OR(E647="",F647=""),IF(B647="","",IF(A647="","",8)),F647-E647)</f>
        <v/>
      </c>
      <c r="H647" s="14"/>
      <c r="I647" s="12"/>
      <c r="J647" s="14"/>
      <c r="K647" s="20" t="str">
        <f aca="false">IF(OR(J647="",N(G647)=0),"",J647/G647)</f>
        <v/>
      </c>
      <c r="L647" s="12"/>
      <c r="M647" s="12"/>
      <c r="N647" s="12"/>
    </row>
    <row r="648" customFormat="false" ht="15" hidden="false" customHeight="false" outlineLevel="0" collapsed="false">
      <c r="A648" s="16"/>
      <c r="B648" s="12"/>
      <c r="C648" s="18" t="str">
        <f aca="false">IF(B648="","",IFERROR(INDEX(Inventario!$B$7:$B$46,MATCH(B648,Inventario!$A$7:$A$46,0)),"Clave no existe"))</f>
        <v/>
      </c>
      <c r="D648" s="18" t="str">
        <f aca="false">IF(B648="","",IFERROR(INDEX(Inventario!$C$7:$C$46,MATCH(B648,Inventario!$A$7:$A$46,0)),""))</f>
        <v/>
      </c>
      <c r="E648" s="19"/>
      <c r="F648" s="19"/>
      <c r="G648" s="20" t="str">
        <f aca="false">IF(OR(E648="",F648=""),IF(B648="","",IF(A648="","",8)),F648-E648)</f>
        <v/>
      </c>
      <c r="H648" s="14"/>
      <c r="I648" s="12"/>
      <c r="J648" s="14"/>
      <c r="K648" s="20" t="str">
        <f aca="false">IF(OR(J648="",N(G648)=0),"",J648/G648)</f>
        <v/>
      </c>
      <c r="L648" s="12"/>
      <c r="M648" s="12"/>
      <c r="N648" s="12"/>
    </row>
    <row r="649" customFormat="false" ht="15" hidden="false" customHeight="false" outlineLevel="0" collapsed="false">
      <c r="A649" s="16"/>
      <c r="B649" s="12"/>
      <c r="C649" s="18" t="str">
        <f aca="false">IF(B649="","",IFERROR(INDEX(Inventario!$B$7:$B$46,MATCH(B649,Inventario!$A$7:$A$46,0)),"Clave no existe"))</f>
        <v/>
      </c>
      <c r="D649" s="18" t="str">
        <f aca="false">IF(B649="","",IFERROR(INDEX(Inventario!$C$7:$C$46,MATCH(B649,Inventario!$A$7:$A$46,0)),""))</f>
        <v/>
      </c>
      <c r="E649" s="19"/>
      <c r="F649" s="19"/>
      <c r="G649" s="20" t="str">
        <f aca="false">IF(OR(E649="",F649=""),IF(B649="","",IF(A649="","",8)),F649-E649)</f>
        <v/>
      </c>
      <c r="H649" s="14"/>
      <c r="I649" s="12"/>
      <c r="J649" s="14"/>
      <c r="K649" s="20" t="str">
        <f aca="false">IF(OR(J649="",N(G649)=0),"",J649/G649)</f>
        <v/>
      </c>
      <c r="L649" s="12"/>
      <c r="M649" s="12"/>
      <c r="N649" s="12"/>
    </row>
    <row r="650" customFormat="false" ht="15" hidden="false" customHeight="false" outlineLevel="0" collapsed="false">
      <c r="A650" s="16"/>
      <c r="B650" s="12"/>
      <c r="C650" s="18" t="str">
        <f aca="false">IF(B650="","",IFERROR(INDEX(Inventario!$B$7:$B$46,MATCH(B650,Inventario!$A$7:$A$46,0)),"Clave no existe"))</f>
        <v/>
      </c>
      <c r="D650" s="18" t="str">
        <f aca="false">IF(B650="","",IFERROR(INDEX(Inventario!$C$7:$C$46,MATCH(B650,Inventario!$A$7:$A$46,0)),""))</f>
        <v/>
      </c>
      <c r="E650" s="19"/>
      <c r="F650" s="19"/>
      <c r="G650" s="20" t="str">
        <f aca="false">IF(OR(E650="",F650=""),IF(B650="","",IF(A650="","",8)),F650-E650)</f>
        <v/>
      </c>
      <c r="H650" s="14"/>
      <c r="I650" s="12"/>
      <c r="J650" s="14"/>
      <c r="K650" s="20" t="str">
        <f aca="false">IF(OR(J650="",N(G650)=0),"",J650/G650)</f>
        <v/>
      </c>
      <c r="L650" s="12"/>
      <c r="M650" s="12"/>
      <c r="N650" s="12"/>
    </row>
    <row r="651" customFormat="false" ht="15" hidden="false" customHeight="false" outlineLevel="0" collapsed="false">
      <c r="A651" s="16"/>
      <c r="B651" s="12"/>
      <c r="C651" s="18" t="str">
        <f aca="false">IF(B651="","",IFERROR(INDEX(Inventario!$B$7:$B$46,MATCH(B651,Inventario!$A$7:$A$46,0)),"Clave no existe"))</f>
        <v/>
      </c>
      <c r="D651" s="18" t="str">
        <f aca="false">IF(B651="","",IFERROR(INDEX(Inventario!$C$7:$C$46,MATCH(B651,Inventario!$A$7:$A$46,0)),""))</f>
        <v/>
      </c>
      <c r="E651" s="19"/>
      <c r="F651" s="19"/>
      <c r="G651" s="20" t="str">
        <f aca="false">IF(OR(E651="",F651=""),IF(B651="","",IF(A651="","",8)),F651-E651)</f>
        <v/>
      </c>
      <c r="H651" s="14"/>
      <c r="I651" s="12"/>
      <c r="J651" s="14"/>
      <c r="K651" s="20" t="str">
        <f aca="false">IF(OR(J651="",N(G651)=0),"",J651/G651)</f>
        <v/>
      </c>
      <c r="L651" s="12"/>
      <c r="M651" s="12"/>
      <c r="N651" s="12"/>
    </row>
    <row r="652" customFormat="false" ht="15" hidden="false" customHeight="false" outlineLevel="0" collapsed="false">
      <c r="A652" s="16"/>
      <c r="B652" s="12"/>
      <c r="C652" s="18" t="str">
        <f aca="false">IF(B652="","",IFERROR(INDEX(Inventario!$B$7:$B$46,MATCH(B652,Inventario!$A$7:$A$46,0)),"Clave no existe"))</f>
        <v/>
      </c>
      <c r="D652" s="18" t="str">
        <f aca="false">IF(B652="","",IFERROR(INDEX(Inventario!$C$7:$C$46,MATCH(B652,Inventario!$A$7:$A$46,0)),""))</f>
        <v/>
      </c>
      <c r="E652" s="19"/>
      <c r="F652" s="19"/>
      <c r="G652" s="20" t="str">
        <f aca="false">IF(OR(E652="",F652=""),IF(B652="","",IF(A652="","",8)),F652-E652)</f>
        <v/>
      </c>
      <c r="H652" s="14"/>
      <c r="I652" s="12"/>
      <c r="J652" s="14"/>
      <c r="K652" s="20" t="str">
        <f aca="false">IF(OR(J652="",N(G652)=0),"",J652/G652)</f>
        <v/>
      </c>
      <c r="L652" s="12"/>
      <c r="M652" s="12"/>
      <c r="N652" s="12"/>
    </row>
    <row r="653" customFormat="false" ht="15" hidden="false" customHeight="false" outlineLevel="0" collapsed="false">
      <c r="A653" s="16"/>
      <c r="B653" s="12"/>
      <c r="C653" s="18" t="str">
        <f aca="false">IF(B653="","",IFERROR(INDEX(Inventario!$B$7:$B$46,MATCH(B653,Inventario!$A$7:$A$46,0)),"Clave no existe"))</f>
        <v/>
      </c>
      <c r="D653" s="18" t="str">
        <f aca="false">IF(B653="","",IFERROR(INDEX(Inventario!$C$7:$C$46,MATCH(B653,Inventario!$A$7:$A$46,0)),""))</f>
        <v/>
      </c>
      <c r="E653" s="19"/>
      <c r="F653" s="19"/>
      <c r="G653" s="20" t="str">
        <f aca="false">IF(OR(E653="",F653=""),IF(B653="","",IF(A653="","",8)),F653-E653)</f>
        <v/>
      </c>
      <c r="H653" s="14"/>
      <c r="I653" s="12"/>
      <c r="J653" s="14"/>
      <c r="K653" s="20" t="str">
        <f aca="false">IF(OR(J653="",N(G653)=0),"",J653/G653)</f>
        <v/>
      </c>
      <c r="L653" s="12"/>
      <c r="M653" s="12"/>
      <c r="N653" s="12"/>
    </row>
    <row r="654" customFormat="false" ht="15" hidden="false" customHeight="false" outlineLevel="0" collapsed="false">
      <c r="A654" s="16"/>
      <c r="B654" s="12"/>
      <c r="C654" s="18" t="str">
        <f aca="false">IF(B654="","",IFERROR(INDEX(Inventario!$B$7:$B$46,MATCH(B654,Inventario!$A$7:$A$46,0)),"Clave no existe"))</f>
        <v/>
      </c>
      <c r="D654" s="18" t="str">
        <f aca="false">IF(B654="","",IFERROR(INDEX(Inventario!$C$7:$C$46,MATCH(B654,Inventario!$A$7:$A$46,0)),""))</f>
        <v/>
      </c>
      <c r="E654" s="19"/>
      <c r="F654" s="19"/>
      <c r="G654" s="20" t="str">
        <f aca="false">IF(OR(E654="",F654=""),IF(B654="","",IF(A654="","",8)),F654-E654)</f>
        <v/>
      </c>
      <c r="H654" s="14"/>
      <c r="I654" s="12"/>
      <c r="J654" s="14"/>
      <c r="K654" s="20" t="str">
        <f aca="false">IF(OR(J654="",N(G654)=0),"",J654/G654)</f>
        <v/>
      </c>
      <c r="L654" s="12"/>
      <c r="M654" s="12"/>
      <c r="N654" s="12"/>
    </row>
    <row r="655" customFormat="false" ht="15" hidden="false" customHeight="false" outlineLevel="0" collapsed="false">
      <c r="A655" s="16"/>
      <c r="B655" s="12"/>
      <c r="C655" s="18" t="str">
        <f aca="false">IF(B655="","",IFERROR(INDEX(Inventario!$B$7:$B$46,MATCH(B655,Inventario!$A$7:$A$46,0)),"Clave no existe"))</f>
        <v/>
      </c>
      <c r="D655" s="18" t="str">
        <f aca="false">IF(B655="","",IFERROR(INDEX(Inventario!$C$7:$C$46,MATCH(B655,Inventario!$A$7:$A$46,0)),""))</f>
        <v/>
      </c>
      <c r="E655" s="19"/>
      <c r="F655" s="19"/>
      <c r="G655" s="20" t="str">
        <f aca="false">IF(OR(E655="",F655=""),IF(B655="","",IF(A655="","",8)),F655-E655)</f>
        <v/>
      </c>
      <c r="H655" s="14"/>
      <c r="I655" s="12"/>
      <c r="J655" s="14"/>
      <c r="K655" s="20" t="str">
        <f aca="false">IF(OR(J655="",N(G655)=0),"",J655/G655)</f>
        <v/>
      </c>
      <c r="L655" s="12"/>
      <c r="M655" s="12"/>
      <c r="N655" s="12"/>
    </row>
    <row r="656" customFormat="false" ht="15" hidden="false" customHeight="false" outlineLevel="0" collapsed="false">
      <c r="A656" s="16"/>
      <c r="B656" s="12"/>
      <c r="C656" s="18" t="str">
        <f aca="false">IF(B656="","",IFERROR(INDEX(Inventario!$B$7:$B$46,MATCH(B656,Inventario!$A$7:$A$46,0)),"Clave no existe"))</f>
        <v/>
      </c>
      <c r="D656" s="18" t="str">
        <f aca="false">IF(B656="","",IFERROR(INDEX(Inventario!$C$7:$C$46,MATCH(B656,Inventario!$A$7:$A$46,0)),""))</f>
        <v/>
      </c>
      <c r="E656" s="19"/>
      <c r="F656" s="19"/>
      <c r="G656" s="20" t="str">
        <f aca="false">IF(OR(E656="",F656=""),IF(B656="","",IF(A656="","",8)),F656-E656)</f>
        <v/>
      </c>
      <c r="H656" s="14"/>
      <c r="I656" s="12"/>
      <c r="J656" s="14"/>
      <c r="K656" s="20" t="str">
        <f aca="false">IF(OR(J656="",N(G656)=0),"",J656/G656)</f>
        <v/>
      </c>
      <c r="L656" s="12"/>
      <c r="M656" s="12"/>
      <c r="N656" s="12"/>
    </row>
    <row r="657" customFormat="false" ht="15" hidden="false" customHeight="false" outlineLevel="0" collapsed="false">
      <c r="A657" s="16"/>
      <c r="B657" s="12"/>
      <c r="C657" s="18" t="str">
        <f aca="false">IF(B657="","",IFERROR(INDEX(Inventario!$B$7:$B$46,MATCH(B657,Inventario!$A$7:$A$46,0)),"Clave no existe"))</f>
        <v/>
      </c>
      <c r="D657" s="18" t="str">
        <f aca="false">IF(B657="","",IFERROR(INDEX(Inventario!$C$7:$C$46,MATCH(B657,Inventario!$A$7:$A$46,0)),""))</f>
        <v/>
      </c>
      <c r="E657" s="19"/>
      <c r="F657" s="19"/>
      <c r="G657" s="20" t="str">
        <f aca="false">IF(OR(E657="",F657=""),IF(B657="","",IF(A657="","",8)),F657-E657)</f>
        <v/>
      </c>
      <c r="H657" s="14"/>
      <c r="I657" s="12"/>
      <c r="J657" s="14"/>
      <c r="K657" s="20" t="str">
        <f aca="false">IF(OR(J657="",N(G657)=0),"",J657/G657)</f>
        <v/>
      </c>
      <c r="L657" s="12"/>
      <c r="M657" s="12"/>
      <c r="N657" s="12"/>
    </row>
    <row r="658" customFormat="false" ht="15" hidden="false" customHeight="false" outlineLevel="0" collapsed="false">
      <c r="A658" s="16"/>
      <c r="B658" s="12"/>
      <c r="C658" s="18" t="str">
        <f aca="false">IF(B658="","",IFERROR(INDEX(Inventario!$B$7:$B$46,MATCH(B658,Inventario!$A$7:$A$46,0)),"Clave no existe"))</f>
        <v/>
      </c>
      <c r="D658" s="18" t="str">
        <f aca="false">IF(B658="","",IFERROR(INDEX(Inventario!$C$7:$C$46,MATCH(B658,Inventario!$A$7:$A$46,0)),""))</f>
        <v/>
      </c>
      <c r="E658" s="19"/>
      <c r="F658" s="19"/>
      <c r="G658" s="20" t="str">
        <f aca="false">IF(OR(E658="",F658=""),IF(B658="","",IF(A658="","",8)),F658-E658)</f>
        <v/>
      </c>
      <c r="H658" s="14"/>
      <c r="I658" s="12"/>
      <c r="J658" s="14"/>
      <c r="K658" s="20" t="str">
        <f aca="false">IF(OR(J658="",N(G658)=0),"",J658/G658)</f>
        <v/>
      </c>
      <c r="L658" s="12"/>
      <c r="M658" s="12"/>
      <c r="N658" s="12"/>
    </row>
    <row r="659" customFormat="false" ht="15" hidden="false" customHeight="false" outlineLevel="0" collapsed="false">
      <c r="A659" s="16"/>
      <c r="B659" s="12"/>
      <c r="C659" s="18" t="str">
        <f aca="false">IF(B659="","",IFERROR(INDEX(Inventario!$B$7:$B$46,MATCH(B659,Inventario!$A$7:$A$46,0)),"Clave no existe"))</f>
        <v/>
      </c>
      <c r="D659" s="18" t="str">
        <f aca="false">IF(B659="","",IFERROR(INDEX(Inventario!$C$7:$C$46,MATCH(B659,Inventario!$A$7:$A$46,0)),""))</f>
        <v/>
      </c>
      <c r="E659" s="19"/>
      <c r="F659" s="19"/>
      <c r="G659" s="20" t="str">
        <f aca="false">IF(OR(E659="",F659=""),IF(B659="","",IF(A659="","",8)),F659-E659)</f>
        <v/>
      </c>
      <c r="H659" s="14"/>
      <c r="I659" s="12"/>
      <c r="J659" s="14"/>
      <c r="K659" s="20" t="str">
        <f aca="false">IF(OR(J659="",N(G659)=0),"",J659/G659)</f>
        <v/>
      </c>
      <c r="L659" s="12"/>
      <c r="M659" s="12"/>
      <c r="N659" s="12"/>
    </row>
    <row r="660" customFormat="false" ht="15" hidden="false" customHeight="false" outlineLevel="0" collapsed="false">
      <c r="A660" s="16"/>
      <c r="B660" s="12"/>
      <c r="C660" s="18" t="str">
        <f aca="false">IF(B660="","",IFERROR(INDEX(Inventario!$B$7:$B$46,MATCH(B660,Inventario!$A$7:$A$46,0)),"Clave no existe"))</f>
        <v/>
      </c>
      <c r="D660" s="18" t="str">
        <f aca="false">IF(B660="","",IFERROR(INDEX(Inventario!$C$7:$C$46,MATCH(B660,Inventario!$A$7:$A$46,0)),""))</f>
        <v/>
      </c>
      <c r="E660" s="19"/>
      <c r="F660" s="19"/>
      <c r="G660" s="20" t="str">
        <f aca="false">IF(OR(E660="",F660=""),IF(B660="","",IF(A660="","",8)),F660-E660)</f>
        <v/>
      </c>
      <c r="H660" s="14"/>
      <c r="I660" s="12"/>
      <c r="J660" s="14"/>
      <c r="K660" s="20" t="str">
        <f aca="false">IF(OR(J660="",N(G660)=0),"",J660/G660)</f>
        <v/>
      </c>
      <c r="L660" s="12"/>
      <c r="M660" s="12"/>
      <c r="N660" s="12"/>
    </row>
    <row r="661" customFormat="false" ht="15" hidden="false" customHeight="false" outlineLevel="0" collapsed="false">
      <c r="A661" s="16"/>
      <c r="B661" s="12"/>
      <c r="C661" s="18" t="str">
        <f aca="false">IF(B661="","",IFERROR(INDEX(Inventario!$B$7:$B$46,MATCH(B661,Inventario!$A$7:$A$46,0)),"Clave no existe"))</f>
        <v/>
      </c>
      <c r="D661" s="18" t="str">
        <f aca="false">IF(B661="","",IFERROR(INDEX(Inventario!$C$7:$C$46,MATCH(B661,Inventario!$A$7:$A$46,0)),""))</f>
        <v/>
      </c>
      <c r="E661" s="19"/>
      <c r="F661" s="19"/>
      <c r="G661" s="20" t="str">
        <f aca="false">IF(OR(E661="",F661=""),IF(B661="","",IF(A661="","",8)),F661-E661)</f>
        <v/>
      </c>
      <c r="H661" s="14"/>
      <c r="I661" s="12"/>
      <c r="J661" s="14"/>
      <c r="K661" s="20" t="str">
        <f aca="false">IF(OR(J661="",N(G661)=0),"",J661/G661)</f>
        <v/>
      </c>
      <c r="L661" s="12"/>
      <c r="M661" s="12"/>
      <c r="N661" s="12"/>
    </row>
    <row r="662" customFormat="false" ht="15" hidden="false" customHeight="false" outlineLevel="0" collapsed="false">
      <c r="A662" s="16"/>
      <c r="B662" s="12"/>
      <c r="C662" s="18" t="str">
        <f aca="false">IF(B662="","",IFERROR(INDEX(Inventario!$B$7:$B$46,MATCH(B662,Inventario!$A$7:$A$46,0)),"Clave no existe"))</f>
        <v/>
      </c>
      <c r="D662" s="18" t="str">
        <f aca="false">IF(B662="","",IFERROR(INDEX(Inventario!$C$7:$C$46,MATCH(B662,Inventario!$A$7:$A$46,0)),""))</f>
        <v/>
      </c>
      <c r="E662" s="19"/>
      <c r="F662" s="19"/>
      <c r="G662" s="20" t="str">
        <f aca="false">IF(OR(E662="",F662=""),IF(B662="","",IF(A662="","",8)),F662-E662)</f>
        <v/>
      </c>
      <c r="H662" s="14"/>
      <c r="I662" s="12"/>
      <c r="J662" s="14"/>
      <c r="K662" s="20" t="str">
        <f aca="false">IF(OR(J662="",N(G662)=0),"",J662/G662)</f>
        <v/>
      </c>
      <c r="L662" s="12"/>
      <c r="M662" s="12"/>
      <c r="N662" s="12"/>
    </row>
    <row r="663" customFormat="false" ht="15" hidden="false" customHeight="false" outlineLevel="0" collapsed="false">
      <c r="A663" s="16"/>
      <c r="B663" s="12"/>
      <c r="C663" s="18" t="str">
        <f aca="false">IF(B663="","",IFERROR(INDEX(Inventario!$B$7:$B$46,MATCH(B663,Inventario!$A$7:$A$46,0)),"Clave no existe"))</f>
        <v/>
      </c>
      <c r="D663" s="18" t="str">
        <f aca="false">IF(B663="","",IFERROR(INDEX(Inventario!$C$7:$C$46,MATCH(B663,Inventario!$A$7:$A$46,0)),""))</f>
        <v/>
      </c>
      <c r="E663" s="19"/>
      <c r="F663" s="19"/>
      <c r="G663" s="20" t="str">
        <f aca="false">IF(OR(E663="",F663=""),IF(B663="","",IF(A663="","",8)),F663-E663)</f>
        <v/>
      </c>
      <c r="H663" s="14"/>
      <c r="I663" s="12"/>
      <c r="J663" s="14"/>
      <c r="K663" s="20" t="str">
        <f aca="false">IF(OR(J663="",N(G663)=0),"",J663/G663)</f>
        <v/>
      </c>
      <c r="L663" s="12"/>
      <c r="M663" s="12"/>
      <c r="N663" s="12"/>
    </row>
    <row r="664" customFormat="false" ht="15" hidden="false" customHeight="false" outlineLevel="0" collapsed="false">
      <c r="A664" s="16"/>
      <c r="B664" s="12"/>
      <c r="C664" s="18" t="str">
        <f aca="false">IF(B664="","",IFERROR(INDEX(Inventario!$B$7:$B$46,MATCH(B664,Inventario!$A$7:$A$46,0)),"Clave no existe"))</f>
        <v/>
      </c>
      <c r="D664" s="18" t="str">
        <f aca="false">IF(B664="","",IFERROR(INDEX(Inventario!$C$7:$C$46,MATCH(B664,Inventario!$A$7:$A$46,0)),""))</f>
        <v/>
      </c>
      <c r="E664" s="19"/>
      <c r="F664" s="19"/>
      <c r="G664" s="20" t="str">
        <f aca="false">IF(OR(E664="",F664=""),IF(B664="","",IF(A664="","",8)),F664-E664)</f>
        <v/>
      </c>
      <c r="H664" s="14"/>
      <c r="I664" s="12"/>
      <c r="J664" s="14"/>
      <c r="K664" s="20" t="str">
        <f aca="false">IF(OR(J664="",N(G664)=0),"",J664/G664)</f>
        <v/>
      </c>
      <c r="L664" s="12"/>
      <c r="M664" s="12"/>
      <c r="N664" s="12"/>
    </row>
    <row r="665" customFormat="false" ht="15" hidden="false" customHeight="false" outlineLevel="0" collapsed="false">
      <c r="A665" s="16"/>
      <c r="B665" s="12"/>
      <c r="C665" s="18" t="str">
        <f aca="false">IF(B665="","",IFERROR(INDEX(Inventario!$B$7:$B$46,MATCH(B665,Inventario!$A$7:$A$46,0)),"Clave no existe"))</f>
        <v/>
      </c>
      <c r="D665" s="18" t="str">
        <f aca="false">IF(B665="","",IFERROR(INDEX(Inventario!$C$7:$C$46,MATCH(B665,Inventario!$A$7:$A$46,0)),""))</f>
        <v/>
      </c>
      <c r="E665" s="19"/>
      <c r="F665" s="19"/>
      <c r="G665" s="20" t="str">
        <f aca="false">IF(OR(E665="",F665=""),IF(B665="","",IF(A665="","",8)),F665-E665)</f>
        <v/>
      </c>
      <c r="H665" s="14"/>
      <c r="I665" s="12"/>
      <c r="J665" s="14"/>
      <c r="K665" s="20" t="str">
        <f aca="false">IF(OR(J665="",N(G665)=0),"",J665/G665)</f>
        <v/>
      </c>
      <c r="L665" s="12"/>
      <c r="M665" s="12"/>
      <c r="N665" s="12"/>
    </row>
    <row r="666" customFormat="false" ht="15" hidden="false" customHeight="false" outlineLevel="0" collapsed="false">
      <c r="A666" s="16"/>
      <c r="B666" s="12"/>
      <c r="C666" s="18" t="str">
        <f aca="false">IF(B666="","",IFERROR(INDEX(Inventario!$B$7:$B$46,MATCH(B666,Inventario!$A$7:$A$46,0)),"Clave no existe"))</f>
        <v/>
      </c>
      <c r="D666" s="18" t="str">
        <f aca="false">IF(B666="","",IFERROR(INDEX(Inventario!$C$7:$C$46,MATCH(B666,Inventario!$A$7:$A$46,0)),""))</f>
        <v/>
      </c>
      <c r="E666" s="19"/>
      <c r="F666" s="19"/>
      <c r="G666" s="20" t="str">
        <f aca="false">IF(OR(E666="",F666=""),IF(B666="","",IF(A666="","",8)),F666-E666)</f>
        <v/>
      </c>
      <c r="H666" s="14"/>
      <c r="I666" s="12"/>
      <c r="J666" s="14"/>
      <c r="K666" s="20" t="str">
        <f aca="false">IF(OR(J666="",N(G666)=0),"",J666/G666)</f>
        <v/>
      </c>
      <c r="L666" s="12"/>
      <c r="M666" s="12"/>
      <c r="N666" s="12"/>
    </row>
    <row r="667" customFormat="false" ht="15" hidden="false" customHeight="false" outlineLevel="0" collapsed="false">
      <c r="A667" s="16"/>
      <c r="B667" s="12"/>
      <c r="C667" s="18" t="str">
        <f aca="false">IF(B667="","",IFERROR(INDEX(Inventario!$B$7:$B$46,MATCH(B667,Inventario!$A$7:$A$46,0)),"Clave no existe"))</f>
        <v/>
      </c>
      <c r="D667" s="18" t="str">
        <f aca="false">IF(B667="","",IFERROR(INDEX(Inventario!$C$7:$C$46,MATCH(B667,Inventario!$A$7:$A$46,0)),""))</f>
        <v/>
      </c>
      <c r="E667" s="19"/>
      <c r="F667" s="19"/>
      <c r="G667" s="20" t="str">
        <f aca="false">IF(OR(E667="",F667=""),IF(B667="","",IF(A667="","",8)),F667-E667)</f>
        <v/>
      </c>
      <c r="H667" s="14"/>
      <c r="I667" s="12"/>
      <c r="J667" s="14"/>
      <c r="K667" s="20" t="str">
        <f aca="false">IF(OR(J667="",N(G667)=0),"",J667/G667)</f>
        <v/>
      </c>
      <c r="L667" s="12"/>
      <c r="M667" s="12"/>
      <c r="N667" s="12"/>
    </row>
    <row r="668" customFormat="false" ht="15" hidden="false" customHeight="false" outlineLevel="0" collapsed="false">
      <c r="A668" s="16"/>
      <c r="B668" s="12"/>
      <c r="C668" s="18" t="str">
        <f aca="false">IF(B668="","",IFERROR(INDEX(Inventario!$B$7:$B$46,MATCH(B668,Inventario!$A$7:$A$46,0)),"Clave no existe"))</f>
        <v/>
      </c>
      <c r="D668" s="18" t="str">
        <f aca="false">IF(B668="","",IFERROR(INDEX(Inventario!$C$7:$C$46,MATCH(B668,Inventario!$A$7:$A$46,0)),""))</f>
        <v/>
      </c>
      <c r="E668" s="19"/>
      <c r="F668" s="19"/>
      <c r="G668" s="20" t="str">
        <f aca="false">IF(OR(E668="",F668=""),IF(B668="","",IF(A668="","",8)),F668-E668)</f>
        <v/>
      </c>
      <c r="H668" s="14"/>
      <c r="I668" s="12"/>
      <c r="J668" s="14"/>
      <c r="K668" s="20" t="str">
        <f aca="false">IF(OR(J668="",N(G668)=0),"",J668/G668)</f>
        <v/>
      </c>
      <c r="L668" s="12"/>
      <c r="M668" s="12"/>
      <c r="N668" s="12"/>
    </row>
    <row r="669" customFormat="false" ht="15" hidden="false" customHeight="false" outlineLevel="0" collapsed="false">
      <c r="A669" s="16"/>
      <c r="B669" s="12"/>
      <c r="C669" s="18" t="str">
        <f aca="false">IF(B669="","",IFERROR(INDEX(Inventario!$B$7:$B$46,MATCH(B669,Inventario!$A$7:$A$46,0)),"Clave no existe"))</f>
        <v/>
      </c>
      <c r="D669" s="18" t="str">
        <f aca="false">IF(B669="","",IFERROR(INDEX(Inventario!$C$7:$C$46,MATCH(B669,Inventario!$A$7:$A$46,0)),""))</f>
        <v/>
      </c>
      <c r="E669" s="19"/>
      <c r="F669" s="19"/>
      <c r="G669" s="20" t="str">
        <f aca="false">IF(OR(E669="",F669=""),IF(B669="","",IF(A669="","",8)),F669-E669)</f>
        <v/>
      </c>
      <c r="H669" s="14"/>
      <c r="I669" s="12"/>
      <c r="J669" s="14"/>
      <c r="K669" s="20" t="str">
        <f aca="false">IF(OR(J669="",N(G669)=0),"",J669/G669)</f>
        <v/>
      </c>
      <c r="L669" s="12"/>
      <c r="M669" s="12"/>
      <c r="N669" s="12"/>
    </row>
    <row r="670" customFormat="false" ht="15" hidden="false" customHeight="false" outlineLevel="0" collapsed="false">
      <c r="A670" s="16"/>
      <c r="B670" s="12"/>
      <c r="C670" s="18" t="str">
        <f aca="false">IF(B670="","",IFERROR(INDEX(Inventario!$B$7:$B$46,MATCH(B670,Inventario!$A$7:$A$46,0)),"Clave no existe"))</f>
        <v/>
      </c>
      <c r="D670" s="18" t="str">
        <f aca="false">IF(B670="","",IFERROR(INDEX(Inventario!$C$7:$C$46,MATCH(B670,Inventario!$A$7:$A$46,0)),""))</f>
        <v/>
      </c>
      <c r="E670" s="19"/>
      <c r="F670" s="19"/>
      <c r="G670" s="20" t="str">
        <f aca="false">IF(OR(E670="",F670=""),IF(B670="","",IF(A670="","",8)),F670-E670)</f>
        <v/>
      </c>
      <c r="H670" s="14"/>
      <c r="I670" s="12"/>
      <c r="J670" s="14"/>
      <c r="K670" s="20" t="str">
        <f aca="false">IF(OR(J670="",N(G670)=0),"",J670/G670)</f>
        <v/>
      </c>
      <c r="L670" s="12"/>
      <c r="M670" s="12"/>
      <c r="N670" s="12"/>
    </row>
    <row r="671" customFormat="false" ht="15" hidden="false" customHeight="false" outlineLevel="0" collapsed="false">
      <c r="A671" s="16"/>
      <c r="B671" s="12"/>
      <c r="C671" s="18" t="str">
        <f aca="false">IF(B671="","",IFERROR(INDEX(Inventario!$B$7:$B$46,MATCH(B671,Inventario!$A$7:$A$46,0)),"Clave no existe"))</f>
        <v/>
      </c>
      <c r="D671" s="18" t="str">
        <f aca="false">IF(B671="","",IFERROR(INDEX(Inventario!$C$7:$C$46,MATCH(B671,Inventario!$A$7:$A$46,0)),""))</f>
        <v/>
      </c>
      <c r="E671" s="19"/>
      <c r="F671" s="19"/>
      <c r="G671" s="20" t="str">
        <f aca="false">IF(OR(E671="",F671=""),IF(B671="","",IF(A671="","",8)),F671-E671)</f>
        <v/>
      </c>
      <c r="H671" s="14"/>
      <c r="I671" s="12"/>
      <c r="J671" s="14"/>
      <c r="K671" s="20" t="str">
        <f aca="false">IF(OR(J671="",N(G671)=0),"",J671/G671)</f>
        <v/>
      </c>
      <c r="L671" s="12"/>
      <c r="M671" s="12"/>
      <c r="N671" s="12"/>
    </row>
    <row r="672" customFormat="false" ht="15" hidden="false" customHeight="false" outlineLevel="0" collapsed="false">
      <c r="A672" s="16"/>
      <c r="B672" s="12"/>
      <c r="C672" s="18" t="str">
        <f aca="false">IF(B672="","",IFERROR(INDEX(Inventario!$B$7:$B$46,MATCH(B672,Inventario!$A$7:$A$46,0)),"Clave no existe"))</f>
        <v/>
      </c>
      <c r="D672" s="18" t="str">
        <f aca="false">IF(B672="","",IFERROR(INDEX(Inventario!$C$7:$C$46,MATCH(B672,Inventario!$A$7:$A$46,0)),""))</f>
        <v/>
      </c>
      <c r="E672" s="19"/>
      <c r="F672" s="19"/>
      <c r="G672" s="20" t="str">
        <f aca="false">IF(OR(E672="",F672=""),IF(B672="","",IF(A672="","",8)),F672-E672)</f>
        <v/>
      </c>
      <c r="H672" s="14"/>
      <c r="I672" s="12"/>
      <c r="J672" s="14"/>
      <c r="K672" s="20" t="str">
        <f aca="false">IF(OR(J672="",N(G672)=0),"",J672/G672)</f>
        <v/>
      </c>
      <c r="L672" s="12"/>
      <c r="M672" s="12"/>
      <c r="N672" s="12"/>
    </row>
    <row r="673" customFormat="false" ht="15" hidden="false" customHeight="false" outlineLevel="0" collapsed="false">
      <c r="A673" s="16"/>
      <c r="B673" s="12"/>
      <c r="C673" s="18" t="str">
        <f aca="false">IF(B673="","",IFERROR(INDEX(Inventario!$B$7:$B$46,MATCH(B673,Inventario!$A$7:$A$46,0)),"Clave no existe"))</f>
        <v/>
      </c>
      <c r="D673" s="18" t="str">
        <f aca="false">IF(B673="","",IFERROR(INDEX(Inventario!$C$7:$C$46,MATCH(B673,Inventario!$A$7:$A$46,0)),""))</f>
        <v/>
      </c>
      <c r="E673" s="19"/>
      <c r="F673" s="19"/>
      <c r="G673" s="20" t="str">
        <f aca="false">IF(OR(E673="",F673=""),IF(B673="","",IF(A673="","",8)),F673-E673)</f>
        <v/>
      </c>
      <c r="H673" s="14"/>
      <c r="I673" s="12"/>
      <c r="J673" s="14"/>
      <c r="K673" s="20" t="str">
        <f aca="false">IF(OR(J673="",N(G673)=0),"",J673/G673)</f>
        <v/>
      </c>
      <c r="L673" s="12"/>
      <c r="M673" s="12"/>
      <c r="N673" s="12"/>
    </row>
    <row r="674" customFormat="false" ht="15" hidden="false" customHeight="false" outlineLevel="0" collapsed="false">
      <c r="A674" s="16"/>
      <c r="B674" s="12"/>
      <c r="C674" s="18" t="str">
        <f aca="false">IF(B674="","",IFERROR(INDEX(Inventario!$B$7:$B$46,MATCH(B674,Inventario!$A$7:$A$46,0)),"Clave no existe"))</f>
        <v/>
      </c>
      <c r="D674" s="18" t="str">
        <f aca="false">IF(B674="","",IFERROR(INDEX(Inventario!$C$7:$C$46,MATCH(B674,Inventario!$A$7:$A$46,0)),""))</f>
        <v/>
      </c>
      <c r="E674" s="19"/>
      <c r="F674" s="19"/>
      <c r="G674" s="20" t="str">
        <f aca="false">IF(OR(E674="",F674=""),IF(B674="","",IF(A674="","",8)),F674-E674)</f>
        <v/>
      </c>
      <c r="H674" s="14"/>
      <c r="I674" s="12"/>
      <c r="J674" s="14"/>
      <c r="K674" s="20" t="str">
        <f aca="false">IF(OR(J674="",N(G674)=0),"",J674/G674)</f>
        <v/>
      </c>
      <c r="L674" s="12"/>
      <c r="M674" s="12"/>
      <c r="N674" s="12"/>
    </row>
    <row r="675" customFormat="false" ht="15" hidden="false" customHeight="false" outlineLevel="0" collapsed="false">
      <c r="A675" s="16"/>
      <c r="B675" s="12"/>
      <c r="C675" s="18" t="str">
        <f aca="false">IF(B675="","",IFERROR(INDEX(Inventario!$B$7:$B$46,MATCH(B675,Inventario!$A$7:$A$46,0)),"Clave no existe"))</f>
        <v/>
      </c>
      <c r="D675" s="18" t="str">
        <f aca="false">IF(B675="","",IFERROR(INDEX(Inventario!$C$7:$C$46,MATCH(B675,Inventario!$A$7:$A$46,0)),""))</f>
        <v/>
      </c>
      <c r="E675" s="19"/>
      <c r="F675" s="19"/>
      <c r="G675" s="20" t="str">
        <f aca="false">IF(OR(E675="",F675=""),IF(B675="","",IF(A675="","",8)),F675-E675)</f>
        <v/>
      </c>
      <c r="H675" s="14"/>
      <c r="I675" s="12"/>
      <c r="J675" s="14"/>
      <c r="K675" s="20" t="str">
        <f aca="false">IF(OR(J675="",N(G675)=0),"",J675/G675)</f>
        <v/>
      </c>
      <c r="L675" s="12"/>
      <c r="M675" s="12"/>
      <c r="N675" s="12"/>
    </row>
    <row r="676" customFormat="false" ht="15" hidden="false" customHeight="false" outlineLevel="0" collapsed="false">
      <c r="A676" s="16"/>
      <c r="B676" s="12"/>
      <c r="C676" s="18" t="str">
        <f aca="false">IF(B676="","",IFERROR(INDEX(Inventario!$B$7:$B$46,MATCH(B676,Inventario!$A$7:$A$46,0)),"Clave no existe"))</f>
        <v/>
      </c>
      <c r="D676" s="18" t="str">
        <f aca="false">IF(B676="","",IFERROR(INDEX(Inventario!$C$7:$C$46,MATCH(B676,Inventario!$A$7:$A$46,0)),""))</f>
        <v/>
      </c>
      <c r="E676" s="19"/>
      <c r="F676" s="19"/>
      <c r="G676" s="20" t="str">
        <f aca="false">IF(OR(E676="",F676=""),IF(B676="","",IF(A676="","",8)),F676-E676)</f>
        <v/>
      </c>
      <c r="H676" s="14"/>
      <c r="I676" s="12"/>
      <c r="J676" s="14"/>
      <c r="K676" s="20" t="str">
        <f aca="false">IF(OR(J676="",N(G676)=0),"",J676/G676)</f>
        <v/>
      </c>
      <c r="L676" s="12"/>
      <c r="M676" s="12"/>
      <c r="N676" s="12"/>
    </row>
    <row r="677" customFormat="false" ht="15" hidden="false" customHeight="false" outlineLevel="0" collapsed="false">
      <c r="A677" s="16"/>
      <c r="B677" s="12"/>
      <c r="C677" s="18" t="str">
        <f aca="false">IF(B677="","",IFERROR(INDEX(Inventario!$B$7:$B$46,MATCH(B677,Inventario!$A$7:$A$46,0)),"Clave no existe"))</f>
        <v/>
      </c>
      <c r="D677" s="18" t="str">
        <f aca="false">IF(B677="","",IFERROR(INDEX(Inventario!$C$7:$C$46,MATCH(B677,Inventario!$A$7:$A$46,0)),""))</f>
        <v/>
      </c>
      <c r="E677" s="19"/>
      <c r="F677" s="19"/>
      <c r="G677" s="20" t="str">
        <f aca="false">IF(OR(E677="",F677=""),IF(B677="","",IF(A677="","",8)),F677-E677)</f>
        <v/>
      </c>
      <c r="H677" s="14"/>
      <c r="I677" s="12"/>
      <c r="J677" s="14"/>
      <c r="K677" s="20" t="str">
        <f aca="false">IF(OR(J677="",N(G677)=0),"",J677/G677)</f>
        <v/>
      </c>
      <c r="L677" s="12"/>
      <c r="M677" s="12"/>
      <c r="N677" s="12"/>
    </row>
    <row r="678" customFormat="false" ht="15" hidden="false" customHeight="false" outlineLevel="0" collapsed="false">
      <c r="A678" s="16"/>
      <c r="B678" s="12"/>
      <c r="C678" s="18" t="str">
        <f aca="false">IF(B678="","",IFERROR(INDEX(Inventario!$B$7:$B$46,MATCH(B678,Inventario!$A$7:$A$46,0)),"Clave no existe"))</f>
        <v/>
      </c>
      <c r="D678" s="18" t="str">
        <f aca="false">IF(B678="","",IFERROR(INDEX(Inventario!$C$7:$C$46,MATCH(B678,Inventario!$A$7:$A$46,0)),""))</f>
        <v/>
      </c>
      <c r="E678" s="19"/>
      <c r="F678" s="19"/>
      <c r="G678" s="20" t="str">
        <f aca="false">IF(OR(E678="",F678=""),IF(B678="","",IF(A678="","",8)),F678-E678)</f>
        <v/>
      </c>
      <c r="H678" s="14"/>
      <c r="I678" s="12"/>
      <c r="J678" s="14"/>
      <c r="K678" s="20" t="str">
        <f aca="false">IF(OR(J678="",N(G678)=0),"",J678/G678)</f>
        <v/>
      </c>
      <c r="L678" s="12"/>
      <c r="M678" s="12"/>
      <c r="N678" s="12"/>
    </row>
    <row r="679" customFormat="false" ht="15" hidden="false" customHeight="false" outlineLevel="0" collapsed="false">
      <c r="A679" s="16"/>
      <c r="B679" s="12"/>
      <c r="C679" s="18" t="str">
        <f aca="false">IF(B679="","",IFERROR(INDEX(Inventario!$B$7:$B$46,MATCH(B679,Inventario!$A$7:$A$46,0)),"Clave no existe"))</f>
        <v/>
      </c>
      <c r="D679" s="18" t="str">
        <f aca="false">IF(B679="","",IFERROR(INDEX(Inventario!$C$7:$C$46,MATCH(B679,Inventario!$A$7:$A$46,0)),""))</f>
        <v/>
      </c>
      <c r="E679" s="19"/>
      <c r="F679" s="19"/>
      <c r="G679" s="20" t="str">
        <f aca="false">IF(OR(E679="",F679=""),IF(B679="","",IF(A679="","",8)),F679-E679)</f>
        <v/>
      </c>
      <c r="H679" s="14"/>
      <c r="I679" s="12"/>
      <c r="J679" s="14"/>
      <c r="K679" s="20" t="str">
        <f aca="false">IF(OR(J679="",N(G679)=0),"",J679/G679)</f>
        <v/>
      </c>
      <c r="L679" s="12"/>
      <c r="M679" s="12"/>
      <c r="N679" s="12"/>
    </row>
    <row r="680" customFormat="false" ht="15" hidden="false" customHeight="false" outlineLevel="0" collapsed="false">
      <c r="A680" s="16"/>
      <c r="B680" s="12"/>
      <c r="C680" s="18" t="str">
        <f aca="false">IF(B680="","",IFERROR(INDEX(Inventario!$B$7:$B$46,MATCH(B680,Inventario!$A$7:$A$46,0)),"Clave no existe"))</f>
        <v/>
      </c>
      <c r="D680" s="18" t="str">
        <f aca="false">IF(B680="","",IFERROR(INDEX(Inventario!$C$7:$C$46,MATCH(B680,Inventario!$A$7:$A$46,0)),""))</f>
        <v/>
      </c>
      <c r="E680" s="19"/>
      <c r="F680" s="19"/>
      <c r="G680" s="20" t="str">
        <f aca="false">IF(OR(E680="",F680=""),IF(B680="","",IF(A680="","",8)),F680-E680)</f>
        <v/>
      </c>
      <c r="H680" s="14"/>
      <c r="I680" s="12"/>
      <c r="J680" s="14"/>
      <c r="K680" s="20" t="str">
        <f aca="false">IF(OR(J680="",N(G680)=0),"",J680/G680)</f>
        <v/>
      </c>
      <c r="L680" s="12"/>
      <c r="M680" s="12"/>
      <c r="N680" s="12"/>
    </row>
    <row r="681" customFormat="false" ht="15" hidden="false" customHeight="false" outlineLevel="0" collapsed="false">
      <c r="A681" s="16"/>
      <c r="B681" s="12"/>
      <c r="C681" s="18" t="str">
        <f aca="false">IF(B681="","",IFERROR(INDEX(Inventario!$B$7:$B$46,MATCH(B681,Inventario!$A$7:$A$46,0)),"Clave no existe"))</f>
        <v/>
      </c>
      <c r="D681" s="18" t="str">
        <f aca="false">IF(B681="","",IFERROR(INDEX(Inventario!$C$7:$C$46,MATCH(B681,Inventario!$A$7:$A$46,0)),""))</f>
        <v/>
      </c>
      <c r="E681" s="19"/>
      <c r="F681" s="19"/>
      <c r="G681" s="20" t="str">
        <f aca="false">IF(OR(E681="",F681=""),IF(B681="","",IF(A681="","",8)),F681-E681)</f>
        <v/>
      </c>
      <c r="H681" s="14"/>
      <c r="I681" s="12"/>
      <c r="J681" s="14"/>
      <c r="K681" s="20" t="str">
        <f aca="false">IF(OR(J681="",N(G681)=0),"",J681/G681)</f>
        <v/>
      </c>
      <c r="L681" s="12"/>
      <c r="M681" s="12"/>
      <c r="N681" s="12"/>
    </row>
    <row r="682" customFormat="false" ht="15" hidden="false" customHeight="false" outlineLevel="0" collapsed="false">
      <c r="A682" s="16"/>
      <c r="B682" s="12"/>
      <c r="C682" s="18" t="str">
        <f aca="false">IF(B682="","",IFERROR(INDEX(Inventario!$B$7:$B$46,MATCH(B682,Inventario!$A$7:$A$46,0)),"Clave no existe"))</f>
        <v/>
      </c>
      <c r="D682" s="18" t="str">
        <f aca="false">IF(B682="","",IFERROR(INDEX(Inventario!$C$7:$C$46,MATCH(B682,Inventario!$A$7:$A$46,0)),""))</f>
        <v/>
      </c>
      <c r="E682" s="19"/>
      <c r="F682" s="19"/>
      <c r="G682" s="20" t="str">
        <f aca="false">IF(OR(E682="",F682=""),IF(B682="","",IF(A682="","",8)),F682-E682)</f>
        <v/>
      </c>
      <c r="H682" s="14"/>
      <c r="I682" s="12"/>
      <c r="J682" s="14"/>
      <c r="K682" s="20" t="str">
        <f aca="false">IF(OR(J682="",N(G682)=0),"",J682/G682)</f>
        <v/>
      </c>
      <c r="L682" s="12"/>
      <c r="M682" s="12"/>
      <c r="N682" s="12"/>
    </row>
    <row r="683" customFormat="false" ht="15" hidden="false" customHeight="false" outlineLevel="0" collapsed="false">
      <c r="A683" s="16"/>
      <c r="B683" s="12"/>
      <c r="C683" s="18" t="str">
        <f aca="false">IF(B683="","",IFERROR(INDEX(Inventario!$B$7:$B$46,MATCH(B683,Inventario!$A$7:$A$46,0)),"Clave no existe"))</f>
        <v/>
      </c>
      <c r="D683" s="18" t="str">
        <f aca="false">IF(B683="","",IFERROR(INDEX(Inventario!$C$7:$C$46,MATCH(B683,Inventario!$A$7:$A$46,0)),""))</f>
        <v/>
      </c>
      <c r="E683" s="19"/>
      <c r="F683" s="19"/>
      <c r="G683" s="20" t="str">
        <f aca="false">IF(OR(E683="",F683=""),IF(B683="","",IF(A683="","",8)),F683-E683)</f>
        <v/>
      </c>
      <c r="H683" s="14"/>
      <c r="I683" s="12"/>
      <c r="J683" s="14"/>
      <c r="K683" s="20" t="str">
        <f aca="false">IF(OR(J683="",N(G683)=0),"",J683/G683)</f>
        <v/>
      </c>
      <c r="L683" s="12"/>
      <c r="M683" s="12"/>
      <c r="N683" s="12"/>
    </row>
    <row r="684" customFormat="false" ht="15" hidden="false" customHeight="false" outlineLevel="0" collapsed="false">
      <c r="A684" s="16"/>
      <c r="B684" s="12"/>
      <c r="C684" s="18" t="str">
        <f aca="false">IF(B684="","",IFERROR(INDEX(Inventario!$B$7:$B$46,MATCH(B684,Inventario!$A$7:$A$46,0)),"Clave no existe"))</f>
        <v/>
      </c>
      <c r="D684" s="18" t="str">
        <f aca="false">IF(B684="","",IFERROR(INDEX(Inventario!$C$7:$C$46,MATCH(B684,Inventario!$A$7:$A$46,0)),""))</f>
        <v/>
      </c>
      <c r="E684" s="19"/>
      <c r="F684" s="19"/>
      <c r="G684" s="20" t="str">
        <f aca="false">IF(OR(E684="",F684=""),IF(B684="","",IF(A684="","",8)),F684-E684)</f>
        <v/>
      </c>
      <c r="H684" s="14"/>
      <c r="I684" s="12"/>
      <c r="J684" s="14"/>
      <c r="K684" s="20" t="str">
        <f aca="false">IF(OR(J684="",N(G684)=0),"",J684/G684)</f>
        <v/>
      </c>
      <c r="L684" s="12"/>
      <c r="M684" s="12"/>
      <c r="N684" s="12"/>
    </row>
    <row r="685" customFormat="false" ht="15" hidden="false" customHeight="false" outlineLevel="0" collapsed="false">
      <c r="A685" s="16"/>
      <c r="B685" s="12"/>
      <c r="C685" s="18" t="str">
        <f aca="false">IF(B685="","",IFERROR(INDEX(Inventario!$B$7:$B$46,MATCH(B685,Inventario!$A$7:$A$46,0)),"Clave no existe"))</f>
        <v/>
      </c>
      <c r="D685" s="18" t="str">
        <f aca="false">IF(B685="","",IFERROR(INDEX(Inventario!$C$7:$C$46,MATCH(B685,Inventario!$A$7:$A$46,0)),""))</f>
        <v/>
      </c>
      <c r="E685" s="19"/>
      <c r="F685" s="19"/>
      <c r="G685" s="20" t="str">
        <f aca="false">IF(OR(E685="",F685=""),IF(B685="","",IF(A685="","",8)),F685-E685)</f>
        <v/>
      </c>
      <c r="H685" s="14"/>
      <c r="I685" s="12"/>
      <c r="J685" s="14"/>
      <c r="K685" s="20" t="str">
        <f aca="false">IF(OR(J685="",N(G685)=0),"",J685/G685)</f>
        <v/>
      </c>
      <c r="L685" s="12"/>
      <c r="M685" s="12"/>
      <c r="N685" s="12"/>
    </row>
    <row r="686" customFormat="false" ht="15" hidden="false" customHeight="false" outlineLevel="0" collapsed="false">
      <c r="A686" s="16"/>
      <c r="B686" s="12"/>
      <c r="C686" s="18" t="str">
        <f aca="false">IF(B686="","",IFERROR(INDEX(Inventario!$B$7:$B$46,MATCH(B686,Inventario!$A$7:$A$46,0)),"Clave no existe"))</f>
        <v/>
      </c>
      <c r="D686" s="18" t="str">
        <f aca="false">IF(B686="","",IFERROR(INDEX(Inventario!$C$7:$C$46,MATCH(B686,Inventario!$A$7:$A$46,0)),""))</f>
        <v/>
      </c>
      <c r="E686" s="19"/>
      <c r="F686" s="19"/>
      <c r="G686" s="20" t="str">
        <f aca="false">IF(OR(E686="",F686=""),IF(B686="","",IF(A686="","",8)),F686-E686)</f>
        <v/>
      </c>
      <c r="H686" s="14"/>
      <c r="I686" s="12"/>
      <c r="J686" s="14"/>
      <c r="K686" s="20" t="str">
        <f aca="false">IF(OR(J686="",N(G686)=0),"",J686/G686)</f>
        <v/>
      </c>
      <c r="L686" s="12"/>
      <c r="M686" s="12"/>
      <c r="N686" s="12"/>
    </row>
    <row r="687" customFormat="false" ht="15" hidden="false" customHeight="false" outlineLevel="0" collapsed="false">
      <c r="A687" s="16"/>
      <c r="B687" s="12"/>
      <c r="C687" s="18" t="str">
        <f aca="false">IF(B687="","",IFERROR(INDEX(Inventario!$B$7:$B$46,MATCH(B687,Inventario!$A$7:$A$46,0)),"Clave no existe"))</f>
        <v/>
      </c>
      <c r="D687" s="18" t="str">
        <f aca="false">IF(B687="","",IFERROR(INDEX(Inventario!$C$7:$C$46,MATCH(B687,Inventario!$A$7:$A$46,0)),""))</f>
        <v/>
      </c>
      <c r="E687" s="19"/>
      <c r="F687" s="19"/>
      <c r="G687" s="20" t="str">
        <f aca="false">IF(OR(E687="",F687=""),IF(B687="","",IF(A687="","",8)),F687-E687)</f>
        <v/>
      </c>
      <c r="H687" s="14"/>
      <c r="I687" s="12"/>
      <c r="J687" s="14"/>
      <c r="K687" s="20" t="str">
        <f aca="false">IF(OR(J687="",N(G687)=0),"",J687/G687)</f>
        <v/>
      </c>
      <c r="L687" s="12"/>
      <c r="M687" s="12"/>
      <c r="N687" s="12"/>
    </row>
    <row r="688" customFormat="false" ht="15" hidden="false" customHeight="false" outlineLevel="0" collapsed="false">
      <c r="A688" s="16"/>
      <c r="B688" s="12"/>
      <c r="C688" s="18" t="str">
        <f aca="false">IF(B688="","",IFERROR(INDEX(Inventario!$B$7:$B$46,MATCH(B688,Inventario!$A$7:$A$46,0)),"Clave no existe"))</f>
        <v/>
      </c>
      <c r="D688" s="18" t="str">
        <f aca="false">IF(B688="","",IFERROR(INDEX(Inventario!$C$7:$C$46,MATCH(B688,Inventario!$A$7:$A$46,0)),""))</f>
        <v/>
      </c>
      <c r="E688" s="19"/>
      <c r="F688" s="19"/>
      <c r="G688" s="20" t="str">
        <f aca="false">IF(OR(E688="",F688=""),IF(B688="","",IF(A688="","",8)),F688-E688)</f>
        <v/>
      </c>
      <c r="H688" s="14"/>
      <c r="I688" s="12"/>
      <c r="J688" s="14"/>
      <c r="K688" s="20" t="str">
        <f aca="false">IF(OR(J688="",N(G688)=0),"",J688/G688)</f>
        <v/>
      </c>
      <c r="L688" s="12"/>
      <c r="M688" s="12"/>
      <c r="N688" s="12"/>
    </row>
    <row r="689" customFormat="false" ht="15" hidden="false" customHeight="false" outlineLevel="0" collapsed="false">
      <c r="A689" s="16"/>
      <c r="B689" s="12"/>
      <c r="C689" s="18" t="str">
        <f aca="false">IF(B689="","",IFERROR(INDEX(Inventario!$B$7:$B$46,MATCH(B689,Inventario!$A$7:$A$46,0)),"Clave no existe"))</f>
        <v/>
      </c>
      <c r="D689" s="18" t="str">
        <f aca="false">IF(B689="","",IFERROR(INDEX(Inventario!$C$7:$C$46,MATCH(B689,Inventario!$A$7:$A$46,0)),""))</f>
        <v/>
      </c>
      <c r="E689" s="19"/>
      <c r="F689" s="19"/>
      <c r="G689" s="20" t="str">
        <f aca="false">IF(OR(E689="",F689=""),IF(B689="","",IF(A689="","",8)),F689-E689)</f>
        <v/>
      </c>
      <c r="H689" s="14"/>
      <c r="I689" s="12"/>
      <c r="J689" s="14"/>
      <c r="K689" s="20" t="str">
        <f aca="false">IF(OR(J689="",N(G689)=0),"",J689/G689)</f>
        <v/>
      </c>
      <c r="L689" s="12"/>
      <c r="M689" s="12"/>
      <c r="N689" s="12"/>
    </row>
    <row r="690" customFormat="false" ht="15" hidden="false" customHeight="false" outlineLevel="0" collapsed="false">
      <c r="A690" s="16"/>
      <c r="B690" s="12"/>
      <c r="C690" s="18" t="str">
        <f aca="false">IF(B690="","",IFERROR(INDEX(Inventario!$B$7:$B$46,MATCH(B690,Inventario!$A$7:$A$46,0)),"Clave no existe"))</f>
        <v/>
      </c>
      <c r="D690" s="18" t="str">
        <f aca="false">IF(B690="","",IFERROR(INDEX(Inventario!$C$7:$C$46,MATCH(B690,Inventario!$A$7:$A$46,0)),""))</f>
        <v/>
      </c>
      <c r="E690" s="19"/>
      <c r="F690" s="19"/>
      <c r="G690" s="20" t="str">
        <f aca="false">IF(OR(E690="",F690=""),IF(B690="","",IF(A690="","",8)),F690-E690)</f>
        <v/>
      </c>
      <c r="H690" s="14"/>
      <c r="I690" s="12"/>
      <c r="J690" s="14"/>
      <c r="K690" s="20" t="str">
        <f aca="false">IF(OR(J690="",N(G690)=0),"",J690/G690)</f>
        <v/>
      </c>
      <c r="L690" s="12"/>
      <c r="M690" s="12"/>
      <c r="N690" s="12"/>
    </row>
    <row r="691" customFormat="false" ht="15" hidden="false" customHeight="false" outlineLevel="0" collapsed="false">
      <c r="A691" s="16"/>
      <c r="B691" s="12"/>
      <c r="C691" s="18" t="str">
        <f aca="false">IF(B691="","",IFERROR(INDEX(Inventario!$B$7:$B$46,MATCH(B691,Inventario!$A$7:$A$46,0)),"Clave no existe"))</f>
        <v/>
      </c>
      <c r="D691" s="18" t="str">
        <f aca="false">IF(B691="","",IFERROR(INDEX(Inventario!$C$7:$C$46,MATCH(B691,Inventario!$A$7:$A$46,0)),""))</f>
        <v/>
      </c>
      <c r="E691" s="19"/>
      <c r="F691" s="19"/>
      <c r="G691" s="20" t="str">
        <f aca="false">IF(OR(E691="",F691=""),IF(B691="","",IF(A691="","",8)),F691-E691)</f>
        <v/>
      </c>
      <c r="H691" s="14"/>
      <c r="I691" s="12"/>
      <c r="J691" s="14"/>
      <c r="K691" s="20" t="str">
        <f aca="false">IF(OR(J691="",N(G691)=0),"",J691/G691)</f>
        <v/>
      </c>
      <c r="L691" s="12"/>
      <c r="M691" s="12"/>
      <c r="N691" s="12"/>
    </row>
    <row r="692" customFormat="false" ht="15" hidden="false" customHeight="false" outlineLevel="0" collapsed="false">
      <c r="A692" s="16"/>
      <c r="B692" s="12"/>
      <c r="C692" s="18" t="str">
        <f aca="false">IF(B692="","",IFERROR(INDEX(Inventario!$B$7:$B$46,MATCH(B692,Inventario!$A$7:$A$46,0)),"Clave no existe"))</f>
        <v/>
      </c>
      <c r="D692" s="18" t="str">
        <f aca="false">IF(B692="","",IFERROR(INDEX(Inventario!$C$7:$C$46,MATCH(B692,Inventario!$A$7:$A$46,0)),""))</f>
        <v/>
      </c>
      <c r="E692" s="19"/>
      <c r="F692" s="19"/>
      <c r="G692" s="20" t="str">
        <f aca="false">IF(OR(E692="",F692=""),IF(B692="","",IF(A692="","",8)),F692-E692)</f>
        <v/>
      </c>
      <c r="H692" s="14"/>
      <c r="I692" s="12"/>
      <c r="J692" s="14"/>
      <c r="K692" s="20" t="str">
        <f aca="false">IF(OR(J692="",N(G692)=0),"",J692/G692)</f>
        <v/>
      </c>
      <c r="L692" s="12"/>
      <c r="M692" s="12"/>
      <c r="N692" s="12"/>
    </row>
    <row r="693" customFormat="false" ht="15" hidden="false" customHeight="false" outlineLevel="0" collapsed="false">
      <c r="A693" s="16"/>
      <c r="B693" s="12"/>
      <c r="C693" s="18" t="str">
        <f aca="false">IF(B693="","",IFERROR(INDEX(Inventario!$B$7:$B$46,MATCH(B693,Inventario!$A$7:$A$46,0)),"Clave no existe"))</f>
        <v/>
      </c>
      <c r="D693" s="18" t="str">
        <f aca="false">IF(B693="","",IFERROR(INDEX(Inventario!$C$7:$C$46,MATCH(B693,Inventario!$A$7:$A$46,0)),""))</f>
        <v/>
      </c>
      <c r="E693" s="19"/>
      <c r="F693" s="19"/>
      <c r="G693" s="20" t="str">
        <f aca="false">IF(OR(E693="",F693=""),IF(B693="","",IF(A693="","",8)),F693-E693)</f>
        <v/>
      </c>
      <c r="H693" s="14"/>
      <c r="I693" s="12"/>
      <c r="J693" s="14"/>
      <c r="K693" s="20" t="str">
        <f aca="false">IF(OR(J693="",N(G693)=0),"",J693/G693)</f>
        <v/>
      </c>
      <c r="L693" s="12"/>
      <c r="M693" s="12"/>
      <c r="N693" s="12"/>
    </row>
    <row r="694" customFormat="false" ht="15" hidden="false" customHeight="false" outlineLevel="0" collapsed="false">
      <c r="A694" s="16"/>
      <c r="B694" s="12"/>
      <c r="C694" s="18" t="str">
        <f aca="false">IF(B694="","",IFERROR(INDEX(Inventario!$B$7:$B$46,MATCH(B694,Inventario!$A$7:$A$46,0)),"Clave no existe"))</f>
        <v/>
      </c>
      <c r="D694" s="18" t="str">
        <f aca="false">IF(B694="","",IFERROR(INDEX(Inventario!$C$7:$C$46,MATCH(B694,Inventario!$A$7:$A$46,0)),""))</f>
        <v/>
      </c>
      <c r="E694" s="19"/>
      <c r="F694" s="19"/>
      <c r="G694" s="20" t="str">
        <f aca="false">IF(OR(E694="",F694=""),IF(B694="","",IF(A694="","",8)),F694-E694)</f>
        <v/>
      </c>
      <c r="H694" s="14"/>
      <c r="I694" s="12"/>
      <c r="J694" s="14"/>
      <c r="K694" s="20" t="str">
        <f aca="false">IF(OR(J694="",N(G694)=0),"",J694/G694)</f>
        <v/>
      </c>
      <c r="L694" s="12"/>
      <c r="M694" s="12"/>
      <c r="N694" s="12"/>
    </row>
    <row r="695" customFormat="false" ht="15" hidden="false" customHeight="false" outlineLevel="0" collapsed="false">
      <c r="A695" s="16"/>
      <c r="B695" s="12"/>
      <c r="C695" s="18" t="str">
        <f aca="false">IF(B695="","",IFERROR(INDEX(Inventario!$B$7:$B$46,MATCH(B695,Inventario!$A$7:$A$46,0)),"Clave no existe"))</f>
        <v/>
      </c>
      <c r="D695" s="18" t="str">
        <f aca="false">IF(B695="","",IFERROR(INDEX(Inventario!$C$7:$C$46,MATCH(B695,Inventario!$A$7:$A$46,0)),""))</f>
        <v/>
      </c>
      <c r="E695" s="19"/>
      <c r="F695" s="19"/>
      <c r="G695" s="20" t="str">
        <f aca="false">IF(OR(E695="",F695=""),IF(B695="","",IF(A695="","",8)),F695-E695)</f>
        <v/>
      </c>
      <c r="H695" s="14"/>
      <c r="I695" s="12"/>
      <c r="J695" s="14"/>
      <c r="K695" s="20" t="str">
        <f aca="false">IF(OR(J695="",N(G695)=0),"",J695/G695)</f>
        <v/>
      </c>
      <c r="L695" s="12"/>
      <c r="M695" s="12"/>
      <c r="N695" s="12"/>
    </row>
    <row r="696" customFormat="false" ht="15" hidden="false" customHeight="false" outlineLevel="0" collapsed="false">
      <c r="A696" s="16"/>
      <c r="B696" s="12"/>
      <c r="C696" s="18" t="str">
        <f aca="false">IF(B696="","",IFERROR(INDEX(Inventario!$B$7:$B$46,MATCH(B696,Inventario!$A$7:$A$46,0)),"Clave no existe"))</f>
        <v/>
      </c>
      <c r="D696" s="18" t="str">
        <f aca="false">IF(B696="","",IFERROR(INDEX(Inventario!$C$7:$C$46,MATCH(B696,Inventario!$A$7:$A$46,0)),""))</f>
        <v/>
      </c>
      <c r="E696" s="19"/>
      <c r="F696" s="19"/>
      <c r="G696" s="20" t="str">
        <f aca="false">IF(OR(E696="",F696=""),IF(B696="","",IF(A696="","",8)),F696-E696)</f>
        <v/>
      </c>
      <c r="H696" s="14"/>
      <c r="I696" s="12"/>
      <c r="J696" s="14"/>
      <c r="K696" s="20" t="str">
        <f aca="false">IF(OR(J696="",N(G696)=0),"",J696/G696)</f>
        <v/>
      </c>
      <c r="L696" s="12"/>
      <c r="M696" s="12"/>
      <c r="N696" s="12"/>
    </row>
    <row r="697" customFormat="false" ht="15" hidden="false" customHeight="false" outlineLevel="0" collapsed="false">
      <c r="A697" s="16"/>
      <c r="B697" s="12"/>
      <c r="C697" s="18" t="str">
        <f aca="false">IF(B697="","",IFERROR(INDEX(Inventario!$B$7:$B$46,MATCH(B697,Inventario!$A$7:$A$46,0)),"Clave no existe"))</f>
        <v/>
      </c>
      <c r="D697" s="18" t="str">
        <f aca="false">IF(B697="","",IFERROR(INDEX(Inventario!$C$7:$C$46,MATCH(B697,Inventario!$A$7:$A$46,0)),""))</f>
        <v/>
      </c>
      <c r="E697" s="19"/>
      <c r="F697" s="19"/>
      <c r="G697" s="20" t="str">
        <f aca="false">IF(OR(E697="",F697=""),IF(B697="","",IF(A697="","",8)),F697-E697)</f>
        <v/>
      </c>
      <c r="H697" s="14"/>
      <c r="I697" s="12"/>
      <c r="J697" s="14"/>
      <c r="K697" s="20" t="str">
        <f aca="false">IF(OR(J697="",N(G697)=0),"",J697/G697)</f>
        <v/>
      </c>
      <c r="L697" s="12"/>
      <c r="M697" s="12"/>
      <c r="N697" s="12"/>
    </row>
    <row r="698" customFormat="false" ht="15" hidden="false" customHeight="false" outlineLevel="0" collapsed="false">
      <c r="A698" s="16"/>
      <c r="B698" s="12"/>
      <c r="C698" s="18" t="str">
        <f aca="false">IF(B698="","",IFERROR(INDEX(Inventario!$B$7:$B$46,MATCH(B698,Inventario!$A$7:$A$46,0)),"Clave no existe"))</f>
        <v/>
      </c>
      <c r="D698" s="18" t="str">
        <f aca="false">IF(B698="","",IFERROR(INDEX(Inventario!$C$7:$C$46,MATCH(B698,Inventario!$A$7:$A$46,0)),""))</f>
        <v/>
      </c>
      <c r="E698" s="19"/>
      <c r="F698" s="19"/>
      <c r="G698" s="20" t="str">
        <f aca="false">IF(OR(E698="",F698=""),IF(B698="","",IF(A698="","",8)),F698-E698)</f>
        <v/>
      </c>
      <c r="H698" s="14"/>
      <c r="I698" s="12"/>
      <c r="J698" s="14"/>
      <c r="K698" s="20" t="str">
        <f aca="false">IF(OR(J698="",N(G698)=0),"",J698/G698)</f>
        <v/>
      </c>
      <c r="L698" s="12"/>
      <c r="M698" s="12"/>
      <c r="N698" s="12"/>
    </row>
    <row r="699" customFormat="false" ht="15" hidden="false" customHeight="false" outlineLevel="0" collapsed="false">
      <c r="A699" s="16"/>
      <c r="B699" s="12"/>
      <c r="C699" s="18" t="str">
        <f aca="false">IF(B699="","",IFERROR(INDEX(Inventario!$B$7:$B$46,MATCH(B699,Inventario!$A$7:$A$46,0)),"Clave no existe"))</f>
        <v/>
      </c>
      <c r="D699" s="18" t="str">
        <f aca="false">IF(B699="","",IFERROR(INDEX(Inventario!$C$7:$C$46,MATCH(B699,Inventario!$A$7:$A$46,0)),""))</f>
        <v/>
      </c>
      <c r="E699" s="19"/>
      <c r="F699" s="19"/>
      <c r="G699" s="20" t="str">
        <f aca="false">IF(OR(E699="",F699=""),IF(B699="","",IF(A699="","",8)),F699-E699)</f>
        <v/>
      </c>
      <c r="H699" s="14"/>
      <c r="I699" s="12"/>
      <c r="J699" s="14"/>
      <c r="K699" s="20" t="str">
        <f aca="false">IF(OR(J699="",N(G699)=0),"",J699/G699)</f>
        <v/>
      </c>
      <c r="L699" s="12"/>
      <c r="M699" s="12"/>
      <c r="N699" s="12"/>
    </row>
    <row r="700" customFormat="false" ht="15" hidden="false" customHeight="false" outlineLevel="0" collapsed="false">
      <c r="A700" s="16"/>
      <c r="B700" s="12"/>
      <c r="C700" s="18" t="str">
        <f aca="false">IF(B700="","",IFERROR(INDEX(Inventario!$B$7:$B$46,MATCH(B700,Inventario!$A$7:$A$46,0)),"Clave no existe"))</f>
        <v/>
      </c>
      <c r="D700" s="18" t="str">
        <f aca="false">IF(B700="","",IFERROR(INDEX(Inventario!$C$7:$C$46,MATCH(B700,Inventario!$A$7:$A$46,0)),""))</f>
        <v/>
      </c>
      <c r="E700" s="19"/>
      <c r="F700" s="19"/>
      <c r="G700" s="20" t="str">
        <f aca="false">IF(OR(E700="",F700=""),IF(B700="","",IF(A700="","",8)),F700-E700)</f>
        <v/>
      </c>
      <c r="H700" s="14"/>
      <c r="I700" s="12"/>
      <c r="J700" s="14"/>
      <c r="K700" s="20" t="str">
        <f aca="false">IF(OR(J700="",N(G700)=0),"",J700/G700)</f>
        <v/>
      </c>
      <c r="L700" s="12"/>
      <c r="M700" s="12"/>
      <c r="N700" s="12"/>
    </row>
    <row r="701" customFormat="false" ht="15" hidden="false" customHeight="false" outlineLevel="0" collapsed="false">
      <c r="A701" s="16"/>
      <c r="B701" s="12"/>
      <c r="C701" s="18" t="str">
        <f aca="false">IF(B701="","",IFERROR(INDEX(Inventario!$B$7:$B$46,MATCH(B701,Inventario!$A$7:$A$46,0)),"Clave no existe"))</f>
        <v/>
      </c>
      <c r="D701" s="18" t="str">
        <f aca="false">IF(B701="","",IFERROR(INDEX(Inventario!$C$7:$C$46,MATCH(B701,Inventario!$A$7:$A$46,0)),""))</f>
        <v/>
      </c>
      <c r="E701" s="19"/>
      <c r="F701" s="19"/>
      <c r="G701" s="20" t="str">
        <f aca="false">IF(OR(E701="",F701=""),IF(B701="","",IF(A701="","",8)),F701-E701)</f>
        <v/>
      </c>
      <c r="H701" s="14"/>
      <c r="I701" s="12"/>
      <c r="J701" s="14"/>
      <c r="K701" s="20" t="str">
        <f aca="false">IF(OR(J701="",N(G701)=0),"",J701/G701)</f>
        <v/>
      </c>
      <c r="L701" s="12"/>
      <c r="M701" s="12"/>
      <c r="N701" s="12"/>
    </row>
    <row r="702" customFormat="false" ht="15" hidden="false" customHeight="false" outlineLevel="0" collapsed="false">
      <c r="A702" s="16"/>
      <c r="B702" s="12"/>
      <c r="C702" s="18" t="str">
        <f aca="false">IF(B702="","",IFERROR(INDEX(Inventario!$B$7:$B$46,MATCH(B702,Inventario!$A$7:$A$46,0)),"Clave no existe"))</f>
        <v/>
      </c>
      <c r="D702" s="18" t="str">
        <f aca="false">IF(B702="","",IFERROR(INDEX(Inventario!$C$7:$C$46,MATCH(B702,Inventario!$A$7:$A$46,0)),""))</f>
        <v/>
      </c>
      <c r="E702" s="19"/>
      <c r="F702" s="19"/>
      <c r="G702" s="20" t="str">
        <f aca="false">IF(OR(E702="",F702=""),IF(B702="","",IF(A702="","",8)),F702-E702)</f>
        <v/>
      </c>
      <c r="H702" s="14"/>
      <c r="I702" s="12"/>
      <c r="J702" s="14"/>
      <c r="K702" s="20" t="str">
        <f aca="false">IF(OR(J702="",N(G702)=0),"",J702/G702)</f>
        <v/>
      </c>
      <c r="L702" s="12"/>
      <c r="M702" s="12"/>
      <c r="N702" s="12"/>
    </row>
    <row r="703" customFormat="false" ht="15" hidden="false" customHeight="false" outlineLevel="0" collapsed="false">
      <c r="A703" s="16"/>
      <c r="B703" s="12"/>
      <c r="C703" s="18" t="str">
        <f aca="false">IF(B703="","",IFERROR(INDEX(Inventario!$B$7:$B$46,MATCH(B703,Inventario!$A$7:$A$46,0)),"Clave no existe"))</f>
        <v/>
      </c>
      <c r="D703" s="18" t="str">
        <f aca="false">IF(B703="","",IFERROR(INDEX(Inventario!$C$7:$C$46,MATCH(B703,Inventario!$A$7:$A$46,0)),""))</f>
        <v/>
      </c>
      <c r="E703" s="19"/>
      <c r="F703" s="19"/>
      <c r="G703" s="20" t="str">
        <f aca="false">IF(OR(E703="",F703=""),IF(B703="","",IF(A703="","",8)),F703-E703)</f>
        <v/>
      </c>
      <c r="H703" s="14"/>
      <c r="I703" s="12"/>
      <c r="J703" s="14"/>
      <c r="K703" s="20" t="str">
        <f aca="false">IF(OR(J703="",N(G703)=0),"",J703/G703)</f>
        <v/>
      </c>
      <c r="L703" s="12"/>
      <c r="M703" s="12"/>
      <c r="N703" s="12"/>
    </row>
    <row r="704" customFormat="false" ht="15" hidden="false" customHeight="false" outlineLevel="0" collapsed="false">
      <c r="A704" s="16"/>
      <c r="B704" s="12"/>
      <c r="C704" s="18" t="str">
        <f aca="false">IF(B704="","",IFERROR(INDEX(Inventario!$B$7:$B$46,MATCH(B704,Inventario!$A$7:$A$46,0)),"Clave no existe"))</f>
        <v/>
      </c>
      <c r="D704" s="18" t="str">
        <f aca="false">IF(B704="","",IFERROR(INDEX(Inventario!$C$7:$C$46,MATCH(B704,Inventario!$A$7:$A$46,0)),""))</f>
        <v/>
      </c>
      <c r="E704" s="19"/>
      <c r="F704" s="19"/>
      <c r="G704" s="20" t="str">
        <f aca="false">IF(OR(E704="",F704=""),IF(B704="","",IF(A704="","",8)),F704-E704)</f>
        <v/>
      </c>
      <c r="H704" s="14"/>
      <c r="I704" s="12"/>
      <c r="J704" s="14"/>
      <c r="K704" s="20" t="str">
        <f aca="false">IF(OR(J704="",N(G704)=0),"",J704/G704)</f>
        <v/>
      </c>
      <c r="L704" s="12"/>
      <c r="M704" s="12"/>
      <c r="N704" s="12"/>
    </row>
    <row r="705" customFormat="false" ht="15" hidden="false" customHeight="false" outlineLevel="0" collapsed="false">
      <c r="A705" s="16"/>
      <c r="B705" s="12"/>
      <c r="C705" s="18" t="str">
        <f aca="false">IF(B705="","",IFERROR(INDEX(Inventario!$B$7:$B$46,MATCH(B705,Inventario!$A$7:$A$46,0)),"Clave no existe"))</f>
        <v/>
      </c>
      <c r="D705" s="18" t="str">
        <f aca="false">IF(B705="","",IFERROR(INDEX(Inventario!$C$7:$C$46,MATCH(B705,Inventario!$A$7:$A$46,0)),""))</f>
        <v/>
      </c>
      <c r="E705" s="19"/>
      <c r="F705" s="19"/>
      <c r="G705" s="20" t="str">
        <f aca="false">IF(OR(E705="",F705=""),IF(B705="","",IF(A705="","",8)),F705-E705)</f>
        <v/>
      </c>
      <c r="H705" s="14"/>
      <c r="I705" s="12"/>
      <c r="J705" s="14"/>
      <c r="K705" s="20" t="str">
        <f aca="false">IF(OR(J705="",N(G705)=0),"",J705/G705)</f>
        <v/>
      </c>
      <c r="L705" s="12"/>
      <c r="M705" s="12"/>
      <c r="N705" s="12"/>
    </row>
    <row r="706" customFormat="false" ht="15" hidden="false" customHeight="false" outlineLevel="0" collapsed="false">
      <c r="A706" s="16"/>
      <c r="B706" s="12"/>
      <c r="C706" s="18" t="str">
        <f aca="false">IF(B706="","",IFERROR(INDEX(Inventario!$B$7:$B$46,MATCH(B706,Inventario!$A$7:$A$46,0)),"Clave no existe"))</f>
        <v/>
      </c>
      <c r="D706" s="18" t="str">
        <f aca="false">IF(B706="","",IFERROR(INDEX(Inventario!$C$7:$C$46,MATCH(B706,Inventario!$A$7:$A$46,0)),""))</f>
        <v/>
      </c>
      <c r="E706" s="19"/>
      <c r="F706" s="19"/>
      <c r="G706" s="20" t="str">
        <f aca="false">IF(OR(E706="",F706=""),IF(B706="","",IF(A706="","",8)),F706-E706)</f>
        <v/>
      </c>
      <c r="H706" s="14"/>
      <c r="I706" s="12"/>
      <c r="J706" s="14"/>
      <c r="K706" s="20" t="str">
        <f aca="false">IF(OR(J706="",N(G706)=0),"",J706/G706)</f>
        <v/>
      </c>
      <c r="L706" s="12"/>
      <c r="M706" s="12"/>
      <c r="N706" s="12"/>
    </row>
    <row r="707" customFormat="false" ht="15" hidden="false" customHeight="false" outlineLevel="0" collapsed="false">
      <c r="A707" s="16"/>
      <c r="B707" s="12"/>
      <c r="C707" s="18" t="str">
        <f aca="false">IF(B707="","",IFERROR(INDEX(Inventario!$B$7:$B$46,MATCH(B707,Inventario!$A$7:$A$46,0)),"Clave no existe"))</f>
        <v/>
      </c>
      <c r="D707" s="18" t="str">
        <f aca="false">IF(B707="","",IFERROR(INDEX(Inventario!$C$7:$C$46,MATCH(B707,Inventario!$A$7:$A$46,0)),""))</f>
        <v/>
      </c>
      <c r="E707" s="19"/>
      <c r="F707" s="19"/>
      <c r="G707" s="20" t="str">
        <f aca="false">IF(OR(E707="",F707=""),IF(B707="","",IF(A707="","",8)),F707-E707)</f>
        <v/>
      </c>
      <c r="H707" s="14"/>
      <c r="I707" s="12"/>
      <c r="J707" s="14"/>
      <c r="K707" s="20" t="str">
        <f aca="false">IF(OR(J707="",N(G707)=0),"",J707/G707)</f>
        <v/>
      </c>
      <c r="L707" s="12"/>
      <c r="M707" s="12"/>
      <c r="N707" s="12"/>
    </row>
    <row r="708" customFormat="false" ht="15" hidden="false" customHeight="false" outlineLevel="0" collapsed="false">
      <c r="A708" s="16"/>
      <c r="B708" s="12"/>
      <c r="C708" s="18" t="str">
        <f aca="false">IF(B708="","",IFERROR(INDEX(Inventario!$B$7:$B$46,MATCH(B708,Inventario!$A$7:$A$46,0)),"Clave no existe"))</f>
        <v/>
      </c>
      <c r="D708" s="18" t="str">
        <f aca="false">IF(B708="","",IFERROR(INDEX(Inventario!$C$7:$C$46,MATCH(B708,Inventario!$A$7:$A$46,0)),""))</f>
        <v/>
      </c>
      <c r="E708" s="19"/>
      <c r="F708" s="19"/>
      <c r="G708" s="20" t="str">
        <f aca="false">IF(OR(E708="",F708=""),IF(B708="","",IF(A708="","",8)),F708-E708)</f>
        <v/>
      </c>
      <c r="H708" s="14"/>
      <c r="I708" s="12"/>
      <c r="J708" s="14"/>
      <c r="K708" s="20" t="str">
        <f aca="false">IF(OR(J708="",N(G708)=0),"",J708/G708)</f>
        <v/>
      </c>
      <c r="L708" s="12"/>
      <c r="M708" s="12"/>
      <c r="N708" s="12"/>
    </row>
    <row r="709" customFormat="false" ht="15" hidden="false" customHeight="false" outlineLevel="0" collapsed="false">
      <c r="A709" s="16"/>
      <c r="B709" s="12"/>
      <c r="C709" s="18" t="str">
        <f aca="false">IF(B709="","",IFERROR(INDEX(Inventario!$B$7:$B$46,MATCH(B709,Inventario!$A$7:$A$46,0)),"Clave no existe"))</f>
        <v/>
      </c>
      <c r="D709" s="18" t="str">
        <f aca="false">IF(B709="","",IFERROR(INDEX(Inventario!$C$7:$C$46,MATCH(B709,Inventario!$A$7:$A$46,0)),""))</f>
        <v/>
      </c>
      <c r="E709" s="19"/>
      <c r="F709" s="19"/>
      <c r="G709" s="20" t="str">
        <f aca="false">IF(OR(E709="",F709=""),IF(B709="","",IF(A709="","",8)),F709-E709)</f>
        <v/>
      </c>
      <c r="H709" s="14"/>
      <c r="I709" s="12"/>
      <c r="J709" s="14"/>
      <c r="K709" s="20" t="str">
        <f aca="false">IF(OR(J709="",N(G709)=0),"",J709/G709)</f>
        <v/>
      </c>
      <c r="L709" s="12"/>
      <c r="M709" s="12"/>
      <c r="N709" s="12"/>
    </row>
    <row r="710" customFormat="false" ht="15" hidden="false" customHeight="false" outlineLevel="0" collapsed="false">
      <c r="A710" s="16"/>
      <c r="B710" s="12"/>
      <c r="C710" s="18" t="str">
        <f aca="false">IF(B710="","",IFERROR(INDEX(Inventario!$B$7:$B$46,MATCH(B710,Inventario!$A$7:$A$46,0)),"Clave no existe"))</f>
        <v/>
      </c>
      <c r="D710" s="18" t="str">
        <f aca="false">IF(B710="","",IFERROR(INDEX(Inventario!$C$7:$C$46,MATCH(B710,Inventario!$A$7:$A$46,0)),""))</f>
        <v/>
      </c>
      <c r="E710" s="19"/>
      <c r="F710" s="19"/>
      <c r="G710" s="20" t="str">
        <f aca="false">IF(OR(E710="",F710=""),IF(B710="","",IF(A710="","",8)),F710-E710)</f>
        <v/>
      </c>
      <c r="H710" s="14"/>
      <c r="I710" s="12"/>
      <c r="J710" s="14"/>
      <c r="K710" s="20" t="str">
        <f aca="false">IF(OR(J710="",N(G710)=0),"",J710/G710)</f>
        <v/>
      </c>
      <c r="L710" s="12"/>
      <c r="M710" s="12"/>
      <c r="N710" s="12"/>
    </row>
    <row r="711" customFormat="false" ht="15" hidden="false" customHeight="false" outlineLevel="0" collapsed="false">
      <c r="A711" s="16"/>
      <c r="B711" s="12"/>
      <c r="C711" s="18" t="str">
        <f aca="false">IF(B711="","",IFERROR(INDEX(Inventario!$B$7:$B$46,MATCH(B711,Inventario!$A$7:$A$46,0)),"Clave no existe"))</f>
        <v/>
      </c>
      <c r="D711" s="18" t="str">
        <f aca="false">IF(B711="","",IFERROR(INDEX(Inventario!$C$7:$C$46,MATCH(B711,Inventario!$A$7:$A$46,0)),""))</f>
        <v/>
      </c>
      <c r="E711" s="19"/>
      <c r="F711" s="19"/>
      <c r="G711" s="20" t="str">
        <f aca="false">IF(OR(E711="",F711=""),IF(B711="","",IF(A711="","",8)),F711-E711)</f>
        <v/>
      </c>
      <c r="H711" s="14"/>
      <c r="I711" s="12"/>
      <c r="J711" s="14"/>
      <c r="K711" s="20" t="str">
        <f aca="false">IF(OR(J711="",N(G711)=0),"",J711/G711)</f>
        <v/>
      </c>
      <c r="L711" s="12"/>
      <c r="M711" s="12"/>
      <c r="N711" s="12"/>
    </row>
    <row r="712" customFormat="false" ht="15" hidden="false" customHeight="false" outlineLevel="0" collapsed="false">
      <c r="A712" s="16"/>
      <c r="B712" s="12"/>
      <c r="C712" s="18" t="str">
        <f aca="false">IF(B712="","",IFERROR(INDEX(Inventario!$B$7:$B$46,MATCH(B712,Inventario!$A$7:$A$46,0)),"Clave no existe"))</f>
        <v/>
      </c>
      <c r="D712" s="18" t="str">
        <f aca="false">IF(B712="","",IFERROR(INDEX(Inventario!$C$7:$C$46,MATCH(B712,Inventario!$A$7:$A$46,0)),""))</f>
        <v/>
      </c>
      <c r="E712" s="19"/>
      <c r="F712" s="19"/>
      <c r="G712" s="20" t="str">
        <f aca="false">IF(OR(E712="",F712=""),IF(B712="","",IF(A712="","",8)),F712-E712)</f>
        <v/>
      </c>
      <c r="H712" s="14"/>
      <c r="I712" s="12"/>
      <c r="J712" s="14"/>
      <c r="K712" s="20" t="str">
        <f aca="false">IF(OR(J712="",N(G712)=0),"",J712/G712)</f>
        <v/>
      </c>
      <c r="L712" s="12"/>
      <c r="M712" s="12"/>
      <c r="N712" s="12"/>
    </row>
    <row r="713" customFormat="false" ht="15" hidden="false" customHeight="false" outlineLevel="0" collapsed="false">
      <c r="A713" s="16"/>
      <c r="B713" s="12"/>
      <c r="C713" s="18" t="str">
        <f aca="false">IF(B713="","",IFERROR(INDEX(Inventario!$B$7:$B$46,MATCH(B713,Inventario!$A$7:$A$46,0)),"Clave no existe"))</f>
        <v/>
      </c>
      <c r="D713" s="18" t="str">
        <f aca="false">IF(B713="","",IFERROR(INDEX(Inventario!$C$7:$C$46,MATCH(B713,Inventario!$A$7:$A$46,0)),""))</f>
        <v/>
      </c>
      <c r="E713" s="19"/>
      <c r="F713" s="19"/>
      <c r="G713" s="20" t="str">
        <f aca="false">IF(OR(E713="",F713=""),IF(B713="","",IF(A713="","",8)),F713-E713)</f>
        <v/>
      </c>
      <c r="H713" s="14"/>
      <c r="I713" s="12"/>
      <c r="J713" s="14"/>
      <c r="K713" s="20" t="str">
        <f aca="false">IF(OR(J713="",N(G713)=0),"",J713/G713)</f>
        <v/>
      </c>
      <c r="L713" s="12"/>
      <c r="M713" s="12"/>
      <c r="N713" s="12"/>
    </row>
    <row r="714" customFormat="false" ht="15" hidden="false" customHeight="false" outlineLevel="0" collapsed="false">
      <c r="A714" s="16"/>
      <c r="B714" s="12"/>
      <c r="C714" s="18" t="str">
        <f aca="false">IF(B714="","",IFERROR(INDEX(Inventario!$B$7:$B$46,MATCH(B714,Inventario!$A$7:$A$46,0)),"Clave no existe"))</f>
        <v/>
      </c>
      <c r="D714" s="18" t="str">
        <f aca="false">IF(B714="","",IFERROR(INDEX(Inventario!$C$7:$C$46,MATCH(B714,Inventario!$A$7:$A$46,0)),""))</f>
        <v/>
      </c>
      <c r="E714" s="19"/>
      <c r="F714" s="19"/>
      <c r="G714" s="20" t="str">
        <f aca="false">IF(OR(E714="",F714=""),IF(B714="","",IF(A714="","",8)),F714-E714)</f>
        <v/>
      </c>
      <c r="H714" s="14"/>
      <c r="I714" s="12"/>
      <c r="J714" s="14"/>
      <c r="K714" s="20" t="str">
        <f aca="false">IF(OR(J714="",N(G714)=0),"",J714/G714)</f>
        <v/>
      </c>
      <c r="L714" s="12"/>
      <c r="M714" s="12"/>
      <c r="N714" s="12"/>
    </row>
    <row r="715" customFormat="false" ht="15" hidden="false" customHeight="false" outlineLevel="0" collapsed="false">
      <c r="A715" s="16"/>
      <c r="B715" s="12"/>
      <c r="C715" s="18" t="str">
        <f aca="false">IF(B715="","",IFERROR(INDEX(Inventario!$B$7:$B$46,MATCH(B715,Inventario!$A$7:$A$46,0)),"Clave no existe"))</f>
        <v/>
      </c>
      <c r="D715" s="18" t="str">
        <f aca="false">IF(B715="","",IFERROR(INDEX(Inventario!$C$7:$C$46,MATCH(B715,Inventario!$A$7:$A$46,0)),""))</f>
        <v/>
      </c>
      <c r="E715" s="19"/>
      <c r="F715" s="19"/>
      <c r="G715" s="20" t="str">
        <f aca="false">IF(OR(E715="",F715=""),IF(B715="","",IF(A715="","",8)),F715-E715)</f>
        <v/>
      </c>
      <c r="H715" s="14"/>
      <c r="I715" s="12"/>
      <c r="J715" s="14"/>
      <c r="K715" s="20" t="str">
        <f aca="false">IF(OR(J715="",N(G715)=0),"",J715/G715)</f>
        <v/>
      </c>
      <c r="L715" s="12"/>
      <c r="M715" s="12"/>
      <c r="N715" s="12"/>
    </row>
    <row r="716" customFormat="false" ht="15" hidden="false" customHeight="false" outlineLevel="0" collapsed="false">
      <c r="A716" s="16"/>
      <c r="B716" s="12"/>
      <c r="C716" s="18" t="str">
        <f aca="false">IF(B716="","",IFERROR(INDEX(Inventario!$B$7:$B$46,MATCH(B716,Inventario!$A$7:$A$46,0)),"Clave no existe"))</f>
        <v/>
      </c>
      <c r="D716" s="18" t="str">
        <f aca="false">IF(B716="","",IFERROR(INDEX(Inventario!$C$7:$C$46,MATCH(B716,Inventario!$A$7:$A$46,0)),""))</f>
        <v/>
      </c>
      <c r="E716" s="19"/>
      <c r="F716" s="19"/>
      <c r="G716" s="20" t="str">
        <f aca="false">IF(OR(E716="",F716=""),IF(B716="","",IF(A716="","",8)),F716-E716)</f>
        <v/>
      </c>
      <c r="H716" s="14"/>
      <c r="I716" s="12"/>
      <c r="J716" s="14"/>
      <c r="K716" s="20" t="str">
        <f aca="false">IF(OR(J716="",N(G716)=0),"",J716/G716)</f>
        <v/>
      </c>
      <c r="L716" s="12"/>
      <c r="M716" s="12"/>
      <c r="N716" s="12"/>
    </row>
    <row r="717" customFormat="false" ht="15" hidden="false" customHeight="false" outlineLevel="0" collapsed="false">
      <c r="A717" s="16"/>
      <c r="B717" s="12"/>
      <c r="C717" s="18" t="str">
        <f aca="false">IF(B717="","",IFERROR(INDEX(Inventario!$B$7:$B$46,MATCH(B717,Inventario!$A$7:$A$46,0)),"Clave no existe"))</f>
        <v/>
      </c>
      <c r="D717" s="18" t="str">
        <f aca="false">IF(B717="","",IFERROR(INDEX(Inventario!$C$7:$C$46,MATCH(B717,Inventario!$A$7:$A$46,0)),""))</f>
        <v/>
      </c>
      <c r="E717" s="19"/>
      <c r="F717" s="19"/>
      <c r="G717" s="20" t="str">
        <f aca="false">IF(OR(E717="",F717=""),IF(B717="","",IF(A717="","",8)),F717-E717)</f>
        <v/>
      </c>
      <c r="H717" s="14"/>
      <c r="I717" s="12"/>
      <c r="J717" s="14"/>
      <c r="K717" s="20" t="str">
        <f aca="false">IF(OR(J717="",N(G717)=0),"",J717/G717)</f>
        <v/>
      </c>
      <c r="L717" s="12"/>
      <c r="M717" s="12"/>
      <c r="N717" s="12"/>
    </row>
    <row r="718" customFormat="false" ht="15" hidden="false" customHeight="false" outlineLevel="0" collapsed="false">
      <c r="A718" s="16"/>
      <c r="B718" s="12"/>
      <c r="C718" s="18" t="str">
        <f aca="false">IF(B718="","",IFERROR(INDEX(Inventario!$B$7:$B$46,MATCH(B718,Inventario!$A$7:$A$46,0)),"Clave no existe"))</f>
        <v/>
      </c>
      <c r="D718" s="18" t="str">
        <f aca="false">IF(B718="","",IFERROR(INDEX(Inventario!$C$7:$C$46,MATCH(B718,Inventario!$A$7:$A$46,0)),""))</f>
        <v/>
      </c>
      <c r="E718" s="19"/>
      <c r="F718" s="19"/>
      <c r="G718" s="20" t="str">
        <f aca="false">IF(OR(E718="",F718=""),IF(B718="","",IF(A718="","",8)),F718-E718)</f>
        <v/>
      </c>
      <c r="H718" s="14"/>
      <c r="I718" s="12"/>
      <c r="J718" s="14"/>
      <c r="K718" s="20" t="str">
        <f aca="false">IF(OR(J718="",N(G718)=0),"",J718/G718)</f>
        <v/>
      </c>
      <c r="L718" s="12"/>
      <c r="M718" s="12"/>
      <c r="N718" s="12"/>
    </row>
    <row r="719" customFormat="false" ht="15" hidden="false" customHeight="false" outlineLevel="0" collapsed="false">
      <c r="A719" s="16"/>
      <c r="B719" s="12"/>
      <c r="C719" s="18" t="str">
        <f aca="false">IF(B719="","",IFERROR(INDEX(Inventario!$B$7:$B$46,MATCH(B719,Inventario!$A$7:$A$46,0)),"Clave no existe"))</f>
        <v/>
      </c>
      <c r="D719" s="18" t="str">
        <f aca="false">IF(B719="","",IFERROR(INDEX(Inventario!$C$7:$C$46,MATCH(B719,Inventario!$A$7:$A$46,0)),""))</f>
        <v/>
      </c>
      <c r="E719" s="19"/>
      <c r="F719" s="19"/>
      <c r="G719" s="20" t="str">
        <f aca="false">IF(OR(E719="",F719=""),IF(B719="","",IF(A719="","",8)),F719-E719)</f>
        <v/>
      </c>
      <c r="H719" s="14"/>
      <c r="I719" s="12"/>
      <c r="J719" s="14"/>
      <c r="K719" s="20" t="str">
        <f aca="false">IF(OR(J719="",N(G719)=0),"",J719/G719)</f>
        <v/>
      </c>
      <c r="L719" s="12"/>
      <c r="M719" s="12"/>
      <c r="N719" s="12"/>
    </row>
    <row r="720" customFormat="false" ht="15" hidden="false" customHeight="false" outlineLevel="0" collapsed="false">
      <c r="A720" s="16"/>
      <c r="B720" s="12"/>
      <c r="C720" s="18" t="str">
        <f aca="false">IF(B720="","",IFERROR(INDEX(Inventario!$B$7:$B$46,MATCH(B720,Inventario!$A$7:$A$46,0)),"Clave no existe"))</f>
        <v/>
      </c>
      <c r="D720" s="18" t="str">
        <f aca="false">IF(B720="","",IFERROR(INDEX(Inventario!$C$7:$C$46,MATCH(B720,Inventario!$A$7:$A$46,0)),""))</f>
        <v/>
      </c>
      <c r="E720" s="19"/>
      <c r="F720" s="19"/>
      <c r="G720" s="20" t="str">
        <f aca="false">IF(OR(E720="",F720=""),IF(B720="","",IF(A720="","",8)),F720-E720)</f>
        <v/>
      </c>
      <c r="H720" s="14"/>
      <c r="I720" s="12"/>
      <c r="J720" s="14"/>
      <c r="K720" s="20" t="str">
        <f aca="false">IF(OR(J720="",N(G720)=0),"",J720/G720)</f>
        <v/>
      </c>
      <c r="L720" s="12"/>
      <c r="M720" s="12"/>
      <c r="N720" s="12"/>
    </row>
    <row r="721" customFormat="false" ht="15" hidden="false" customHeight="false" outlineLevel="0" collapsed="false">
      <c r="A721" s="16"/>
      <c r="B721" s="12"/>
      <c r="C721" s="18" t="str">
        <f aca="false">IF(B721="","",IFERROR(INDEX(Inventario!$B$7:$B$46,MATCH(B721,Inventario!$A$7:$A$46,0)),"Clave no existe"))</f>
        <v/>
      </c>
      <c r="D721" s="18" t="str">
        <f aca="false">IF(B721="","",IFERROR(INDEX(Inventario!$C$7:$C$46,MATCH(B721,Inventario!$A$7:$A$46,0)),""))</f>
        <v/>
      </c>
      <c r="E721" s="19"/>
      <c r="F721" s="19"/>
      <c r="G721" s="20" t="str">
        <f aca="false">IF(OR(E721="",F721=""),IF(B721="","",IF(A721="","",8)),F721-E721)</f>
        <v/>
      </c>
      <c r="H721" s="14"/>
      <c r="I721" s="12"/>
      <c r="J721" s="14"/>
      <c r="K721" s="20" t="str">
        <f aca="false">IF(OR(J721="",N(G721)=0),"",J721/G721)</f>
        <v/>
      </c>
      <c r="L721" s="12"/>
      <c r="M721" s="12"/>
      <c r="N721" s="12"/>
    </row>
    <row r="722" customFormat="false" ht="15" hidden="false" customHeight="false" outlineLevel="0" collapsed="false">
      <c r="A722" s="16"/>
      <c r="B722" s="12"/>
      <c r="C722" s="18" t="str">
        <f aca="false">IF(B722="","",IFERROR(INDEX(Inventario!$B$7:$B$46,MATCH(B722,Inventario!$A$7:$A$46,0)),"Clave no existe"))</f>
        <v/>
      </c>
      <c r="D722" s="18" t="str">
        <f aca="false">IF(B722="","",IFERROR(INDEX(Inventario!$C$7:$C$46,MATCH(B722,Inventario!$A$7:$A$46,0)),""))</f>
        <v/>
      </c>
      <c r="E722" s="19"/>
      <c r="F722" s="19"/>
      <c r="G722" s="20" t="str">
        <f aca="false">IF(OR(E722="",F722=""),IF(B722="","",IF(A722="","",8)),F722-E722)</f>
        <v/>
      </c>
      <c r="H722" s="14"/>
      <c r="I722" s="12"/>
      <c r="J722" s="14"/>
      <c r="K722" s="20" t="str">
        <f aca="false">IF(OR(J722="",N(G722)=0),"",J722/G722)</f>
        <v/>
      </c>
      <c r="L722" s="12"/>
      <c r="M722" s="12"/>
      <c r="N722" s="12"/>
    </row>
    <row r="723" customFormat="false" ht="15" hidden="false" customHeight="false" outlineLevel="0" collapsed="false">
      <c r="A723" s="16"/>
      <c r="B723" s="12"/>
      <c r="C723" s="18" t="str">
        <f aca="false">IF(B723="","",IFERROR(INDEX(Inventario!$B$7:$B$46,MATCH(B723,Inventario!$A$7:$A$46,0)),"Clave no existe"))</f>
        <v/>
      </c>
      <c r="D723" s="18" t="str">
        <f aca="false">IF(B723="","",IFERROR(INDEX(Inventario!$C$7:$C$46,MATCH(B723,Inventario!$A$7:$A$46,0)),""))</f>
        <v/>
      </c>
      <c r="E723" s="19"/>
      <c r="F723" s="19"/>
      <c r="G723" s="20" t="str">
        <f aca="false">IF(OR(E723="",F723=""),IF(B723="","",IF(A723="","",8)),F723-E723)</f>
        <v/>
      </c>
      <c r="H723" s="14"/>
      <c r="I723" s="12"/>
      <c r="J723" s="14"/>
      <c r="K723" s="20" t="str">
        <f aca="false">IF(OR(J723="",N(G723)=0),"",J723/G723)</f>
        <v/>
      </c>
      <c r="L723" s="12"/>
      <c r="M723" s="12"/>
      <c r="N723" s="12"/>
    </row>
    <row r="724" customFormat="false" ht="15" hidden="false" customHeight="false" outlineLevel="0" collapsed="false">
      <c r="A724" s="16"/>
      <c r="B724" s="12"/>
      <c r="C724" s="18" t="str">
        <f aca="false">IF(B724="","",IFERROR(INDEX(Inventario!$B$7:$B$46,MATCH(B724,Inventario!$A$7:$A$46,0)),"Clave no existe"))</f>
        <v/>
      </c>
      <c r="D724" s="18" t="str">
        <f aca="false">IF(B724="","",IFERROR(INDEX(Inventario!$C$7:$C$46,MATCH(B724,Inventario!$A$7:$A$46,0)),""))</f>
        <v/>
      </c>
      <c r="E724" s="19"/>
      <c r="F724" s="19"/>
      <c r="G724" s="20" t="str">
        <f aca="false">IF(OR(E724="",F724=""),IF(B724="","",IF(A724="","",8)),F724-E724)</f>
        <v/>
      </c>
      <c r="H724" s="14"/>
      <c r="I724" s="12"/>
      <c r="J724" s="14"/>
      <c r="K724" s="20" t="str">
        <f aca="false">IF(OR(J724="",N(G724)=0),"",J724/G724)</f>
        <v/>
      </c>
      <c r="L724" s="12"/>
      <c r="M724" s="12"/>
      <c r="N724" s="12"/>
    </row>
    <row r="725" customFormat="false" ht="15" hidden="false" customHeight="false" outlineLevel="0" collapsed="false">
      <c r="A725" s="16"/>
      <c r="B725" s="12"/>
      <c r="C725" s="18" t="str">
        <f aca="false">IF(B725="","",IFERROR(INDEX(Inventario!$B$7:$B$46,MATCH(B725,Inventario!$A$7:$A$46,0)),"Clave no existe"))</f>
        <v/>
      </c>
      <c r="D725" s="18" t="str">
        <f aca="false">IF(B725="","",IFERROR(INDEX(Inventario!$C$7:$C$46,MATCH(B725,Inventario!$A$7:$A$46,0)),""))</f>
        <v/>
      </c>
      <c r="E725" s="19"/>
      <c r="F725" s="19"/>
      <c r="G725" s="20" t="str">
        <f aca="false">IF(OR(E725="",F725=""),IF(B725="","",IF(A725="","",8)),F725-E725)</f>
        <v/>
      </c>
      <c r="H725" s="14"/>
      <c r="I725" s="12"/>
      <c r="J725" s="14"/>
      <c r="K725" s="20" t="str">
        <f aca="false">IF(OR(J725="",N(G725)=0),"",J725/G725)</f>
        <v/>
      </c>
      <c r="L725" s="12"/>
      <c r="M725" s="12"/>
      <c r="N725" s="12"/>
    </row>
    <row r="726" customFormat="false" ht="15" hidden="false" customHeight="false" outlineLevel="0" collapsed="false">
      <c r="A726" s="16"/>
      <c r="B726" s="12"/>
      <c r="C726" s="18" t="str">
        <f aca="false">IF(B726="","",IFERROR(INDEX(Inventario!$B$7:$B$46,MATCH(B726,Inventario!$A$7:$A$46,0)),"Clave no existe"))</f>
        <v/>
      </c>
      <c r="D726" s="18" t="str">
        <f aca="false">IF(B726="","",IFERROR(INDEX(Inventario!$C$7:$C$46,MATCH(B726,Inventario!$A$7:$A$46,0)),""))</f>
        <v/>
      </c>
      <c r="E726" s="19"/>
      <c r="F726" s="19"/>
      <c r="G726" s="20" t="str">
        <f aca="false">IF(OR(E726="",F726=""),IF(B726="","",IF(A726="","",8)),F726-E726)</f>
        <v/>
      </c>
      <c r="H726" s="14"/>
      <c r="I726" s="12"/>
      <c r="J726" s="14"/>
      <c r="K726" s="20" t="str">
        <f aca="false">IF(OR(J726="",N(G726)=0),"",J726/G726)</f>
        <v/>
      </c>
      <c r="L726" s="12"/>
      <c r="M726" s="12"/>
      <c r="N726" s="12"/>
    </row>
    <row r="727" customFormat="false" ht="15" hidden="false" customHeight="false" outlineLevel="0" collapsed="false">
      <c r="A727" s="16"/>
      <c r="B727" s="12"/>
      <c r="C727" s="18" t="str">
        <f aca="false">IF(B727="","",IFERROR(INDEX(Inventario!$B$7:$B$46,MATCH(B727,Inventario!$A$7:$A$46,0)),"Clave no existe"))</f>
        <v/>
      </c>
      <c r="D727" s="18" t="str">
        <f aca="false">IF(B727="","",IFERROR(INDEX(Inventario!$C$7:$C$46,MATCH(B727,Inventario!$A$7:$A$46,0)),""))</f>
        <v/>
      </c>
      <c r="E727" s="19"/>
      <c r="F727" s="19"/>
      <c r="G727" s="20" t="str">
        <f aca="false">IF(OR(E727="",F727=""),IF(B727="","",IF(A727="","",8)),F727-E727)</f>
        <v/>
      </c>
      <c r="H727" s="14"/>
      <c r="I727" s="12"/>
      <c r="J727" s="14"/>
      <c r="K727" s="20" t="str">
        <f aca="false">IF(OR(J727="",N(G727)=0),"",J727/G727)</f>
        <v/>
      </c>
      <c r="L727" s="12"/>
      <c r="M727" s="12"/>
      <c r="N727" s="12"/>
    </row>
    <row r="728" customFormat="false" ht="15" hidden="false" customHeight="false" outlineLevel="0" collapsed="false">
      <c r="A728" s="16"/>
      <c r="B728" s="12"/>
      <c r="C728" s="18" t="str">
        <f aca="false">IF(B728="","",IFERROR(INDEX(Inventario!$B$7:$B$46,MATCH(B728,Inventario!$A$7:$A$46,0)),"Clave no existe"))</f>
        <v/>
      </c>
      <c r="D728" s="18" t="str">
        <f aca="false">IF(B728="","",IFERROR(INDEX(Inventario!$C$7:$C$46,MATCH(B728,Inventario!$A$7:$A$46,0)),""))</f>
        <v/>
      </c>
      <c r="E728" s="19"/>
      <c r="F728" s="19"/>
      <c r="G728" s="20" t="str">
        <f aca="false">IF(OR(E728="",F728=""),IF(B728="","",IF(A728="","",8)),F728-E728)</f>
        <v/>
      </c>
      <c r="H728" s="14"/>
      <c r="I728" s="12"/>
      <c r="J728" s="14"/>
      <c r="K728" s="20" t="str">
        <f aca="false">IF(OR(J728="",N(G728)=0),"",J728/G728)</f>
        <v/>
      </c>
      <c r="L728" s="12"/>
      <c r="M728" s="12"/>
      <c r="N728" s="12"/>
    </row>
    <row r="729" customFormat="false" ht="15" hidden="false" customHeight="false" outlineLevel="0" collapsed="false">
      <c r="A729" s="16"/>
      <c r="B729" s="12"/>
      <c r="C729" s="18" t="str">
        <f aca="false">IF(B729="","",IFERROR(INDEX(Inventario!$B$7:$B$46,MATCH(B729,Inventario!$A$7:$A$46,0)),"Clave no existe"))</f>
        <v/>
      </c>
      <c r="D729" s="18" t="str">
        <f aca="false">IF(B729="","",IFERROR(INDEX(Inventario!$C$7:$C$46,MATCH(B729,Inventario!$A$7:$A$46,0)),""))</f>
        <v/>
      </c>
      <c r="E729" s="19"/>
      <c r="F729" s="19"/>
      <c r="G729" s="20" t="str">
        <f aca="false">IF(OR(E729="",F729=""),IF(B729="","",IF(A729="","",8)),F729-E729)</f>
        <v/>
      </c>
      <c r="H729" s="14"/>
      <c r="I729" s="12"/>
      <c r="J729" s="14"/>
      <c r="K729" s="20" t="str">
        <f aca="false">IF(OR(J729="",N(G729)=0),"",J729/G729)</f>
        <v/>
      </c>
      <c r="L729" s="12"/>
      <c r="M729" s="12"/>
      <c r="N729" s="12"/>
    </row>
    <row r="730" customFormat="false" ht="15" hidden="false" customHeight="false" outlineLevel="0" collapsed="false">
      <c r="A730" s="16"/>
      <c r="B730" s="12"/>
      <c r="C730" s="18" t="str">
        <f aca="false">IF(B730="","",IFERROR(INDEX(Inventario!$B$7:$B$46,MATCH(B730,Inventario!$A$7:$A$46,0)),"Clave no existe"))</f>
        <v/>
      </c>
      <c r="D730" s="18" t="str">
        <f aca="false">IF(B730="","",IFERROR(INDEX(Inventario!$C$7:$C$46,MATCH(B730,Inventario!$A$7:$A$46,0)),""))</f>
        <v/>
      </c>
      <c r="E730" s="19"/>
      <c r="F730" s="19"/>
      <c r="G730" s="20" t="str">
        <f aca="false">IF(OR(E730="",F730=""),IF(B730="","",IF(A730="","",8)),F730-E730)</f>
        <v/>
      </c>
      <c r="H730" s="14"/>
      <c r="I730" s="12"/>
      <c r="J730" s="14"/>
      <c r="K730" s="20" t="str">
        <f aca="false">IF(OR(J730="",N(G730)=0),"",J730/G730)</f>
        <v/>
      </c>
      <c r="L730" s="12"/>
      <c r="M730" s="12"/>
      <c r="N730" s="12"/>
    </row>
    <row r="731" customFormat="false" ht="15" hidden="false" customHeight="false" outlineLevel="0" collapsed="false">
      <c r="A731" s="16"/>
      <c r="B731" s="12"/>
      <c r="C731" s="18" t="str">
        <f aca="false">IF(B731="","",IFERROR(INDEX(Inventario!$B$7:$B$46,MATCH(B731,Inventario!$A$7:$A$46,0)),"Clave no existe"))</f>
        <v/>
      </c>
      <c r="D731" s="18" t="str">
        <f aca="false">IF(B731="","",IFERROR(INDEX(Inventario!$C$7:$C$46,MATCH(B731,Inventario!$A$7:$A$46,0)),""))</f>
        <v/>
      </c>
      <c r="E731" s="19"/>
      <c r="F731" s="19"/>
      <c r="G731" s="20" t="str">
        <f aca="false">IF(OR(E731="",F731=""),IF(B731="","",IF(A731="","",8)),F731-E731)</f>
        <v/>
      </c>
      <c r="H731" s="14"/>
      <c r="I731" s="12"/>
      <c r="J731" s="14"/>
      <c r="K731" s="20" t="str">
        <f aca="false">IF(OR(J731="",N(G731)=0),"",J731/G731)</f>
        <v/>
      </c>
      <c r="L731" s="12"/>
      <c r="M731" s="12"/>
      <c r="N731" s="12"/>
    </row>
    <row r="732" customFormat="false" ht="15" hidden="false" customHeight="false" outlineLevel="0" collapsed="false">
      <c r="A732" s="16"/>
      <c r="B732" s="12"/>
      <c r="C732" s="18" t="str">
        <f aca="false">IF(B732="","",IFERROR(INDEX(Inventario!$B$7:$B$46,MATCH(B732,Inventario!$A$7:$A$46,0)),"Clave no existe"))</f>
        <v/>
      </c>
      <c r="D732" s="18" t="str">
        <f aca="false">IF(B732="","",IFERROR(INDEX(Inventario!$C$7:$C$46,MATCH(B732,Inventario!$A$7:$A$46,0)),""))</f>
        <v/>
      </c>
      <c r="E732" s="19"/>
      <c r="F732" s="19"/>
      <c r="G732" s="20" t="str">
        <f aca="false">IF(OR(E732="",F732=""),IF(B732="","",IF(A732="","",8)),F732-E732)</f>
        <v/>
      </c>
      <c r="H732" s="14"/>
      <c r="I732" s="12"/>
      <c r="J732" s="14"/>
      <c r="K732" s="20" t="str">
        <f aca="false">IF(OR(J732="",N(G732)=0),"",J732/G732)</f>
        <v/>
      </c>
      <c r="L732" s="12"/>
      <c r="M732" s="12"/>
      <c r="N732" s="12"/>
    </row>
    <row r="733" customFormat="false" ht="15" hidden="false" customHeight="false" outlineLevel="0" collapsed="false">
      <c r="A733" s="16"/>
      <c r="B733" s="12"/>
      <c r="C733" s="18" t="str">
        <f aca="false">IF(B733="","",IFERROR(INDEX(Inventario!$B$7:$B$46,MATCH(B733,Inventario!$A$7:$A$46,0)),"Clave no existe"))</f>
        <v/>
      </c>
      <c r="D733" s="18" t="str">
        <f aca="false">IF(B733="","",IFERROR(INDEX(Inventario!$C$7:$C$46,MATCH(B733,Inventario!$A$7:$A$46,0)),""))</f>
        <v/>
      </c>
      <c r="E733" s="19"/>
      <c r="F733" s="19"/>
      <c r="G733" s="20" t="str">
        <f aca="false">IF(OR(E733="",F733=""),IF(B733="","",IF(A733="","",8)),F733-E733)</f>
        <v/>
      </c>
      <c r="H733" s="14"/>
      <c r="I733" s="12"/>
      <c r="J733" s="14"/>
      <c r="K733" s="20" t="str">
        <f aca="false">IF(OR(J733="",N(G733)=0),"",J733/G733)</f>
        <v/>
      </c>
      <c r="L733" s="12"/>
      <c r="M733" s="12"/>
      <c r="N733" s="12"/>
    </row>
    <row r="734" customFormat="false" ht="15" hidden="false" customHeight="false" outlineLevel="0" collapsed="false">
      <c r="A734" s="16"/>
      <c r="B734" s="12"/>
      <c r="C734" s="18" t="str">
        <f aca="false">IF(B734="","",IFERROR(INDEX(Inventario!$B$7:$B$46,MATCH(B734,Inventario!$A$7:$A$46,0)),"Clave no existe"))</f>
        <v/>
      </c>
      <c r="D734" s="18" t="str">
        <f aca="false">IF(B734="","",IFERROR(INDEX(Inventario!$C$7:$C$46,MATCH(B734,Inventario!$A$7:$A$46,0)),""))</f>
        <v/>
      </c>
      <c r="E734" s="19"/>
      <c r="F734" s="19"/>
      <c r="G734" s="20" t="str">
        <f aca="false">IF(OR(E734="",F734=""),IF(B734="","",IF(A734="","",8)),F734-E734)</f>
        <v/>
      </c>
      <c r="H734" s="14"/>
      <c r="I734" s="12"/>
      <c r="J734" s="14"/>
      <c r="K734" s="20" t="str">
        <f aca="false">IF(OR(J734="",N(G734)=0),"",J734/G734)</f>
        <v/>
      </c>
      <c r="L734" s="12"/>
      <c r="M734" s="12"/>
      <c r="N734" s="12"/>
    </row>
    <row r="735" customFormat="false" ht="15" hidden="false" customHeight="false" outlineLevel="0" collapsed="false">
      <c r="A735" s="16"/>
      <c r="B735" s="12"/>
      <c r="C735" s="18" t="str">
        <f aca="false">IF(B735="","",IFERROR(INDEX(Inventario!$B$7:$B$46,MATCH(B735,Inventario!$A$7:$A$46,0)),"Clave no existe"))</f>
        <v/>
      </c>
      <c r="D735" s="18" t="str">
        <f aca="false">IF(B735="","",IFERROR(INDEX(Inventario!$C$7:$C$46,MATCH(B735,Inventario!$A$7:$A$46,0)),""))</f>
        <v/>
      </c>
      <c r="E735" s="19"/>
      <c r="F735" s="19"/>
      <c r="G735" s="20" t="str">
        <f aca="false">IF(OR(E735="",F735=""),IF(B735="","",IF(A735="","",8)),F735-E735)</f>
        <v/>
      </c>
      <c r="H735" s="14"/>
      <c r="I735" s="12"/>
      <c r="J735" s="14"/>
      <c r="K735" s="20" t="str">
        <f aca="false">IF(OR(J735="",N(G735)=0),"",J735/G735)</f>
        <v/>
      </c>
      <c r="L735" s="12"/>
      <c r="M735" s="12"/>
      <c r="N735" s="12"/>
    </row>
    <row r="736" customFormat="false" ht="15" hidden="false" customHeight="false" outlineLevel="0" collapsed="false">
      <c r="A736" s="16"/>
      <c r="B736" s="12"/>
      <c r="C736" s="18" t="str">
        <f aca="false">IF(B736="","",IFERROR(INDEX(Inventario!$B$7:$B$46,MATCH(B736,Inventario!$A$7:$A$46,0)),"Clave no existe"))</f>
        <v/>
      </c>
      <c r="D736" s="18" t="str">
        <f aca="false">IF(B736="","",IFERROR(INDEX(Inventario!$C$7:$C$46,MATCH(B736,Inventario!$A$7:$A$46,0)),""))</f>
        <v/>
      </c>
      <c r="E736" s="19"/>
      <c r="F736" s="19"/>
      <c r="G736" s="20" t="str">
        <f aca="false">IF(OR(E736="",F736=""),IF(B736="","",IF(A736="","",8)),F736-E736)</f>
        <v/>
      </c>
      <c r="H736" s="14"/>
      <c r="I736" s="12"/>
      <c r="J736" s="14"/>
      <c r="K736" s="20" t="str">
        <f aca="false">IF(OR(J736="",N(G736)=0),"",J736/G736)</f>
        <v/>
      </c>
      <c r="L736" s="12"/>
      <c r="M736" s="12"/>
      <c r="N736" s="12"/>
    </row>
    <row r="737" customFormat="false" ht="15" hidden="false" customHeight="false" outlineLevel="0" collapsed="false">
      <c r="A737" s="16"/>
      <c r="B737" s="12"/>
      <c r="C737" s="18" t="str">
        <f aca="false">IF(B737="","",IFERROR(INDEX(Inventario!$B$7:$B$46,MATCH(B737,Inventario!$A$7:$A$46,0)),"Clave no existe"))</f>
        <v/>
      </c>
      <c r="D737" s="18" t="str">
        <f aca="false">IF(B737="","",IFERROR(INDEX(Inventario!$C$7:$C$46,MATCH(B737,Inventario!$A$7:$A$46,0)),""))</f>
        <v/>
      </c>
      <c r="E737" s="19"/>
      <c r="F737" s="19"/>
      <c r="G737" s="20" t="str">
        <f aca="false">IF(OR(E737="",F737=""),IF(B737="","",IF(A737="","",8)),F737-E737)</f>
        <v/>
      </c>
      <c r="H737" s="14"/>
      <c r="I737" s="12"/>
      <c r="J737" s="14"/>
      <c r="K737" s="20" t="str">
        <f aca="false">IF(OR(J737="",N(G737)=0),"",J737/G737)</f>
        <v/>
      </c>
      <c r="L737" s="12"/>
      <c r="M737" s="12"/>
      <c r="N737" s="12"/>
    </row>
    <row r="738" customFormat="false" ht="15" hidden="false" customHeight="false" outlineLevel="0" collapsed="false">
      <c r="A738" s="16"/>
      <c r="B738" s="12"/>
      <c r="C738" s="18" t="str">
        <f aca="false">IF(B738="","",IFERROR(INDEX(Inventario!$B$7:$B$46,MATCH(B738,Inventario!$A$7:$A$46,0)),"Clave no existe"))</f>
        <v/>
      </c>
      <c r="D738" s="18" t="str">
        <f aca="false">IF(B738="","",IFERROR(INDEX(Inventario!$C$7:$C$46,MATCH(B738,Inventario!$A$7:$A$46,0)),""))</f>
        <v/>
      </c>
      <c r="E738" s="19"/>
      <c r="F738" s="19"/>
      <c r="G738" s="20" t="str">
        <f aca="false">IF(OR(E738="",F738=""),IF(B738="","",IF(A738="","",8)),F738-E738)</f>
        <v/>
      </c>
      <c r="H738" s="14"/>
      <c r="I738" s="12"/>
      <c r="J738" s="14"/>
      <c r="K738" s="20" t="str">
        <f aca="false">IF(OR(J738="",N(G738)=0),"",J738/G738)</f>
        <v/>
      </c>
      <c r="L738" s="12"/>
      <c r="M738" s="12"/>
      <c r="N738" s="12"/>
    </row>
    <row r="739" customFormat="false" ht="15" hidden="false" customHeight="false" outlineLevel="0" collapsed="false">
      <c r="A739" s="16"/>
      <c r="B739" s="12"/>
      <c r="C739" s="18" t="str">
        <f aca="false">IF(B739="","",IFERROR(INDEX(Inventario!$B$7:$B$46,MATCH(B739,Inventario!$A$7:$A$46,0)),"Clave no existe"))</f>
        <v/>
      </c>
      <c r="D739" s="18" t="str">
        <f aca="false">IF(B739="","",IFERROR(INDEX(Inventario!$C$7:$C$46,MATCH(B739,Inventario!$A$7:$A$46,0)),""))</f>
        <v/>
      </c>
      <c r="E739" s="19"/>
      <c r="F739" s="19"/>
      <c r="G739" s="20" t="str">
        <f aca="false">IF(OR(E739="",F739=""),IF(B739="","",IF(A739="","",8)),F739-E739)</f>
        <v/>
      </c>
      <c r="H739" s="14"/>
      <c r="I739" s="12"/>
      <c r="J739" s="14"/>
      <c r="K739" s="20" t="str">
        <f aca="false">IF(OR(J739="",N(G739)=0),"",J739/G739)</f>
        <v/>
      </c>
      <c r="L739" s="12"/>
      <c r="M739" s="12"/>
      <c r="N739" s="12"/>
    </row>
    <row r="740" customFormat="false" ht="15" hidden="false" customHeight="false" outlineLevel="0" collapsed="false">
      <c r="A740" s="16"/>
      <c r="B740" s="12"/>
      <c r="C740" s="18" t="str">
        <f aca="false">IF(B740="","",IFERROR(INDEX(Inventario!$B$7:$B$46,MATCH(B740,Inventario!$A$7:$A$46,0)),"Clave no existe"))</f>
        <v/>
      </c>
      <c r="D740" s="18" t="str">
        <f aca="false">IF(B740="","",IFERROR(INDEX(Inventario!$C$7:$C$46,MATCH(B740,Inventario!$A$7:$A$46,0)),""))</f>
        <v/>
      </c>
      <c r="E740" s="19"/>
      <c r="F740" s="19"/>
      <c r="G740" s="20" t="str">
        <f aca="false">IF(OR(E740="",F740=""),IF(B740="","",IF(A740="","",8)),F740-E740)</f>
        <v/>
      </c>
      <c r="H740" s="14"/>
      <c r="I740" s="12"/>
      <c r="J740" s="14"/>
      <c r="K740" s="20" t="str">
        <f aca="false">IF(OR(J740="",N(G740)=0),"",J740/G740)</f>
        <v/>
      </c>
      <c r="L740" s="12"/>
      <c r="M740" s="12"/>
      <c r="N740" s="12"/>
    </row>
    <row r="741" customFormat="false" ht="15" hidden="false" customHeight="false" outlineLevel="0" collapsed="false">
      <c r="A741" s="16"/>
      <c r="B741" s="12"/>
      <c r="C741" s="18" t="str">
        <f aca="false">IF(B741="","",IFERROR(INDEX(Inventario!$B$7:$B$46,MATCH(B741,Inventario!$A$7:$A$46,0)),"Clave no existe"))</f>
        <v/>
      </c>
      <c r="D741" s="18" t="str">
        <f aca="false">IF(B741="","",IFERROR(INDEX(Inventario!$C$7:$C$46,MATCH(B741,Inventario!$A$7:$A$46,0)),""))</f>
        <v/>
      </c>
      <c r="E741" s="19"/>
      <c r="F741" s="19"/>
      <c r="G741" s="20" t="str">
        <f aca="false">IF(OR(E741="",F741=""),IF(B741="","",IF(A741="","",8)),F741-E741)</f>
        <v/>
      </c>
      <c r="H741" s="14"/>
      <c r="I741" s="12"/>
      <c r="J741" s="14"/>
      <c r="K741" s="20" t="str">
        <f aca="false">IF(OR(J741="",N(G741)=0),"",J741/G741)</f>
        <v/>
      </c>
      <c r="L741" s="12"/>
      <c r="M741" s="12"/>
      <c r="N741" s="12"/>
    </row>
    <row r="742" customFormat="false" ht="15" hidden="false" customHeight="false" outlineLevel="0" collapsed="false">
      <c r="A742" s="16"/>
      <c r="B742" s="12"/>
      <c r="C742" s="18" t="str">
        <f aca="false">IF(B742="","",IFERROR(INDEX(Inventario!$B$7:$B$46,MATCH(B742,Inventario!$A$7:$A$46,0)),"Clave no existe"))</f>
        <v/>
      </c>
      <c r="D742" s="18" t="str">
        <f aca="false">IF(B742="","",IFERROR(INDEX(Inventario!$C$7:$C$46,MATCH(B742,Inventario!$A$7:$A$46,0)),""))</f>
        <v/>
      </c>
      <c r="E742" s="19"/>
      <c r="F742" s="19"/>
      <c r="G742" s="20" t="str">
        <f aca="false">IF(OR(E742="",F742=""),IF(B742="","",IF(A742="","",8)),F742-E742)</f>
        <v/>
      </c>
      <c r="H742" s="14"/>
      <c r="I742" s="12"/>
      <c r="J742" s="14"/>
      <c r="K742" s="20" t="str">
        <f aca="false">IF(OR(J742="",N(G742)=0),"",J742/G742)</f>
        <v/>
      </c>
      <c r="L742" s="12"/>
      <c r="M742" s="12"/>
      <c r="N742" s="12"/>
    </row>
    <row r="743" customFormat="false" ht="15" hidden="false" customHeight="false" outlineLevel="0" collapsed="false">
      <c r="A743" s="16"/>
      <c r="B743" s="12"/>
      <c r="C743" s="18" t="str">
        <f aca="false">IF(B743="","",IFERROR(INDEX(Inventario!$B$7:$B$46,MATCH(B743,Inventario!$A$7:$A$46,0)),"Clave no existe"))</f>
        <v/>
      </c>
      <c r="D743" s="18" t="str">
        <f aca="false">IF(B743="","",IFERROR(INDEX(Inventario!$C$7:$C$46,MATCH(B743,Inventario!$A$7:$A$46,0)),""))</f>
        <v/>
      </c>
      <c r="E743" s="19"/>
      <c r="F743" s="19"/>
      <c r="G743" s="20" t="str">
        <f aca="false">IF(OR(E743="",F743=""),IF(B743="","",IF(A743="","",8)),F743-E743)</f>
        <v/>
      </c>
      <c r="H743" s="14"/>
      <c r="I743" s="12"/>
      <c r="J743" s="14"/>
      <c r="K743" s="20" t="str">
        <f aca="false">IF(OR(J743="",N(G743)=0),"",J743/G743)</f>
        <v/>
      </c>
      <c r="L743" s="12"/>
      <c r="M743" s="12"/>
      <c r="N743" s="12"/>
    </row>
    <row r="744" customFormat="false" ht="15" hidden="false" customHeight="false" outlineLevel="0" collapsed="false">
      <c r="A744" s="16"/>
      <c r="B744" s="12"/>
      <c r="C744" s="18" t="str">
        <f aca="false">IF(B744="","",IFERROR(INDEX(Inventario!$B$7:$B$46,MATCH(B744,Inventario!$A$7:$A$46,0)),"Clave no existe"))</f>
        <v/>
      </c>
      <c r="D744" s="18" t="str">
        <f aca="false">IF(B744="","",IFERROR(INDEX(Inventario!$C$7:$C$46,MATCH(B744,Inventario!$A$7:$A$46,0)),""))</f>
        <v/>
      </c>
      <c r="E744" s="19"/>
      <c r="F744" s="19"/>
      <c r="G744" s="20" t="str">
        <f aca="false">IF(OR(E744="",F744=""),IF(B744="","",IF(A744="","",8)),F744-E744)</f>
        <v/>
      </c>
      <c r="H744" s="14"/>
      <c r="I744" s="12"/>
      <c r="J744" s="14"/>
      <c r="K744" s="20" t="str">
        <f aca="false">IF(OR(J744="",N(G744)=0),"",J744/G744)</f>
        <v/>
      </c>
      <c r="L744" s="12"/>
      <c r="M744" s="12"/>
      <c r="N744" s="12"/>
    </row>
    <row r="745" customFormat="false" ht="15" hidden="false" customHeight="false" outlineLevel="0" collapsed="false">
      <c r="A745" s="16"/>
      <c r="B745" s="12"/>
      <c r="C745" s="18" t="str">
        <f aca="false">IF(B745="","",IFERROR(INDEX(Inventario!$B$7:$B$46,MATCH(B745,Inventario!$A$7:$A$46,0)),"Clave no existe"))</f>
        <v/>
      </c>
      <c r="D745" s="18" t="str">
        <f aca="false">IF(B745="","",IFERROR(INDEX(Inventario!$C$7:$C$46,MATCH(B745,Inventario!$A$7:$A$46,0)),""))</f>
        <v/>
      </c>
      <c r="E745" s="19"/>
      <c r="F745" s="19"/>
      <c r="G745" s="20" t="str">
        <f aca="false">IF(OR(E745="",F745=""),IF(B745="","",IF(A745="","",8)),F745-E745)</f>
        <v/>
      </c>
      <c r="H745" s="14"/>
      <c r="I745" s="12"/>
      <c r="J745" s="14"/>
      <c r="K745" s="20" t="str">
        <f aca="false">IF(OR(J745="",N(G745)=0),"",J745/G745)</f>
        <v/>
      </c>
      <c r="L745" s="12"/>
      <c r="M745" s="12"/>
      <c r="N745" s="12"/>
    </row>
    <row r="746" customFormat="false" ht="15" hidden="false" customHeight="false" outlineLevel="0" collapsed="false">
      <c r="A746" s="16"/>
      <c r="B746" s="12"/>
      <c r="C746" s="18" t="str">
        <f aca="false">IF(B746="","",IFERROR(INDEX(Inventario!$B$7:$B$46,MATCH(B746,Inventario!$A$7:$A$46,0)),"Clave no existe"))</f>
        <v/>
      </c>
      <c r="D746" s="18" t="str">
        <f aca="false">IF(B746="","",IFERROR(INDEX(Inventario!$C$7:$C$46,MATCH(B746,Inventario!$A$7:$A$46,0)),""))</f>
        <v/>
      </c>
      <c r="E746" s="19"/>
      <c r="F746" s="19"/>
      <c r="G746" s="20" t="str">
        <f aca="false">IF(OR(E746="",F746=""),IF(B746="","",IF(A746="","",8)),F746-E746)</f>
        <v/>
      </c>
      <c r="H746" s="14"/>
      <c r="I746" s="12"/>
      <c r="J746" s="14"/>
      <c r="K746" s="20" t="str">
        <f aca="false">IF(OR(J746="",N(G746)=0),"",J746/G746)</f>
        <v/>
      </c>
      <c r="L746" s="12"/>
      <c r="M746" s="12"/>
      <c r="N746" s="12"/>
    </row>
    <row r="747" customFormat="false" ht="15" hidden="false" customHeight="false" outlineLevel="0" collapsed="false">
      <c r="A747" s="16"/>
      <c r="B747" s="12"/>
      <c r="C747" s="18" t="str">
        <f aca="false">IF(B747="","",IFERROR(INDEX(Inventario!$B$7:$B$46,MATCH(B747,Inventario!$A$7:$A$46,0)),"Clave no existe"))</f>
        <v/>
      </c>
      <c r="D747" s="18" t="str">
        <f aca="false">IF(B747="","",IFERROR(INDEX(Inventario!$C$7:$C$46,MATCH(B747,Inventario!$A$7:$A$46,0)),""))</f>
        <v/>
      </c>
      <c r="E747" s="19"/>
      <c r="F747" s="19"/>
      <c r="G747" s="20" t="str">
        <f aca="false">IF(OR(E747="",F747=""),IF(B747="","",IF(A747="","",8)),F747-E747)</f>
        <v/>
      </c>
      <c r="H747" s="14"/>
      <c r="I747" s="12"/>
      <c r="J747" s="14"/>
      <c r="K747" s="20" t="str">
        <f aca="false">IF(OR(J747="",N(G747)=0),"",J747/G747)</f>
        <v/>
      </c>
      <c r="L747" s="12"/>
      <c r="M747" s="12"/>
      <c r="N747" s="12"/>
    </row>
    <row r="748" customFormat="false" ht="15" hidden="false" customHeight="false" outlineLevel="0" collapsed="false">
      <c r="A748" s="16"/>
      <c r="B748" s="12"/>
      <c r="C748" s="18" t="str">
        <f aca="false">IF(B748="","",IFERROR(INDEX(Inventario!$B$7:$B$46,MATCH(B748,Inventario!$A$7:$A$46,0)),"Clave no existe"))</f>
        <v/>
      </c>
      <c r="D748" s="18" t="str">
        <f aca="false">IF(B748="","",IFERROR(INDEX(Inventario!$C$7:$C$46,MATCH(B748,Inventario!$A$7:$A$46,0)),""))</f>
        <v/>
      </c>
      <c r="E748" s="19"/>
      <c r="F748" s="19"/>
      <c r="G748" s="20" t="str">
        <f aca="false">IF(OR(E748="",F748=""),IF(B748="","",IF(A748="","",8)),F748-E748)</f>
        <v/>
      </c>
      <c r="H748" s="14"/>
      <c r="I748" s="12"/>
      <c r="J748" s="14"/>
      <c r="K748" s="20" t="str">
        <f aca="false">IF(OR(J748="",N(G748)=0),"",J748/G748)</f>
        <v/>
      </c>
      <c r="L748" s="12"/>
      <c r="M748" s="12"/>
      <c r="N748" s="12"/>
    </row>
    <row r="749" customFormat="false" ht="15" hidden="false" customHeight="false" outlineLevel="0" collapsed="false">
      <c r="A749" s="16"/>
      <c r="B749" s="12"/>
      <c r="C749" s="18" t="str">
        <f aca="false">IF(B749="","",IFERROR(INDEX(Inventario!$B$7:$B$46,MATCH(B749,Inventario!$A$7:$A$46,0)),"Clave no existe"))</f>
        <v/>
      </c>
      <c r="D749" s="18" t="str">
        <f aca="false">IF(B749="","",IFERROR(INDEX(Inventario!$C$7:$C$46,MATCH(B749,Inventario!$A$7:$A$46,0)),""))</f>
        <v/>
      </c>
      <c r="E749" s="19"/>
      <c r="F749" s="19"/>
      <c r="G749" s="20" t="str">
        <f aca="false">IF(OR(E749="",F749=""),IF(B749="","",IF(A749="","",8)),F749-E749)</f>
        <v/>
      </c>
      <c r="H749" s="14"/>
      <c r="I749" s="12"/>
      <c r="J749" s="14"/>
      <c r="K749" s="20" t="str">
        <f aca="false">IF(OR(J749="",N(G749)=0),"",J749/G749)</f>
        <v/>
      </c>
      <c r="L749" s="12"/>
      <c r="M749" s="12"/>
      <c r="N749" s="12"/>
    </row>
    <row r="750" customFormat="false" ht="15" hidden="false" customHeight="false" outlineLevel="0" collapsed="false">
      <c r="A750" s="16"/>
      <c r="B750" s="12"/>
      <c r="C750" s="18" t="str">
        <f aca="false">IF(B750="","",IFERROR(INDEX(Inventario!$B$7:$B$46,MATCH(B750,Inventario!$A$7:$A$46,0)),"Clave no existe"))</f>
        <v/>
      </c>
      <c r="D750" s="18" t="str">
        <f aca="false">IF(B750="","",IFERROR(INDEX(Inventario!$C$7:$C$46,MATCH(B750,Inventario!$A$7:$A$46,0)),""))</f>
        <v/>
      </c>
      <c r="E750" s="19"/>
      <c r="F750" s="19"/>
      <c r="G750" s="20" t="str">
        <f aca="false">IF(OR(E750="",F750=""),IF(B750="","",IF(A750="","",8)),F750-E750)</f>
        <v/>
      </c>
      <c r="H750" s="14"/>
      <c r="I750" s="12"/>
      <c r="J750" s="14"/>
      <c r="K750" s="20" t="str">
        <f aca="false">IF(OR(J750="",N(G750)=0),"",J750/G750)</f>
        <v/>
      </c>
      <c r="L750" s="12"/>
      <c r="M750" s="12"/>
      <c r="N750" s="12"/>
    </row>
    <row r="751" customFormat="false" ht="15" hidden="false" customHeight="false" outlineLevel="0" collapsed="false">
      <c r="A751" s="16"/>
      <c r="B751" s="12"/>
      <c r="C751" s="18" t="str">
        <f aca="false">IF(B751="","",IFERROR(INDEX(Inventario!$B$7:$B$46,MATCH(B751,Inventario!$A$7:$A$46,0)),"Clave no existe"))</f>
        <v/>
      </c>
      <c r="D751" s="18" t="str">
        <f aca="false">IF(B751="","",IFERROR(INDEX(Inventario!$C$7:$C$46,MATCH(B751,Inventario!$A$7:$A$46,0)),""))</f>
        <v/>
      </c>
      <c r="E751" s="19"/>
      <c r="F751" s="19"/>
      <c r="G751" s="20" t="str">
        <f aca="false">IF(OR(E751="",F751=""),IF(B751="","",IF(A751="","",8)),F751-E751)</f>
        <v/>
      </c>
      <c r="H751" s="14"/>
      <c r="I751" s="12"/>
      <c r="J751" s="14"/>
      <c r="K751" s="20" t="str">
        <f aca="false">IF(OR(J751="",N(G751)=0),"",J751/G751)</f>
        <v/>
      </c>
      <c r="L751" s="12"/>
      <c r="M751" s="12"/>
      <c r="N751" s="12"/>
    </row>
    <row r="752" customFormat="false" ht="15" hidden="false" customHeight="false" outlineLevel="0" collapsed="false">
      <c r="A752" s="16"/>
      <c r="B752" s="12"/>
      <c r="C752" s="18" t="str">
        <f aca="false">IF(B752="","",IFERROR(INDEX(Inventario!$B$7:$B$46,MATCH(B752,Inventario!$A$7:$A$46,0)),"Clave no existe"))</f>
        <v/>
      </c>
      <c r="D752" s="18" t="str">
        <f aca="false">IF(B752="","",IFERROR(INDEX(Inventario!$C$7:$C$46,MATCH(B752,Inventario!$A$7:$A$46,0)),""))</f>
        <v/>
      </c>
      <c r="E752" s="19"/>
      <c r="F752" s="19"/>
      <c r="G752" s="20" t="str">
        <f aca="false">IF(OR(E752="",F752=""),IF(B752="","",IF(A752="","",8)),F752-E752)</f>
        <v/>
      </c>
      <c r="H752" s="14"/>
      <c r="I752" s="12"/>
      <c r="J752" s="14"/>
      <c r="K752" s="20" t="str">
        <f aca="false">IF(OR(J752="",N(G752)=0),"",J752/G752)</f>
        <v/>
      </c>
      <c r="L752" s="12"/>
      <c r="M752" s="12"/>
      <c r="N752" s="12"/>
    </row>
    <row r="753" customFormat="false" ht="15" hidden="false" customHeight="false" outlineLevel="0" collapsed="false">
      <c r="A753" s="16"/>
      <c r="B753" s="12"/>
      <c r="C753" s="18" t="str">
        <f aca="false">IF(B753="","",IFERROR(INDEX(Inventario!$B$7:$B$46,MATCH(B753,Inventario!$A$7:$A$46,0)),"Clave no existe"))</f>
        <v/>
      </c>
      <c r="D753" s="18" t="str">
        <f aca="false">IF(B753="","",IFERROR(INDEX(Inventario!$C$7:$C$46,MATCH(B753,Inventario!$A$7:$A$46,0)),""))</f>
        <v/>
      </c>
      <c r="E753" s="19"/>
      <c r="F753" s="19"/>
      <c r="G753" s="20" t="str">
        <f aca="false">IF(OR(E753="",F753=""),IF(B753="","",IF(A753="","",8)),F753-E753)</f>
        <v/>
      </c>
      <c r="H753" s="14"/>
      <c r="I753" s="12"/>
      <c r="J753" s="14"/>
      <c r="K753" s="20" t="str">
        <f aca="false">IF(OR(J753="",N(G753)=0),"",J753/G753)</f>
        <v/>
      </c>
      <c r="L753" s="12"/>
      <c r="M753" s="12"/>
      <c r="N753" s="12"/>
    </row>
    <row r="754" customFormat="false" ht="15" hidden="false" customHeight="false" outlineLevel="0" collapsed="false">
      <c r="A754" s="16"/>
      <c r="B754" s="12"/>
      <c r="C754" s="18" t="str">
        <f aca="false">IF(B754="","",IFERROR(INDEX(Inventario!$B$7:$B$46,MATCH(B754,Inventario!$A$7:$A$46,0)),"Clave no existe"))</f>
        <v/>
      </c>
      <c r="D754" s="18" t="str">
        <f aca="false">IF(B754="","",IFERROR(INDEX(Inventario!$C$7:$C$46,MATCH(B754,Inventario!$A$7:$A$46,0)),""))</f>
        <v/>
      </c>
      <c r="E754" s="19"/>
      <c r="F754" s="19"/>
      <c r="G754" s="20" t="str">
        <f aca="false">IF(OR(E754="",F754=""),IF(B754="","",IF(A754="","",8)),F754-E754)</f>
        <v/>
      </c>
      <c r="H754" s="14"/>
      <c r="I754" s="12"/>
      <c r="J754" s="14"/>
      <c r="K754" s="20" t="str">
        <f aca="false">IF(OR(J754="",N(G754)=0),"",J754/G754)</f>
        <v/>
      </c>
      <c r="L754" s="12"/>
      <c r="M754" s="12"/>
      <c r="N754" s="12"/>
    </row>
    <row r="755" customFormat="false" ht="15" hidden="false" customHeight="false" outlineLevel="0" collapsed="false">
      <c r="A755" s="16"/>
      <c r="B755" s="12"/>
      <c r="C755" s="18" t="str">
        <f aca="false">IF(B755="","",IFERROR(INDEX(Inventario!$B$7:$B$46,MATCH(B755,Inventario!$A$7:$A$46,0)),"Clave no existe"))</f>
        <v/>
      </c>
      <c r="D755" s="18" t="str">
        <f aca="false">IF(B755="","",IFERROR(INDEX(Inventario!$C$7:$C$46,MATCH(B755,Inventario!$A$7:$A$46,0)),""))</f>
        <v/>
      </c>
      <c r="E755" s="19"/>
      <c r="F755" s="19"/>
      <c r="G755" s="20" t="str">
        <f aca="false">IF(OR(E755="",F755=""),IF(B755="","",IF(A755="","",8)),F755-E755)</f>
        <v/>
      </c>
      <c r="H755" s="14"/>
      <c r="I755" s="12"/>
      <c r="J755" s="14"/>
      <c r="K755" s="20" t="str">
        <f aca="false">IF(OR(J755="",N(G755)=0),"",J755/G755)</f>
        <v/>
      </c>
      <c r="L755" s="12"/>
      <c r="M755" s="12"/>
      <c r="N755" s="12"/>
    </row>
    <row r="756" customFormat="false" ht="15" hidden="false" customHeight="false" outlineLevel="0" collapsed="false">
      <c r="A756" s="16"/>
      <c r="B756" s="12"/>
      <c r="C756" s="18" t="str">
        <f aca="false">IF(B756="","",IFERROR(INDEX(Inventario!$B$7:$B$46,MATCH(B756,Inventario!$A$7:$A$46,0)),"Clave no existe"))</f>
        <v/>
      </c>
      <c r="D756" s="18" t="str">
        <f aca="false">IF(B756="","",IFERROR(INDEX(Inventario!$C$7:$C$46,MATCH(B756,Inventario!$A$7:$A$46,0)),""))</f>
        <v/>
      </c>
      <c r="E756" s="19"/>
      <c r="F756" s="19"/>
      <c r="G756" s="20" t="str">
        <f aca="false">IF(OR(E756="",F756=""),IF(B756="","",IF(A756="","",8)),F756-E756)</f>
        <v/>
      </c>
      <c r="H756" s="14"/>
      <c r="I756" s="12"/>
      <c r="J756" s="14"/>
      <c r="K756" s="20" t="str">
        <f aca="false">IF(OR(J756="",N(G756)=0),"",J756/G756)</f>
        <v/>
      </c>
      <c r="L756" s="12"/>
      <c r="M756" s="12"/>
      <c r="N756" s="12"/>
    </row>
    <row r="757" customFormat="false" ht="15" hidden="false" customHeight="false" outlineLevel="0" collapsed="false">
      <c r="A757" s="16"/>
      <c r="B757" s="12"/>
      <c r="C757" s="18" t="str">
        <f aca="false">IF(B757="","",IFERROR(INDEX(Inventario!$B$7:$B$46,MATCH(B757,Inventario!$A$7:$A$46,0)),"Clave no existe"))</f>
        <v/>
      </c>
      <c r="D757" s="18" t="str">
        <f aca="false">IF(B757="","",IFERROR(INDEX(Inventario!$C$7:$C$46,MATCH(B757,Inventario!$A$7:$A$46,0)),""))</f>
        <v/>
      </c>
      <c r="E757" s="19"/>
      <c r="F757" s="19"/>
      <c r="G757" s="20" t="str">
        <f aca="false">IF(OR(E757="",F757=""),IF(B757="","",IF(A757="","",8)),F757-E757)</f>
        <v/>
      </c>
      <c r="H757" s="14"/>
      <c r="I757" s="12"/>
      <c r="J757" s="14"/>
      <c r="K757" s="20" t="str">
        <f aca="false">IF(OR(J757="",N(G757)=0),"",J757/G757)</f>
        <v/>
      </c>
      <c r="L757" s="12"/>
      <c r="M757" s="12"/>
      <c r="N757" s="12"/>
    </row>
    <row r="758" customFormat="false" ht="15" hidden="false" customHeight="false" outlineLevel="0" collapsed="false">
      <c r="A758" s="16"/>
      <c r="B758" s="12"/>
      <c r="C758" s="18" t="str">
        <f aca="false">IF(B758="","",IFERROR(INDEX(Inventario!$B$7:$B$46,MATCH(B758,Inventario!$A$7:$A$46,0)),"Clave no existe"))</f>
        <v/>
      </c>
      <c r="D758" s="18" t="str">
        <f aca="false">IF(B758="","",IFERROR(INDEX(Inventario!$C$7:$C$46,MATCH(B758,Inventario!$A$7:$A$46,0)),""))</f>
        <v/>
      </c>
      <c r="E758" s="19"/>
      <c r="F758" s="19"/>
      <c r="G758" s="20" t="str">
        <f aca="false">IF(OR(E758="",F758=""),IF(B758="","",IF(A758="","",8)),F758-E758)</f>
        <v/>
      </c>
      <c r="H758" s="14"/>
      <c r="I758" s="12"/>
      <c r="J758" s="14"/>
      <c r="K758" s="20" t="str">
        <f aca="false">IF(OR(J758="",N(G758)=0),"",J758/G758)</f>
        <v/>
      </c>
      <c r="L758" s="12"/>
      <c r="M758" s="12"/>
      <c r="N758" s="12"/>
    </row>
    <row r="759" customFormat="false" ht="15" hidden="false" customHeight="false" outlineLevel="0" collapsed="false">
      <c r="A759" s="16"/>
      <c r="B759" s="12"/>
      <c r="C759" s="18" t="str">
        <f aca="false">IF(B759="","",IFERROR(INDEX(Inventario!$B$7:$B$46,MATCH(B759,Inventario!$A$7:$A$46,0)),"Clave no existe"))</f>
        <v/>
      </c>
      <c r="D759" s="18" t="str">
        <f aca="false">IF(B759="","",IFERROR(INDEX(Inventario!$C$7:$C$46,MATCH(B759,Inventario!$A$7:$A$46,0)),""))</f>
        <v/>
      </c>
      <c r="E759" s="19"/>
      <c r="F759" s="19"/>
      <c r="G759" s="20" t="str">
        <f aca="false">IF(OR(E759="",F759=""),IF(B759="","",IF(A759="","",8)),F759-E759)</f>
        <v/>
      </c>
      <c r="H759" s="14"/>
      <c r="I759" s="12"/>
      <c r="J759" s="14"/>
      <c r="K759" s="20" t="str">
        <f aca="false">IF(OR(J759="",N(G759)=0),"",J759/G759)</f>
        <v/>
      </c>
      <c r="L759" s="12"/>
      <c r="M759" s="12"/>
      <c r="N759" s="12"/>
    </row>
    <row r="760" customFormat="false" ht="15" hidden="false" customHeight="false" outlineLevel="0" collapsed="false">
      <c r="A760" s="16"/>
      <c r="B760" s="12"/>
      <c r="C760" s="18" t="str">
        <f aca="false">IF(B760="","",IFERROR(INDEX(Inventario!$B$7:$B$46,MATCH(B760,Inventario!$A$7:$A$46,0)),"Clave no existe"))</f>
        <v/>
      </c>
      <c r="D760" s="18" t="str">
        <f aca="false">IF(B760="","",IFERROR(INDEX(Inventario!$C$7:$C$46,MATCH(B760,Inventario!$A$7:$A$46,0)),""))</f>
        <v/>
      </c>
      <c r="E760" s="19"/>
      <c r="F760" s="19"/>
      <c r="G760" s="20" t="str">
        <f aca="false">IF(OR(E760="",F760=""),IF(B760="","",IF(A760="","",8)),F760-E760)</f>
        <v/>
      </c>
      <c r="H760" s="14"/>
      <c r="I760" s="12"/>
      <c r="J760" s="14"/>
      <c r="K760" s="20" t="str">
        <f aca="false">IF(OR(J760="",N(G760)=0),"",J760/G760)</f>
        <v/>
      </c>
      <c r="L760" s="12"/>
      <c r="M760" s="12"/>
      <c r="N760" s="12"/>
    </row>
    <row r="761" customFormat="false" ht="15" hidden="false" customHeight="false" outlineLevel="0" collapsed="false">
      <c r="A761" s="16"/>
      <c r="B761" s="12"/>
      <c r="C761" s="18" t="str">
        <f aca="false">IF(B761="","",IFERROR(INDEX(Inventario!$B$7:$B$46,MATCH(B761,Inventario!$A$7:$A$46,0)),"Clave no existe"))</f>
        <v/>
      </c>
      <c r="D761" s="18" t="str">
        <f aca="false">IF(B761="","",IFERROR(INDEX(Inventario!$C$7:$C$46,MATCH(B761,Inventario!$A$7:$A$46,0)),""))</f>
        <v/>
      </c>
      <c r="E761" s="19"/>
      <c r="F761" s="19"/>
      <c r="G761" s="20" t="str">
        <f aca="false">IF(OR(E761="",F761=""),IF(B761="","",IF(A761="","",8)),F761-E761)</f>
        <v/>
      </c>
      <c r="H761" s="14"/>
      <c r="I761" s="12"/>
      <c r="J761" s="14"/>
      <c r="K761" s="20" t="str">
        <f aca="false">IF(OR(J761="",N(G761)=0),"",J761/G761)</f>
        <v/>
      </c>
      <c r="L761" s="12"/>
      <c r="M761" s="12"/>
      <c r="N761" s="12"/>
    </row>
    <row r="762" customFormat="false" ht="15" hidden="false" customHeight="false" outlineLevel="0" collapsed="false">
      <c r="A762" s="16"/>
      <c r="B762" s="12"/>
      <c r="C762" s="18" t="str">
        <f aca="false">IF(B762="","",IFERROR(INDEX(Inventario!$B$7:$B$46,MATCH(B762,Inventario!$A$7:$A$46,0)),"Clave no existe"))</f>
        <v/>
      </c>
      <c r="D762" s="18" t="str">
        <f aca="false">IF(B762="","",IFERROR(INDEX(Inventario!$C$7:$C$46,MATCH(B762,Inventario!$A$7:$A$46,0)),""))</f>
        <v/>
      </c>
      <c r="E762" s="19"/>
      <c r="F762" s="19"/>
      <c r="G762" s="20" t="str">
        <f aca="false">IF(OR(E762="",F762=""),IF(B762="","",IF(A762="","",8)),F762-E762)</f>
        <v/>
      </c>
      <c r="H762" s="14"/>
      <c r="I762" s="12"/>
      <c r="J762" s="14"/>
      <c r="K762" s="20" t="str">
        <f aca="false">IF(OR(J762="",N(G762)=0),"",J762/G762)</f>
        <v/>
      </c>
      <c r="L762" s="12"/>
      <c r="M762" s="12"/>
      <c r="N762" s="12"/>
    </row>
    <row r="763" customFormat="false" ht="15" hidden="false" customHeight="false" outlineLevel="0" collapsed="false">
      <c r="A763" s="16"/>
      <c r="B763" s="12"/>
      <c r="C763" s="18" t="str">
        <f aca="false">IF(B763="","",IFERROR(INDEX(Inventario!$B$7:$B$46,MATCH(B763,Inventario!$A$7:$A$46,0)),"Clave no existe"))</f>
        <v/>
      </c>
      <c r="D763" s="18" t="str">
        <f aca="false">IF(B763="","",IFERROR(INDEX(Inventario!$C$7:$C$46,MATCH(B763,Inventario!$A$7:$A$46,0)),""))</f>
        <v/>
      </c>
      <c r="E763" s="19"/>
      <c r="F763" s="19"/>
      <c r="G763" s="20" t="str">
        <f aca="false">IF(OR(E763="",F763=""),IF(B763="","",IF(A763="","",8)),F763-E763)</f>
        <v/>
      </c>
      <c r="H763" s="14"/>
      <c r="I763" s="12"/>
      <c r="J763" s="14"/>
      <c r="K763" s="20" t="str">
        <f aca="false">IF(OR(J763="",N(G763)=0),"",J763/G763)</f>
        <v/>
      </c>
      <c r="L763" s="12"/>
      <c r="M763" s="12"/>
      <c r="N763" s="12"/>
    </row>
    <row r="764" customFormat="false" ht="15" hidden="false" customHeight="false" outlineLevel="0" collapsed="false">
      <c r="A764" s="16"/>
      <c r="B764" s="12"/>
      <c r="C764" s="18" t="str">
        <f aca="false">IF(B764="","",IFERROR(INDEX(Inventario!$B$7:$B$46,MATCH(B764,Inventario!$A$7:$A$46,0)),"Clave no existe"))</f>
        <v/>
      </c>
      <c r="D764" s="18" t="str">
        <f aca="false">IF(B764="","",IFERROR(INDEX(Inventario!$C$7:$C$46,MATCH(B764,Inventario!$A$7:$A$46,0)),""))</f>
        <v/>
      </c>
      <c r="E764" s="19"/>
      <c r="F764" s="19"/>
      <c r="G764" s="20" t="str">
        <f aca="false">IF(OR(E764="",F764=""),IF(B764="","",IF(A764="","",8)),F764-E764)</f>
        <v/>
      </c>
      <c r="H764" s="14"/>
      <c r="I764" s="12"/>
      <c r="J764" s="14"/>
      <c r="K764" s="20" t="str">
        <f aca="false">IF(OR(J764="",N(G764)=0),"",J764/G764)</f>
        <v/>
      </c>
      <c r="L764" s="12"/>
      <c r="M764" s="12"/>
      <c r="N764" s="12"/>
    </row>
    <row r="765" customFormat="false" ht="15" hidden="false" customHeight="false" outlineLevel="0" collapsed="false">
      <c r="A765" s="16"/>
      <c r="B765" s="12"/>
      <c r="C765" s="18" t="str">
        <f aca="false">IF(B765="","",IFERROR(INDEX(Inventario!$B$7:$B$46,MATCH(B765,Inventario!$A$7:$A$46,0)),"Clave no existe"))</f>
        <v/>
      </c>
      <c r="D765" s="18" t="str">
        <f aca="false">IF(B765="","",IFERROR(INDEX(Inventario!$C$7:$C$46,MATCH(B765,Inventario!$A$7:$A$46,0)),""))</f>
        <v/>
      </c>
      <c r="E765" s="19"/>
      <c r="F765" s="19"/>
      <c r="G765" s="20" t="str">
        <f aca="false">IF(OR(E765="",F765=""),IF(B765="","",IF(A765="","",8)),F765-E765)</f>
        <v/>
      </c>
      <c r="H765" s="14"/>
      <c r="I765" s="12"/>
      <c r="J765" s="14"/>
      <c r="K765" s="20" t="str">
        <f aca="false">IF(OR(J765="",N(G765)=0),"",J765/G765)</f>
        <v/>
      </c>
      <c r="L765" s="12"/>
      <c r="M765" s="12"/>
      <c r="N765" s="12"/>
    </row>
    <row r="766" customFormat="false" ht="15" hidden="false" customHeight="false" outlineLevel="0" collapsed="false">
      <c r="A766" s="16"/>
      <c r="B766" s="12"/>
      <c r="C766" s="18" t="str">
        <f aca="false">IF(B766="","",IFERROR(INDEX(Inventario!$B$7:$B$46,MATCH(B766,Inventario!$A$7:$A$46,0)),"Clave no existe"))</f>
        <v/>
      </c>
      <c r="D766" s="18" t="str">
        <f aca="false">IF(B766="","",IFERROR(INDEX(Inventario!$C$7:$C$46,MATCH(B766,Inventario!$A$7:$A$46,0)),""))</f>
        <v/>
      </c>
      <c r="E766" s="19"/>
      <c r="F766" s="19"/>
      <c r="G766" s="20" t="str">
        <f aca="false">IF(OR(E766="",F766=""),IF(B766="","",IF(A766="","",8)),F766-E766)</f>
        <v/>
      </c>
      <c r="H766" s="14"/>
      <c r="I766" s="12"/>
      <c r="J766" s="14"/>
      <c r="K766" s="20" t="str">
        <f aca="false">IF(OR(J766="",N(G766)=0),"",J766/G766)</f>
        <v/>
      </c>
      <c r="L766" s="12"/>
      <c r="M766" s="12"/>
      <c r="N766" s="12"/>
    </row>
    <row r="767" customFormat="false" ht="15" hidden="false" customHeight="false" outlineLevel="0" collapsed="false">
      <c r="A767" s="16"/>
      <c r="B767" s="12"/>
      <c r="C767" s="18" t="str">
        <f aca="false">IF(B767="","",IFERROR(INDEX(Inventario!$B$7:$B$46,MATCH(B767,Inventario!$A$7:$A$46,0)),"Clave no existe"))</f>
        <v/>
      </c>
      <c r="D767" s="18" t="str">
        <f aca="false">IF(B767="","",IFERROR(INDEX(Inventario!$C$7:$C$46,MATCH(B767,Inventario!$A$7:$A$46,0)),""))</f>
        <v/>
      </c>
      <c r="E767" s="19"/>
      <c r="F767" s="19"/>
      <c r="G767" s="20" t="str">
        <f aca="false">IF(OR(E767="",F767=""),IF(B767="","",IF(A767="","",8)),F767-E767)</f>
        <v/>
      </c>
      <c r="H767" s="14"/>
      <c r="I767" s="12"/>
      <c r="J767" s="14"/>
      <c r="K767" s="20" t="str">
        <f aca="false">IF(OR(J767="",N(G767)=0),"",J767/G767)</f>
        <v/>
      </c>
      <c r="L767" s="12"/>
      <c r="M767" s="12"/>
      <c r="N767" s="12"/>
    </row>
    <row r="768" customFormat="false" ht="15" hidden="false" customHeight="false" outlineLevel="0" collapsed="false">
      <c r="A768" s="16"/>
      <c r="B768" s="12"/>
      <c r="C768" s="18" t="str">
        <f aca="false">IF(B768="","",IFERROR(INDEX(Inventario!$B$7:$B$46,MATCH(B768,Inventario!$A$7:$A$46,0)),"Clave no existe"))</f>
        <v/>
      </c>
      <c r="D768" s="18" t="str">
        <f aca="false">IF(B768="","",IFERROR(INDEX(Inventario!$C$7:$C$46,MATCH(B768,Inventario!$A$7:$A$46,0)),""))</f>
        <v/>
      </c>
      <c r="E768" s="19"/>
      <c r="F768" s="19"/>
      <c r="G768" s="20" t="str">
        <f aca="false">IF(OR(E768="",F768=""),IF(B768="","",IF(A768="","",8)),F768-E768)</f>
        <v/>
      </c>
      <c r="H768" s="14"/>
      <c r="I768" s="12"/>
      <c r="J768" s="14"/>
      <c r="K768" s="20" t="str">
        <f aca="false">IF(OR(J768="",N(G768)=0),"",J768/G768)</f>
        <v/>
      </c>
      <c r="L768" s="12"/>
      <c r="M768" s="12"/>
      <c r="N768" s="12"/>
    </row>
    <row r="769" customFormat="false" ht="15" hidden="false" customHeight="false" outlineLevel="0" collapsed="false">
      <c r="A769" s="16"/>
      <c r="B769" s="12"/>
      <c r="C769" s="18" t="str">
        <f aca="false">IF(B769="","",IFERROR(INDEX(Inventario!$B$7:$B$46,MATCH(B769,Inventario!$A$7:$A$46,0)),"Clave no existe"))</f>
        <v/>
      </c>
      <c r="D769" s="18" t="str">
        <f aca="false">IF(B769="","",IFERROR(INDEX(Inventario!$C$7:$C$46,MATCH(B769,Inventario!$A$7:$A$46,0)),""))</f>
        <v/>
      </c>
      <c r="E769" s="19"/>
      <c r="F769" s="19"/>
      <c r="G769" s="20" t="str">
        <f aca="false">IF(OR(E769="",F769=""),IF(B769="","",IF(A769="","",8)),F769-E769)</f>
        <v/>
      </c>
      <c r="H769" s="14"/>
      <c r="I769" s="12"/>
      <c r="J769" s="14"/>
      <c r="K769" s="20" t="str">
        <f aca="false">IF(OR(J769="",N(G769)=0),"",J769/G769)</f>
        <v/>
      </c>
      <c r="L769" s="12"/>
      <c r="M769" s="12"/>
      <c r="N769" s="12"/>
    </row>
    <row r="770" customFormat="false" ht="15" hidden="false" customHeight="false" outlineLevel="0" collapsed="false">
      <c r="A770" s="16"/>
      <c r="B770" s="12"/>
      <c r="C770" s="18" t="str">
        <f aca="false">IF(B770="","",IFERROR(INDEX(Inventario!$B$7:$B$46,MATCH(B770,Inventario!$A$7:$A$46,0)),"Clave no existe"))</f>
        <v/>
      </c>
      <c r="D770" s="18" t="str">
        <f aca="false">IF(B770="","",IFERROR(INDEX(Inventario!$C$7:$C$46,MATCH(B770,Inventario!$A$7:$A$46,0)),""))</f>
        <v/>
      </c>
      <c r="E770" s="19"/>
      <c r="F770" s="19"/>
      <c r="G770" s="20" t="str">
        <f aca="false">IF(OR(E770="",F770=""),IF(B770="","",IF(A770="","",8)),F770-E770)</f>
        <v/>
      </c>
      <c r="H770" s="14"/>
      <c r="I770" s="12"/>
      <c r="J770" s="14"/>
      <c r="K770" s="20" t="str">
        <f aca="false">IF(OR(J770="",N(G770)=0),"",J770/G770)</f>
        <v/>
      </c>
      <c r="L770" s="12"/>
      <c r="M770" s="12"/>
      <c r="N770" s="12"/>
    </row>
    <row r="771" customFormat="false" ht="15" hidden="false" customHeight="false" outlineLevel="0" collapsed="false">
      <c r="A771" s="16"/>
      <c r="B771" s="12"/>
      <c r="C771" s="18" t="str">
        <f aca="false">IF(B771="","",IFERROR(INDEX(Inventario!$B$7:$B$46,MATCH(B771,Inventario!$A$7:$A$46,0)),"Clave no existe"))</f>
        <v/>
      </c>
      <c r="D771" s="18" t="str">
        <f aca="false">IF(B771="","",IFERROR(INDEX(Inventario!$C$7:$C$46,MATCH(B771,Inventario!$A$7:$A$46,0)),""))</f>
        <v/>
      </c>
      <c r="E771" s="19"/>
      <c r="F771" s="19"/>
      <c r="G771" s="20" t="str">
        <f aca="false">IF(OR(E771="",F771=""),IF(B771="","",IF(A771="","",8)),F771-E771)</f>
        <v/>
      </c>
      <c r="H771" s="14"/>
      <c r="I771" s="12"/>
      <c r="J771" s="14"/>
      <c r="K771" s="20" t="str">
        <f aca="false">IF(OR(J771="",N(G771)=0),"",J771/G771)</f>
        <v/>
      </c>
      <c r="L771" s="12"/>
      <c r="M771" s="12"/>
      <c r="N771" s="12"/>
    </row>
    <row r="772" customFormat="false" ht="15" hidden="false" customHeight="false" outlineLevel="0" collapsed="false">
      <c r="A772" s="16"/>
      <c r="B772" s="12"/>
      <c r="C772" s="18" t="str">
        <f aca="false">IF(B772="","",IFERROR(INDEX(Inventario!$B$7:$B$46,MATCH(B772,Inventario!$A$7:$A$46,0)),"Clave no existe"))</f>
        <v/>
      </c>
      <c r="D772" s="18" t="str">
        <f aca="false">IF(B772="","",IFERROR(INDEX(Inventario!$C$7:$C$46,MATCH(B772,Inventario!$A$7:$A$46,0)),""))</f>
        <v/>
      </c>
      <c r="E772" s="19"/>
      <c r="F772" s="19"/>
      <c r="G772" s="20" t="str">
        <f aca="false">IF(OR(E772="",F772=""),IF(B772="","",IF(A772="","",8)),F772-E772)</f>
        <v/>
      </c>
      <c r="H772" s="14"/>
      <c r="I772" s="12"/>
      <c r="J772" s="14"/>
      <c r="K772" s="20" t="str">
        <f aca="false">IF(OR(J772="",N(G772)=0),"",J772/G772)</f>
        <v/>
      </c>
      <c r="L772" s="12"/>
      <c r="M772" s="12"/>
      <c r="N772" s="12"/>
    </row>
    <row r="773" customFormat="false" ht="15" hidden="false" customHeight="false" outlineLevel="0" collapsed="false">
      <c r="A773" s="16"/>
      <c r="B773" s="12"/>
      <c r="C773" s="18" t="str">
        <f aca="false">IF(B773="","",IFERROR(INDEX(Inventario!$B$7:$B$46,MATCH(B773,Inventario!$A$7:$A$46,0)),"Clave no existe"))</f>
        <v/>
      </c>
      <c r="D773" s="18" t="str">
        <f aca="false">IF(B773="","",IFERROR(INDEX(Inventario!$C$7:$C$46,MATCH(B773,Inventario!$A$7:$A$46,0)),""))</f>
        <v/>
      </c>
      <c r="E773" s="19"/>
      <c r="F773" s="19"/>
      <c r="G773" s="20" t="str">
        <f aca="false">IF(OR(E773="",F773=""),IF(B773="","",IF(A773="","",8)),F773-E773)</f>
        <v/>
      </c>
      <c r="H773" s="14"/>
      <c r="I773" s="12"/>
      <c r="J773" s="14"/>
      <c r="K773" s="20" t="str">
        <f aca="false">IF(OR(J773="",N(G773)=0),"",J773/G773)</f>
        <v/>
      </c>
      <c r="L773" s="12"/>
      <c r="M773" s="12"/>
      <c r="N773" s="12"/>
    </row>
    <row r="774" customFormat="false" ht="15" hidden="false" customHeight="false" outlineLevel="0" collapsed="false">
      <c r="A774" s="16"/>
      <c r="B774" s="12"/>
      <c r="C774" s="18" t="str">
        <f aca="false">IF(B774="","",IFERROR(INDEX(Inventario!$B$7:$B$46,MATCH(B774,Inventario!$A$7:$A$46,0)),"Clave no existe"))</f>
        <v/>
      </c>
      <c r="D774" s="18" t="str">
        <f aca="false">IF(B774="","",IFERROR(INDEX(Inventario!$C$7:$C$46,MATCH(B774,Inventario!$A$7:$A$46,0)),""))</f>
        <v/>
      </c>
      <c r="E774" s="19"/>
      <c r="F774" s="19"/>
      <c r="G774" s="20" t="str">
        <f aca="false">IF(OR(E774="",F774=""),IF(B774="","",IF(A774="","",8)),F774-E774)</f>
        <v/>
      </c>
      <c r="H774" s="14"/>
      <c r="I774" s="12"/>
      <c r="J774" s="14"/>
      <c r="K774" s="20" t="str">
        <f aca="false">IF(OR(J774="",N(G774)=0),"",J774/G774)</f>
        <v/>
      </c>
      <c r="L774" s="12"/>
      <c r="M774" s="12"/>
      <c r="N774" s="12"/>
    </row>
    <row r="775" customFormat="false" ht="15" hidden="false" customHeight="false" outlineLevel="0" collapsed="false">
      <c r="A775" s="16"/>
      <c r="B775" s="12"/>
      <c r="C775" s="18" t="str">
        <f aca="false">IF(B775="","",IFERROR(INDEX(Inventario!$B$7:$B$46,MATCH(B775,Inventario!$A$7:$A$46,0)),"Clave no existe"))</f>
        <v/>
      </c>
      <c r="D775" s="18" t="str">
        <f aca="false">IF(B775="","",IFERROR(INDEX(Inventario!$C$7:$C$46,MATCH(B775,Inventario!$A$7:$A$46,0)),""))</f>
        <v/>
      </c>
      <c r="E775" s="19"/>
      <c r="F775" s="19"/>
      <c r="G775" s="20" t="str">
        <f aca="false">IF(OR(E775="",F775=""),IF(B775="","",IF(A775="","",8)),F775-E775)</f>
        <v/>
      </c>
      <c r="H775" s="14"/>
      <c r="I775" s="12"/>
      <c r="J775" s="14"/>
      <c r="K775" s="20" t="str">
        <f aca="false">IF(OR(J775="",N(G775)=0),"",J775/G775)</f>
        <v/>
      </c>
      <c r="L775" s="12"/>
      <c r="M775" s="12"/>
      <c r="N775" s="12"/>
    </row>
    <row r="776" customFormat="false" ht="15" hidden="false" customHeight="false" outlineLevel="0" collapsed="false">
      <c r="A776" s="16"/>
      <c r="B776" s="12"/>
      <c r="C776" s="18" t="str">
        <f aca="false">IF(B776="","",IFERROR(INDEX(Inventario!$B$7:$B$46,MATCH(B776,Inventario!$A$7:$A$46,0)),"Clave no existe"))</f>
        <v/>
      </c>
      <c r="D776" s="18" t="str">
        <f aca="false">IF(B776="","",IFERROR(INDEX(Inventario!$C$7:$C$46,MATCH(B776,Inventario!$A$7:$A$46,0)),""))</f>
        <v/>
      </c>
      <c r="E776" s="19"/>
      <c r="F776" s="19"/>
      <c r="G776" s="20" t="str">
        <f aca="false">IF(OR(E776="",F776=""),IF(B776="","",IF(A776="","",8)),F776-E776)</f>
        <v/>
      </c>
      <c r="H776" s="14"/>
      <c r="I776" s="12"/>
      <c r="J776" s="14"/>
      <c r="K776" s="20" t="str">
        <f aca="false">IF(OR(J776="",N(G776)=0),"",J776/G776)</f>
        <v/>
      </c>
      <c r="L776" s="12"/>
      <c r="M776" s="12"/>
      <c r="N776" s="12"/>
    </row>
    <row r="777" customFormat="false" ht="15" hidden="false" customHeight="false" outlineLevel="0" collapsed="false">
      <c r="A777" s="16"/>
      <c r="B777" s="12"/>
      <c r="C777" s="18" t="str">
        <f aca="false">IF(B777="","",IFERROR(INDEX(Inventario!$B$7:$B$46,MATCH(B777,Inventario!$A$7:$A$46,0)),"Clave no existe"))</f>
        <v/>
      </c>
      <c r="D777" s="18" t="str">
        <f aca="false">IF(B777="","",IFERROR(INDEX(Inventario!$C$7:$C$46,MATCH(B777,Inventario!$A$7:$A$46,0)),""))</f>
        <v/>
      </c>
      <c r="E777" s="19"/>
      <c r="F777" s="19"/>
      <c r="G777" s="20" t="str">
        <f aca="false">IF(OR(E777="",F777=""),IF(B777="","",IF(A777="","",8)),F777-E777)</f>
        <v/>
      </c>
      <c r="H777" s="14"/>
      <c r="I777" s="12"/>
      <c r="J777" s="14"/>
      <c r="K777" s="20" t="str">
        <f aca="false">IF(OR(J777="",N(G777)=0),"",J777/G777)</f>
        <v/>
      </c>
      <c r="L777" s="12"/>
      <c r="M777" s="12"/>
      <c r="N777" s="12"/>
    </row>
    <row r="778" customFormat="false" ht="15" hidden="false" customHeight="false" outlineLevel="0" collapsed="false">
      <c r="A778" s="16"/>
      <c r="B778" s="12"/>
      <c r="C778" s="18" t="str">
        <f aca="false">IF(B778="","",IFERROR(INDEX(Inventario!$B$7:$B$46,MATCH(B778,Inventario!$A$7:$A$46,0)),"Clave no existe"))</f>
        <v/>
      </c>
      <c r="D778" s="18" t="str">
        <f aca="false">IF(B778="","",IFERROR(INDEX(Inventario!$C$7:$C$46,MATCH(B778,Inventario!$A$7:$A$46,0)),""))</f>
        <v/>
      </c>
      <c r="E778" s="19"/>
      <c r="F778" s="19"/>
      <c r="G778" s="20" t="str">
        <f aca="false">IF(OR(E778="",F778=""),IF(B778="","",IF(A778="","",8)),F778-E778)</f>
        <v/>
      </c>
      <c r="H778" s="14"/>
      <c r="I778" s="12"/>
      <c r="J778" s="14"/>
      <c r="K778" s="20" t="str">
        <f aca="false">IF(OR(J778="",N(G778)=0),"",J778/G778)</f>
        <v/>
      </c>
      <c r="L778" s="12"/>
      <c r="M778" s="12"/>
      <c r="N778" s="12"/>
    </row>
    <row r="779" customFormat="false" ht="15" hidden="false" customHeight="false" outlineLevel="0" collapsed="false">
      <c r="A779" s="16"/>
      <c r="B779" s="12"/>
      <c r="C779" s="18" t="str">
        <f aca="false">IF(B779="","",IFERROR(INDEX(Inventario!$B$7:$B$46,MATCH(B779,Inventario!$A$7:$A$46,0)),"Clave no existe"))</f>
        <v/>
      </c>
      <c r="D779" s="18" t="str">
        <f aca="false">IF(B779="","",IFERROR(INDEX(Inventario!$C$7:$C$46,MATCH(B779,Inventario!$A$7:$A$46,0)),""))</f>
        <v/>
      </c>
      <c r="E779" s="19"/>
      <c r="F779" s="19"/>
      <c r="G779" s="20" t="str">
        <f aca="false">IF(OR(E779="",F779=""),IF(B779="","",IF(A779="","",8)),F779-E779)</f>
        <v/>
      </c>
      <c r="H779" s="14"/>
      <c r="I779" s="12"/>
      <c r="J779" s="14"/>
      <c r="K779" s="20" t="str">
        <f aca="false">IF(OR(J779="",N(G779)=0),"",J779/G779)</f>
        <v/>
      </c>
      <c r="L779" s="12"/>
      <c r="M779" s="12"/>
      <c r="N779" s="12"/>
    </row>
    <row r="780" customFormat="false" ht="15" hidden="false" customHeight="false" outlineLevel="0" collapsed="false">
      <c r="A780" s="16"/>
      <c r="B780" s="12"/>
      <c r="C780" s="18" t="str">
        <f aca="false">IF(B780="","",IFERROR(INDEX(Inventario!$B$7:$B$46,MATCH(B780,Inventario!$A$7:$A$46,0)),"Clave no existe"))</f>
        <v/>
      </c>
      <c r="D780" s="18" t="str">
        <f aca="false">IF(B780="","",IFERROR(INDEX(Inventario!$C$7:$C$46,MATCH(B780,Inventario!$A$7:$A$46,0)),""))</f>
        <v/>
      </c>
      <c r="E780" s="19"/>
      <c r="F780" s="19"/>
      <c r="G780" s="20" t="str">
        <f aca="false">IF(OR(E780="",F780=""),IF(B780="","",IF(A780="","",8)),F780-E780)</f>
        <v/>
      </c>
      <c r="H780" s="14"/>
      <c r="I780" s="12"/>
      <c r="J780" s="14"/>
      <c r="K780" s="20" t="str">
        <f aca="false">IF(OR(J780="",N(G780)=0),"",J780/G780)</f>
        <v/>
      </c>
      <c r="L780" s="12"/>
      <c r="M780" s="12"/>
      <c r="N780" s="12"/>
    </row>
    <row r="781" customFormat="false" ht="15" hidden="false" customHeight="false" outlineLevel="0" collapsed="false">
      <c r="A781" s="16"/>
      <c r="B781" s="12"/>
      <c r="C781" s="18" t="str">
        <f aca="false">IF(B781="","",IFERROR(INDEX(Inventario!$B$7:$B$46,MATCH(B781,Inventario!$A$7:$A$46,0)),"Clave no existe"))</f>
        <v/>
      </c>
      <c r="D781" s="18" t="str">
        <f aca="false">IF(B781="","",IFERROR(INDEX(Inventario!$C$7:$C$46,MATCH(B781,Inventario!$A$7:$A$46,0)),""))</f>
        <v/>
      </c>
      <c r="E781" s="19"/>
      <c r="F781" s="19"/>
      <c r="G781" s="20" t="str">
        <f aca="false">IF(OR(E781="",F781=""),IF(B781="","",IF(A781="","",8)),F781-E781)</f>
        <v/>
      </c>
      <c r="H781" s="14"/>
      <c r="I781" s="12"/>
      <c r="J781" s="14"/>
      <c r="K781" s="20" t="str">
        <f aca="false">IF(OR(J781="",N(G781)=0),"",J781/G781)</f>
        <v/>
      </c>
      <c r="L781" s="12"/>
      <c r="M781" s="12"/>
      <c r="N781" s="12"/>
    </row>
    <row r="782" customFormat="false" ht="15" hidden="false" customHeight="false" outlineLevel="0" collapsed="false">
      <c r="A782" s="16"/>
      <c r="B782" s="12"/>
      <c r="C782" s="18" t="str">
        <f aca="false">IF(B782="","",IFERROR(INDEX(Inventario!$B$7:$B$46,MATCH(B782,Inventario!$A$7:$A$46,0)),"Clave no existe"))</f>
        <v/>
      </c>
      <c r="D782" s="18" t="str">
        <f aca="false">IF(B782="","",IFERROR(INDEX(Inventario!$C$7:$C$46,MATCH(B782,Inventario!$A$7:$A$46,0)),""))</f>
        <v/>
      </c>
      <c r="E782" s="19"/>
      <c r="F782" s="19"/>
      <c r="G782" s="20" t="str">
        <f aca="false">IF(OR(E782="",F782=""),IF(B782="","",IF(A782="","",8)),F782-E782)</f>
        <v/>
      </c>
      <c r="H782" s="14"/>
      <c r="I782" s="12"/>
      <c r="J782" s="14"/>
      <c r="K782" s="20" t="str">
        <f aca="false">IF(OR(J782="",N(G782)=0),"",J782/G782)</f>
        <v/>
      </c>
      <c r="L782" s="12"/>
      <c r="M782" s="12"/>
      <c r="N782" s="12"/>
    </row>
    <row r="783" customFormat="false" ht="15" hidden="false" customHeight="false" outlineLevel="0" collapsed="false">
      <c r="A783" s="16"/>
      <c r="B783" s="12"/>
      <c r="C783" s="18" t="str">
        <f aca="false">IF(B783="","",IFERROR(INDEX(Inventario!$B$7:$B$46,MATCH(B783,Inventario!$A$7:$A$46,0)),"Clave no existe"))</f>
        <v/>
      </c>
      <c r="D783" s="18" t="str">
        <f aca="false">IF(B783="","",IFERROR(INDEX(Inventario!$C$7:$C$46,MATCH(B783,Inventario!$A$7:$A$46,0)),""))</f>
        <v/>
      </c>
      <c r="E783" s="19"/>
      <c r="F783" s="19"/>
      <c r="G783" s="20" t="str">
        <f aca="false">IF(OR(E783="",F783=""),IF(B783="","",IF(A783="","",8)),F783-E783)</f>
        <v/>
      </c>
      <c r="H783" s="14"/>
      <c r="I783" s="12"/>
      <c r="J783" s="14"/>
      <c r="K783" s="20" t="str">
        <f aca="false">IF(OR(J783="",N(G783)=0),"",J783/G783)</f>
        <v/>
      </c>
      <c r="L783" s="12"/>
      <c r="M783" s="12"/>
      <c r="N783" s="12"/>
    </row>
    <row r="784" customFormat="false" ht="15" hidden="false" customHeight="false" outlineLevel="0" collapsed="false">
      <c r="A784" s="16"/>
      <c r="B784" s="12"/>
      <c r="C784" s="18" t="str">
        <f aca="false">IF(B784="","",IFERROR(INDEX(Inventario!$B$7:$B$46,MATCH(B784,Inventario!$A$7:$A$46,0)),"Clave no existe"))</f>
        <v/>
      </c>
      <c r="D784" s="18" t="str">
        <f aca="false">IF(B784="","",IFERROR(INDEX(Inventario!$C$7:$C$46,MATCH(B784,Inventario!$A$7:$A$46,0)),""))</f>
        <v/>
      </c>
      <c r="E784" s="19"/>
      <c r="F784" s="19"/>
      <c r="G784" s="20" t="str">
        <f aca="false">IF(OR(E784="",F784=""),IF(B784="","",IF(A784="","",8)),F784-E784)</f>
        <v/>
      </c>
      <c r="H784" s="14"/>
      <c r="I784" s="12"/>
      <c r="J784" s="14"/>
      <c r="K784" s="20" t="str">
        <f aca="false">IF(OR(J784="",N(G784)=0),"",J784/G784)</f>
        <v/>
      </c>
      <c r="L784" s="12"/>
      <c r="M784" s="12"/>
      <c r="N784" s="12"/>
    </row>
    <row r="785" customFormat="false" ht="15" hidden="false" customHeight="false" outlineLevel="0" collapsed="false">
      <c r="A785" s="16"/>
      <c r="B785" s="12"/>
      <c r="C785" s="18" t="str">
        <f aca="false">IF(B785="","",IFERROR(INDEX(Inventario!$B$7:$B$46,MATCH(B785,Inventario!$A$7:$A$46,0)),"Clave no existe"))</f>
        <v/>
      </c>
      <c r="D785" s="18" t="str">
        <f aca="false">IF(B785="","",IFERROR(INDEX(Inventario!$C$7:$C$46,MATCH(B785,Inventario!$A$7:$A$46,0)),""))</f>
        <v/>
      </c>
      <c r="E785" s="19"/>
      <c r="F785" s="19"/>
      <c r="G785" s="20" t="str">
        <f aca="false">IF(OR(E785="",F785=""),IF(B785="","",IF(A785="","",8)),F785-E785)</f>
        <v/>
      </c>
      <c r="H785" s="14"/>
      <c r="I785" s="12"/>
      <c r="J785" s="14"/>
      <c r="K785" s="20" t="str">
        <f aca="false">IF(OR(J785="",N(G785)=0),"",J785/G785)</f>
        <v/>
      </c>
      <c r="L785" s="12"/>
      <c r="M785" s="12"/>
      <c r="N785" s="12"/>
    </row>
    <row r="786" customFormat="false" ht="15" hidden="false" customHeight="false" outlineLevel="0" collapsed="false">
      <c r="A786" s="16"/>
      <c r="B786" s="12"/>
      <c r="C786" s="18" t="str">
        <f aca="false">IF(B786="","",IFERROR(INDEX(Inventario!$B$7:$B$46,MATCH(B786,Inventario!$A$7:$A$46,0)),"Clave no existe"))</f>
        <v/>
      </c>
      <c r="D786" s="18" t="str">
        <f aca="false">IF(B786="","",IFERROR(INDEX(Inventario!$C$7:$C$46,MATCH(B786,Inventario!$A$7:$A$46,0)),""))</f>
        <v/>
      </c>
      <c r="E786" s="19"/>
      <c r="F786" s="19"/>
      <c r="G786" s="20" t="str">
        <f aca="false">IF(OR(E786="",F786=""),IF(B786="","",IF(A786="","",8)),F786-E786)</f>
        <v/>
      </c>
      <c r="H786" s="14"/>
      <c r="I786" s="12"/>
      <c r="J786" s="14"/>
      <c r="K786" s="20" t="str">
        <f aca="false">IF(OR(J786="",N(G786)=0),"",J786/G786)</f>
        <v/>
      </c>
      <c r="L786" s="12"/>
      <c r="M786" s="12"/>
      <c r="N786" s="12"/>
    </row>
    <row r="787" customFormat="false" ht="15" hidden="false" customHeight="false" outlineLevel="0" collapsed="false">
      <c r="A787" s="16"/>
      <c r="B787" s="12"/>
      <c r="C787" s="18" t="str">
        <f aca="false">IF(B787="","",IFERROR(INDEX(Inventario!$B$7:$B$46,MATCH(B787,Inventario!$A$7:$A$46,0)),"Clave no existe"))</f>
        <v/>
      </c>
      <c r="D787" s="18" t="str">
        <f aca="false">IF(B787="","",IFERROR(INDEX(Inventario!$C$7:$C$46,MATCH(B787,Inventario!$A$7:$A$46,0)),""))</f>
        <v/>
      </c>
      <c r="E787" s="19"/>
      <c r="F787" s="19"/>
      <c r="G787" s="20" t="str">
        <f aca="false">IF(OR(E787="",F787=""),IF(B787="","",IF(A787="","",8)),F787-E787)</f>
        <v/>
      </c>
      <c r="H787" s="14"/>
      <c r="I787" s="12"/>
      <c r="J787" s="14"/>
      <c r="K787" s="20" t="str">
        <f aca="false">IF(OR(J787="",N(G787)=0),"",J787/G787)</f>
        <v/>
      </c>
      <c r="L787" s="12"/>
      <c r="M787" s="12"/>
      <c r="N787" s="12"/>
    </row>
    <row r="788" customFormat="false" ht="15" hidden="false" customHeight="false" outlineLevel="0" collapsed="false">
      <c r="A788" s="16"/>
      <c r="B788" s="12"/>
      <c r="C788" s="18" t="str">
        <f aca="false">IF(B788="","",IFERROR(INDEX(Inventario!$B$7:$B$46,MATCH(B788,Inventario!$A$7:$A$46,0)),"Clave no existe"))</f>
        <v/>
      </c>
      <c r="D788" s="18" t="str">
        <f aca="false">IF(B788="","",IFERROR(INDEX(Inventario!$C$7:$C$46,MATCH(B788,Inventario!$A$7:$A$46,0)),""))</f>
        <v/>
      </c>
      <c r="E788" s="19"/>
      <c r="F788" s="19"/>
      <c r="G788" s="20" t="str">
        <f aca="false">IF(OR(E788="",F788=""),IF(B788="","",IF(A788="","",8)),F788-E788)</f>
        <v/>
      </c>
      <c r="H788" s="14"/>
      <c r="I788" s="12"/>
      <c r="J788" s="14"/>
      <c r="K788" s="20" t="str">
        <f aca="false">IF(OR(J788="",N(G788)=0),"",J788/G788)</f>
        <v/>
      </c>
      <c r="L788" s="12"/>
      <c r="M788" s="12"/>
      <c r="N788" s="12"/>
    </row>
    <row r="789" customFormat="false" ht="15" hidden="false" customHeight="false" outlineLevel="0" collapsed="false">
      <c r="A789" s="16"/>
      <c r="B789" s="12"/>
      <c r="C789" s="18" t="str">
        <f aca="false">IF(B789="","",IFERROR(INDEX(Inventario!$B$7:$B$46,MATCH(B789,Inventario!$A$7:$A$46,0)),"Clave no existe"))</f>
        <v/>
      </c>
      <c r="D789" s="18" t="str">
        <f aca="false">IF(B789="","",IFERROR(INDEX(Inventario!$C$7:$C$46,MATCH(B789,Inventario!$A$7:$A$46,0)),""))</f>
        <v/>
      </c>
      <c r="E789" s="19"/>
      <c r="F789" s="19"/>
      <c r="G789" s="20" t="str">
        <f aca="false">IF(OR(E789="",F789=""),IF(B789="","",IF(A789="","",8)),F789-E789)</f>
        <v/>
      </c>
      <c r="H789" s="14"/>
      <c r="I789" s="12"/>
      <c r="J789" s="14"/>
      <c r="K789" s="20" t="str">
        <f aca="false">IF(OR(J789="",N(G789)=0),"",J789/G789)</f>
        <v/>
      </c>
      <c r="L789" s="12"/>
      <c r="M789" s="12"/>
      <c r="N789" s="12"/>
    </row>
    <row r="790" customFormat="false" ht="15" hidden="false" customHeight="false" outlineLevel="0" collapsed="false">
      <c r="A790" s="16"/>
      <c r="B790" s="12"/>
      <c r="C790" s="18" t="str">
        <f aca="false">IF(B790="","",IFERROR(INDEX(Inventario!$B$7:$B$46,MATCH(B790,Inventario!$A$7:$A$46,0)),"Clave no existe"))</f>
        <v/>
      </c>
      <c r="D790" s="18" t="str">
        <f aca="false">IF(B790="","",IFERROR(INDEX(Inventario!$C$7:$C$46,MATCH(B790,Inventario!$A$7:$A$46,0)),""))</f>
        <v/>
      </c>
      <c r="E790" s="19"/>
      <c r="F790" s="19"/>
      <c r="G790" s="20" t="str">
        <f aca="false">IF(OR(E790="",F790=""),IF(B790="","",IF(A790="","",8)),F790-E790)</f>
        <v/>
      </c>
      <c r="H790" s="14"/>
      <c r="I790" s="12"/>
      <c r="J790" s="14"/>
      <c r="K790" s="20" t="str">
        <f aca="false">IF(OR(J790="",N(G790)=0),"",J790/G790)</f>
        <v/>
      </c>
      <c r="L790" s="12"/>
      <c r="M790" s="12"/>
      <c r="N790" s="12"/>
    </row>
    <row r="791" customFormat="false" ht="15" hidden="false" customHeight="false" outlineLevel="0" collapsed="false">
      <c r="A791" s="16"/>
      <c r="B791" s="12"/>
      <c r="C791" s="18" t="str">
        <f aca="false">IF(B791="","",IFERROR(INDEX(Inventario!$B$7:$B$46,MATCH(B791,Inventario!$A$7:$A$46,0)),"Clave no existe"))</f>
        <v/>
      </c>
      <c r="D791" s="18" t="str">
        <f aca="false">IF(B791="","",IFERROR(INDEX(Inventario!$C$7:$C$46,MATCH(B791,Inventario!$A$7:$A$46,0)),""))</f>
        <v/>
      </c>
      <c r="E791" s="19"/>
      <c r="F791" s="19"/>
      <c r="G791" s="20" t="str">
        <f aca="false">IF(OR(E791="",F791=""),IF(B791="","",IF(A791="","",8)),F791-E791)</f>
        <v/>
      </c>
      <c r="H791" s="14"/>
      <c r="I791" s="12"/>
      <c r="J791" s="14"/>
      <c r="K791" s="20" t="str">
        <f aca="false">IF(OR(J791="",N(G791)=0),"",J791/G791)</f>
        <v/>
      </c>
      <c r="L791" s="12"/>
      <c r="M791" s="12"/>
      <c r="N791" s="12"/>
    </row>
    <row r="792" customFormat="false" ht="15" hidden="false" customHeight="false" outlineLevel="0" collapsed="false">
      <c r="A792" s="16"/>
      <c r="B792" s="12"/>
      <c r="C792" s="18" t="str">
        <f aca="false">IF(B792="","",IFERROR(INDEX(Inventario!$B$7:$B$46,MATCH(B792,Inventario!$A$7:$A$46,0)),"Clave no existe"))</f>
        <v/>
      </c>
      <c r="D792" s="18" t="str">
        <f aca="false">IF(B792="","",IFERROR(INDEX(Inventario!$C$7:$C$46,MATCH(B792,Inventario!$A$7:$A$46,0)),""))</f>
        <v/>
      </c>
      <c r="E792" s="19"/>
      <c r="F792" s="19"/>
      <c r="G792" s="20" t="str">
        <f aca="false">IF(OR(E792="",F792=""),IF(B792="","",IF(A792="","",8)),F792-E792)</f>
        <v/>
      </c>
      <c r="H792" s="14"/>
      <c r="I792" s="12"/>
      <c r="J792" s="14"/>
      <c r="K792" s="20" t="str">
        <f aca="false">IF(OR(J792="",N(G792)=0),"",J792/G792)</f>
        <v/>
      </c>
      <c r="L792" s="12"/>
      <c r="M792" s="12"/>
      <c r="N792" s="12"/>
    </row>
    <row r="793" customFormat="false" ht="15" hidden="false" customHeight="false" outlineLevel="0" collapsed="false">
      <c r="A793" s="16"/>
      <c r="B793" s="12"/>
      <c r="C793" s="18" t="str">
        <f aca="false">IF(B793="","",IFERROR(INDEX(Inventario!$B$7:$B$46,MATCH(B793,Inventario!$A$7:$A$46,0)),"Clave no existe"))</f>
        <v/>
      </c>
      <c r="D793" s="18" t="str">
        <f aca="false">IF(B793="","",IFERROR(INDEX(Inventario!$C$7:$C$46,MATCH(B793,Inventario!$A$7:$A$46,0)),""))</f>
        <v/>
      </c>
      <c r="E793" s="19"/>
      <c r="F793" s="19"/>
      <c r="G793" s="20" t="str">
        <f aca="false">IF(OR(E793="",F793=""),IF(B793="","",IF(A793="","",8)),F793-E793)</f>
        <v/>
      </c>
      <c r="H793" s="14"/>
      <c r="I793" s="12"/>
      <c r="J793" s="14"/>
      <c r="K793" s="20" t="str">
        <f aca="false">IF(OR(J793="",N(G793)=0),"",J793/G793)</f>
        <v/>
      </c>
      <c r="L793" s="12"/>
      <c r="M793" s="12"/>
      <c r="N793" s="12"/>
    </row>
    <row r="794" customFormat="false" ht="15" hidden="false" customHeight="false" outlineLevel="0" collapsed="false">
      <c r="A794" s="16"/>
      <c r="B794" s="12"/>
      <c r="C794" s="18" t="str">
        <f aca="false">IF(B794="","",IFERROR(INDEX(Inventario!$B$7:$B$46,MATCH(B794,Inventario!$A$7:$A$46,0)),"Clave no existe"))</f>
        <v/>
      </c>
      <c r="D794" s="18" t="str">
        <f aca="false">IF(B794="","",IFERROR(INDEX(Inventario!$C$7:$C$46,MATCH(B794,Inventario!$A$7:$A$46,0)),""))</f>
        <v/>
      </c>
      <c r="E794" s="19"/>
      <c r="F794" s="19"/>
      <c r="G794" s="20" t="str">
        <f aca="false">IF(OR(E794="",F794=""),IF(B794="","",IF(A794="","",8)),F794-E794)</f>
        <v/>
      </c>
      <c r="H794" s="14"/>
      <c r="I794" s="12"/>
      <c r="J794" s="14"/>
      <c r="K794" s="20" t="str">
        <f aca="false">IF(OR(J794="",N(G794)=0),"",J794/G794)</f>
        <v/>
      </c>
      <c r="L794" s="12"/>
      <c r="M794" s="12"/>
      <c r="N794" s="12"/>
    </row>
    <row r="795" customFormat="false" ht="15" hidden="false" customHeight="false" outlineLevel="0" collapsed="false">
      <c r="A795" s="16"/>
      <c r="B795" s="12"/>
      <c r="C795" s="18" t="str">
        <f aca="false">IF(B795="","",IFERROR(INDEX(Inventario!$B$7:$B$46,MATCH(B795,Inventario!$A$7:$A$46,0)),"Clave no existe"))</f>
        <v/>
      </c>
      <c r="D795" s="18" t="str">
        <f aca="false">IF(B795="","",IFERROR(INDEX(Inventario!$C$7:$C$46,MATCH(B795,Inventario!$A$7:$A$46,0)),""))</f>
        <v/>
      </c>
      <c r="E795" s="19"/>
      <c r="F795" s="19"/>
      <c r="G795" s="20" t="str">
        <f aca="false">IF(OR(E795="",F795=""),IF(B795="","",IF(A795="","",8)),F795-E795)</f>
        <v/>
      </c>
      <c r="H795" s="14"/>
      <c r="I795" s="12"/>
      <c r="J795" s="14"/>
      <c r="K795" s="20" t="str">
        <f aca="false">IF(OR(J795="",N(G795)=0),"",J795/G795)</f>
        <v/>
      </c>
      <c r="L795" s="12"/>
      <c r="M795" s="12"/>
      <c r="N795" s="12"/>
    </row>
    <row r="796" customFormat="false" ht="15" hidden="false" customHeight="false" outlineLevel="0" collapsed="false">
      <c r="A796" s="16"/>
      <c r="B796" s="12"/>
      <c r="C796" s="18" t="str">
        <f aca="false">IF(B796="","",IFERROR(INDEX(Inventario!$B$7:$B$46,MATCH(B796,Inventario!$A$7:$A$46,0)),"Clave no existe"))</f>
        <v/>
      </c>
      <c r="D796" s="18" t="str">
        <f aca="false">IF(B796="","",IFERROR(INDEX(Inventario!$C$7:$C$46,MATCH(B796,Inventario!$A$7:$A$46,0)),""))</f>
        <v/>
      </c>
      <c r="E796" s="19"/>
      <c r="F796" s="19"/>
      <c r="G796" s="20" t="str">
        <f aca="false">IF(OR(E796="",F796=""),IF(B796="","",IF(A796="","",8)),F796-E796)</f>
        <v/>
      </c>
      <c r="H796" s="14"/>
      <c r="I796" s="12"/>
      <c r="J796" s="14"/>
      <c r="K796" s="20" t="str">
        <f aca="false">IF(OR(J796="",N(G796)=0),"",J796/G796)</f>
        <v/>
      </c>
      <c r="L796" s="12"/>
      <c r="M796" s="12"/>
      <c r="N796" s="12"/>
    </row>
    <row r="797" customFormat="false" ht="15" hidden="false" customHeight="false" outlineLevel="0" collapsed="false">
      <c r="A797" s="16"/>
      <c r="B797" s="12"/>
      <c r="C797" s="18" t="str">
        <f aca="false">IF(B797="","",IFERROR(INDEX(Inventario!$B$7:$B$46,MATCH(B797,Inventario!$A$7:$A$46,0)),"Clave no existe"))</f>
        <v/>
      </c>
      <c r="D797" s="18" t="str">
        <f aca="false">IF(B797="","",IFERROR(INDEX(Inventario!$C$7:$C$46,MATCH(B797,Inventario!$A$7:$A$46,0)),""))</f>
        <v/>
      </c>
      <c r="E797" s="19"/>
      <c r="F797" s="19"/>
      <c r="G797" s="20" t="str">
        <f aca="false">IF(OR(E797="",F797=""),IF(B797="","",IF(A797="","",8)),F797-E797)</f>
        <v/>
      </c>
      <c r="H797" s="14"/>
      <c r="I797" s="12"/>
      <c r="J797" s="14"/>
      <c r="K797" s="20" t="str">
        <f aca="false">IF(OR(J797="",N(G797)=0),"",J797/G797)</f>
        <v/>
      </c>
      <c r="L797" s="12"/>
      <c r="M797" s="12"/>
      <c r="N797" s="12"/>
    </row>
    <row r="798" customFormat="false" ht="15" hidden="false" customHeight="false" outlineLevel="0" collapsed="false">
      <c r="A798" s="16"/>
      <c r="B798" s="12"/>
      <c r="C798" s="18" t="str">
        <f aca="false">IF(B798="","",IFERROR(INDEX(Inventario!$B$7:$B$46,MATCH(B798,Inventario!$A$7:$A$46,0)),"Clave no existe"))</f>
        <v/>
      </c>
      <c r="D798" s="18" t="str">
        <f aca="false">IF(B798="","",IFERROR(INDEX(Inventario!$C$7:$C$46,MATCH(B798,Inventario!$A$7:$A$46,0)),""))</f>
        <v/>
      </c>
      <c r="E798" s="19"/>
      <c r="F798" s="19"/>
      <c r="G798" s="20" t="str">
        <f aca="false">IF(OR(E798="",F798=""),IF(B798="","",IF(A798="","",8)),F798-E798)</f>
        <v/>
      </c>
      <c r="H798" s="14"/>
      <c r="I798" s="12"/>
      <c r="J798" s="14"/>
      <c r="K798" s="20" t="str">
        <f aca="false">IF(OR(J798="",N(G798)=0),"",J798/G798)</f>
        <v/>
      </c>
      <c r="L798" s="12"/>
      <c r="M798" s="12"/>
      <c r="N798" s="12"/>
    </row>
    <row r="799" customFormat="false" ht="15" hidden="false" customHeight="false" outlineLevel="0" collapsed="false">
      <c r="A799" s="16"/>
      <c r="B799" s="12"/>
      <c r="C799" s="18" t="str">
        <f aca="false">IF(B799="","",IFERROR(INDEX(Inventario!$B$7:$B$46,MATCH(B799,Inventario!$A$7:$A$46,0)),"Clave no existe"))</f>
        <v/>
      </c>
      <c r="D799" s="18" t="str">
        <f aca="false">IF(B799="","",IFERROR(INDEX(Inventario!$C$7:$C$46,MATCH(B799,Inventario!$A$7:$A$46,0)),""))</f>
        <v/>
      </c>
      <c r="E799" s="19"/>
      <c r="F799" s="19"/>
      <c r="G799" s="20" t="str">
        <f aca="false">IF(OR(E799="",F799=""),IF(B799="","",IF(A799="","",8)),F799-E799)</f>
        <v/>
      </c>
      <c r="H799" s="14"/>
      <c r="I799" s="12"/>
      <c r="J799" s="14"/>
      <c r="K799" s="20" t="str">
        <f aca="false">IF(OR(J799="",N(G799)=0),"",J799/G799)</f>
        <v/>
      </c>
      <c r="L799" s="12"/>
      <c r="M799" s="12"/>
      <c r="N799" s="12"/>
    </row>
    <row r="800" customFormat="false" ht="15" hidden="false" customHeight="false" outlineLevel="0" collapsed="false">
      <c r="A800" s="16"/>
      <c r="B800" s="12"/>
      <c r="C800" s="18" t="str">
        <f aca="false">IF(B800="","",IFERROR(INDEX(Inventario!$B$7:$B$46,MATCH(B800,Inventario!$A$7:$A$46,0)),"Clave no existe"))</f>
        <v/>
      </c>
      <c r="D800" s="18" t="str">
        <f aca="false">IF(B800="","",IFERROR(INDEX(Inventario!$C$7:$C$46,MATCH(B800,Inventario!$A$7:$A$46,0)),""))</f>
        <v/>
      </c>
      <c r="E800" s="19"/>
      <c r="F800" s="19"/>
      <c r="G800" s="20" t="str">
        <f aca="false">IF(OR(E800="",F800=""),IF(B800="","",IF(A800="","",8)),F800-E800)</f>
        <v/>
      </c>
      <c r="H800" s="14"/>
      <c r="I800" s="12"/>
      <c r="J800" s="14"/>
      <c r="K800" s="20" t="str">
        <f aca="false">IF(OR(J800="",N(G800)=0),"",J800/G800)</f>
        <v/>
      </c>
      <c r="L800" s="12"/>
      <c r="M800" s="12"/>
      <c r="N800" s="12"/>
    </row>
    <row r="801" customFormat="false" ht="15" hidden="false" customHeight="false" outlineLevel="0" collapsed="false">
      <c r="A801" s="16"/>
      <c r="B801" s="12"/>
      <c r="C801" s="18" t="str">
        <f aca="false">IF(B801="","",IFERROR(INDEX(Inventario!$B$7:$B$46,MATCH(B801,Inventario!$A$7:$A$46,0)),"Clave no existe"))</f>
        <v/>
      </c>
      <c r="D801" s="18" t="str">
        <f aca="false">IF(B801="","",IFERROR(INDEX(Inventario!$C$7:$C$46,MATCH(B801,Inventario!$A$7:$A$46,0)),""))</f>
        <v/>
      </c>
      <c r="E801" s="19"/>
      <c r="F801" s="19"/>
      <c r="G801" s="20" t="str">
        <f aca="false">IF(OR(E801="",F801=""),IF(B801="","",IF(A801="","",8)),F801-E801)</f>
        <v/>
      </c>
      <c r="H801" s="14"/>
      <c r="I801" s="12"/>
      <c r="J801" s="14"/>
      <c r="K801" s="20" t="str">
        <f aca="false">IF(OR(J801="",N(G801)=0),"",J801/G801)</f>
        <v/>
      </c>
      <c r="L801" s="12"/>
      <c r="M801" s="12"/>
      <c r="N801" s="12"/>
    </row>
    <row r="802" customFormat="false" ht="15" hidden="false" customHeight="false" outlineLevel="0" collapsed="false">
      <c r="A802" s="16"/>
      <c r="B802" s="12"/>
      <c r="C802" s="18" t="str">
        <f aca="false">IF(B802="","",IFERROR(INDEX(Inventario!$B$7:$B$46,MATCH(B802,Inventario!$A$7:$A$46,0)),"Clave no existe"))</f>
        <v/>
      </c>
      <c r="D802" s="18" t="str">
        <f aca="false">IF(B802="","",IFERROR(INDEX(Inventario!$C$7:$C$46,MATCH(B802,Inventario!$A$7:$A$46,0)),""))</f>
        <v/>
      </c>
      <c r="E802" s="19"/>
      <c r="F802" s="19"/>
      <c r="G802" s="20" t="str">
        <f aca="false">IF(OR(E802="",F802=""),IF(B802="","",IF(A802="","",8)),F802-E802)</f>
        <v/>
      </c>
      <c r="H802" s="14"/>
      <c r="I802" s="12"/>
      <c r="J802" s="14"/>
      <c r="K802" s="20" t="str">
        <f aca="false">IF(OR(J802="",N(G802)=0),"",J802/G802)</f>
        <v/>
      </c>
      <c r="L802" s="12"/>
      <c r="M802" s="12"/>
      <c r="N802" s="12"/>
    </row>
    <row r="803" customFormat="false" ht="15" hidden="false" customHeight="false" outlineLevel="0" collapsed="false">
      <c r="A803" s="16"/>
      <c r="B803" s="12"/>
      <c r="C803" s="18" t="str">
        <f aca="false">IF(B803="","",IFERROR(INDEX(Inventario!$B$7:$B$46,MATCH(B803,Inventario!$A$7:$A$46,0)),"Clave no existe"))</f>
        <v/>
      </c>
      <c r="D803" s="18" t="str">
        <f aca="false">IF(B803="","",IFERROR(INDEX(Inventario!$C$7:$C$46,MATCH(B803,Inventario!$A$7:$A$46,0)),""))</f>
        <v/>
      </c>
      <c r="E803" s="19"/>
      <c r="F803" s="19"/>
      <c r="G803" s="20" t="str">
        <f aca="false">IF(OR(E803="",F803=""),IF(B803="","",IF(A803="","",8)),F803-E803)</f>
        <v/>
      </c>
      <c r="H803" s="14"/>
      <c r="I803" s="12"/>
      <c r="J803" s="14"/>
      <c r="K803" s="20" t="str">
        <f aca="false">IF(OR(J803="",N(G803)=0),"",J803/G803)</f>
        <v/>
      </c>
      <c r="L803" s="12"/>
      <c r="M803" s="12"/>
      <c r="N803" s="12"/>
    </row>
    <row r="804" customFormat="false" ht="15" hidden="false" customHeight="false" outlineLevel="0" collapsed="false">
      <c r="A804" s="16"/>
      <c r="B804" s="12"/>
      <c r="C804" s="18" t="str">
        <f aca="false">IF(B804="","",IFERROR(INDEX(Inventario!$B$7:$B$46,MATCH(B804,Inventario!$A$7:$A$46,0)),"Clave no existe"))</f>
        <v/>
      </c>
      <c r="D804" s="18" t="str">
        <f aca="false">IF(B804="","",IFERROR(INDEX(Inventario!$C$7:$C$46,MATCH(B804,Inventario!$A$7:$A$46,0)),""))</f>
        <v/>
      </c>
      <c r="E804" s="19"/>
      <c r="F804" s="19"/>
      <c r="G804" s="20" t="str">
        <f aca="false">IF(OR(E804="",F804=""),IF(B804="","",IF(A804="","",8)),F804-E804)</f>
        <v/>
      </c>
      <c r="H804" s="14"/>
      <c r="I804" s="12"/>
      <c r="J804" s="14"/>
      <c r="K804" s="20" t="str">
        <f aca="false">IF(OR(J804="",N(G804)=0),"",J804/G804)</f>
        <v/>
      </c>
      <c r="L804" s="12"/>
      <c r="M804" s="12"/>
      <c r="N804" s="12"/>
    </row>
    <row r="805" customFormat="false" ht="15" hidden="false" customHeight="false" outlineLevel="0" collapsed="false">
      <c r="A805" s="16"/>
      <c r="B805" s="12"/>
      <c r="C805" s="18" t="str">
        <f aca="false">IF(B805="","",IFERROR(INDEX(Inventario!$B$7:$B$46,MATCH(B805,Inventario!$A$7:$A$46,0)),"Clave no existe"))</f>
        <v/>
      </c>
      <c r="D805" s="18" t="str">
        <f aca="false">IF(B805="","",IFERROR(INDEX(Inventario!$C$7:$C$46,MATCH(B805,Inventario!$A$7:$A$46,0)),""))</f>
        <v/>
      </c>
      <c r="E805" s="19"/>
      <c r="F805" s="19"/>
      <c r="G805" s="20" t="str">
        <f aca="false">IF(OR(E805="",F805=""),IF(B805="","",IF(A805="","",8)),F805-E805)</f>
        <v/>
      </c>
      <c r="H805" s="14"/>
      <c r="I805" s="12"/>
      <c r="J805" s="14"/>
      <c r="K805" s="20" t="str">
        <f aca="false">IF(OR(J805="",N(G805)=0),"",J805/G805)</f>
        <v/>
      </c>
      <c r="L805" s="12"/>
      <c r="M805" s="12"/>
      <c r="N805" s="12"/>
    </row>
    <row r="806" customFormat="false" ht="15" hidden="false" customHeight="false" outlineLevel="0" collapsed="false">
      <c r="A806" s="16"/>
      <c r="B806" s="12"/>
      <c r="C806" s="18" t="str">
        <f aca="false">IF(B806="","",IFERROR(INDEX(Inventario!$B$7:$B$46,MATCH(B806,Inventario!$A$7:$A$46,0)),"Clave no existe"))</f>
        <v/>
      </c>
      <c r="D806" s="18" t="str">
        <f aca="false">IF(B806="","",IFERROR(INDEX(Inventario!$C$7:$C$46,MATCH(B806,Inventario!$A$7:$A$46,0)),""))</f>
        <v/>
      </c>
      <c r="E806" s="19"/>
      <c r="F806" s="19"/>
      <c r="G806" s="20" t="str">
        <f aca="false">IF(OR(E806="",F806=""),IF(B806="","",IF(A806="","",8)),F806-E806)</f>
        <v/>
      </c>
      <c r="H806" s="14"/>
      <c r="I806" s="12"/>
      <c r="J806" s="14"/>
      <c r="K806" s="20" t="str">
        <f aca="false">IF(OR(J806="",N(G806)=0),"",J806/G806)</f>
        <v/>
      </c>
      <c r="L806" s="12"/>
      <c r="M806" s="12"/>
      <c r="N806" s="12"/>
    </row>
    <row r="807" customFormat="false" ht="15" hidden="false" customHeight="false" outlineLevel="0" collapsed="false">
      <c r="A807" s="16"/>
      <c r="B807" s="12"/>
      <c r="C807" s="18" t="str">
        <f aca="false">IF(B807="","",IFERROR(INDEX(Inventario!$B$7:$B$46,MATCH(B807,Inventario!$A$7:$A$46,0)),"Clave no existe"))</f>
        <v/>
      </c>
      <c r="D807" s="18" t="str">
        <f aca="false">IF(B807="","",IFERROR(INDEX(Inventario!$C$7:$C$46,MATCH(B807,Inventario!$A$7:$A$46,0)),""))</f>
        <v/>
      </c>
      <c r="E807" s="19"/>
      <c r="F807" s="19"/>
      <c r="G807" s="20" t="str">
        <f aca="false">IF(OR(E807="",F807=""),IF(B807="","",IF(A807="","",8)),F807-E807)</f>
        <v/>
      </c>
      <c r="H807" s="14"/>
      <c r="I807" s="12"/>
      <c r="J807" s="14"/>
      <c r="K807" s="20" t="str">
        <f aca="false">IF(OR(J807="",N(G807)=0),"",J807/G807)</f>
        <v/>
      </c>
      <c r="L807" s="12"/>
      <c r="M807" s="12"/>
      <c r="N807" s="12"/>
    </row>
    <row r="808" customFormat="false" ht="15" hidden="false" customHeight="false" outlineLevel="0" collapsed="false">
      <c r="A808" s="16"/>
      <c r="B808" s="12"/>
      <c r="C808" s="18" t="str">
        <f aca="false">IF(B808="","",IFERROR(INDEX(Inventario!$B$7:$B$46,MATCH(B808,Inventario!$A$7:$A$46,0)),"Clave no existe"))</f>
        <v/>
      </c>
      <c r="D808" s="18" t="str">
        <f aca="false">IF(B808="","",IFERROR(INDEX(Inventario!$C$7:$C$46,MATCH(B808,Inventario!$A$7:$A$46,0)),""))</f>
        <v/>
      </c>
      <c r="E808" s="19"/>
      <c r="F808" s="19"/>
      <c r="G808" s="20" t="str">
        <f aca="false">IF(OR(E808="",F808=""),IF(B808="","",IF(A808="","",8)),F808-E808)</f>
        <v/>
      </c>
      <c r="H808" s="14"/>
      <c r="I808" s="12"/>
      <c r="J808" s="14"/>
      <c r="K808" s="20" t="str">
        <f aca="false">IF(OR(J808="",N(G808)=0),"",J808/G808)</f>
        <v/>
      </c>
      <c r="L808" s="12"/>
      <c r="M808" s="12"/>
      <c r="N808" s="12"/>
    </row>
    <row r="809" customFormat="false" ht="15" hidden="false" customHeight="false" outlineLevel="0" collapsed="false">
      <c r="A809" s="16"/>
      <c r="B809" s="12"/>
      <c r="C809" s="18" t="str">
        <f aca="false">IF(B809="","",IFERROR(INDEX(Inventario!$B$7:$B$46,MATCH(B809,Inventario!$A$7:$A$46,0)),"Clave no existe"))</f>
        <v/>
      </c>
      <c r="D809" s="18" t="str">
        <f aca="false">IF(B809="","",IFERROR(INDEX(Inventario!$C$7:$C$46,MATCH(B809,Inventario!$A$7:$A$46,0)),""))</f>
        <v/>
      </c>
      <c r="E809" s="19"/>
      <c r="F809" s="19"/>
      <c r="G809" s="20" t="str">
        <f aca="false">IF(OR(E809="",F809=""),IF(B809="","",IF(A809="","",8)),F809-E809)</f>
        <v/>
      </c>
      <c r="H809" s="14"/>
      <c r="I809" s="12"/>
      <c r="J809" s="14"/>
      <c r="K809" s="20" t="str">
        <f aca="false">IF(OR(J809="",N(G809)=0),"",J809/G809)</f>
        <v/>
      </c>
      <c r="L809" s="12"/>
      <c r="M809" s="12"/>
      <c r="N809" s="12"/>
    </row>
    <row r="810" customFormat="false" ht="15" hidden="false" customHeight="false" outlineLevel="0" collapsed="false">
      <c r="A810" s="16"/>
      <c r="B810" s="12"/>
      <c r="C810" s="18" t="str">
        <f aca="false">IF(B810="","",IFERROR(INDEX(Inventario!$B$7:$B$46,MATCH(B810,Inventario!$A$7:$A$46,0)),"Clave no existe"))</f>
        <v/>
      </c>
      <c r="D810" s="18" t="str">
        <f aca="false">IF(B810="","",IFERROR(INDEX(Inventario!$C$7:$C$46,MATCH(B810,Inventario!$A$7:$A$46,0)),""))</f>
        <v/>
      </c>
      <c r="E810" s="19"/>
      <c r="F810" s="19"/>
      <c r="G810" s="20" t="str">
        <f aca="false">IF(OR(E810="",F810=""),IF(B810="","",IF(A810="","",8)),F810-E810)</f>
        <v/>
      </c>
      <c r="H810" s="14"/>
      <c r="I810" s="12"/>
      <c r="J810" s="14"/>
      <c r="K810" s="20" t="str">
        <f aca="false">IF(OR(J810="",N(G810)=0),"",J810/G810)</f>
        <v/>
      </c>
      <c r="L810" s="12"/>
      <c r="M810" s="12"/>
      <c r="N810" s="12"/>
    </row>
    <row r="811" customFormat="false" ht="15" hidden="false" customHeight="false" outlineLevel="0" collapsed="false">
      <c r="A811" s="16"/>
      <c r="B811" s="12"/>
      <c r="C811" s="18" t="str">
        <f aca="false">IF(B811="","",IFERROR(INDEX(Inventario!$B$7:$B$46,MATCH(B811,Inventario!$A$7:$A$46,0)),"Clave no existe"))</f>
        <v/>
      </c>
      <c r="D811" s="18" t="str">
        <f aca="false">IF(B811="","",IFERROR(INDEX(Inventario!$C$7:$C$46,MATCH(B811,Inventario!$A$7:$A$46,0)),""))</f>
        <v/>
      </c>
      <c r="E811" s="19"/>
      <c r="F811" s="19"/>
      <c r="G811" s="20" t="str">
        <f aca="false">IF(OR(E811="",F811=""),IF(B811="","",IF(A811="","",8)),F811-E811)</f>
        <v/>
      </c>
      <c r="H811" s="14"/>
      <c r="I811" s="12"/>
      <c r="J811" s="14"/>
      <c r="K811" s="20" t="str">
        <f aca="false">IF(OR(J811="",N(G811)=0),"",J811/G811)</f>
        <v/>
      </c>
      <c r="L811" s="12"/>
      <c r="M811" s="12"/>
      <c r="N811" s="12"/>
    </row>
    <row r="812" customFormat="false" ht="15" hidden="false" customHeight="false" outlineLevel="0" collapsed="false">
      <c r="A812" s="16"/>
      <c r="B812" s="12"/>
      <c r="C812" s="18" t="str">
        <f aca="false">IF(B812="","",IFERROR(INDEX(Inventario!$B$7:$B$46,MATCH(B812,Inventario!$A$7:$A$46,0)),"Clave no existe"))</f>
        <v/>
      </c>
      <c r="D812" s="18" t="str">
        <f aca="false">IF(B812="","",IFERROR(INDEX(Inventario!$C$7:$C$46,MATCH(B812,Inventario!$A$7:$A$46,0)),""))</f>
        <v/>
      </c>
      <c r="E812" s="19"/>
      <c r="F812" s="19"/>
      <c r="G812" s="20" t="str">
        <f aca="false">IF(OR(E812="",F812=""),IF(B812="","",IF(A812="","",8)),F812-E812)</f>
        <v/>
      </c>
      <c r="H812" s="14"/>
      <c r="I812" s="12"/>
      <c r="J812" s="14"/>
      <c r="K812" s="20" t="str">
        <f aca="false">IF(OR(J812="",N(G812)=0),"",J812/G812)</f>
        <v/>
      </c>
      <c r="L812" s="12"/>
      <c r="M812" s="12"/>
      <c r="N812" s="12"/>
    </row>
    <row r="813" customFormat="false" ht="15" hidden="false" customHeight="false" outlineLevel="0" collapsed="false">
      <c r="A813" s="16"/>
      <c r="B813" s="12"/>
      <c r="C813" s="18" t="str">
        <f aca="false">IF(B813="","",IFERROR(INDEX(Inventario!$B$7:$B$46,MATCH(B813,Inventario!$A$7:$A$46,0)),"Clave no existe"))</f>
        <v/>
      </c>
      <c r="D813" s="18" t="str">
        <f aca="false">IF(B813="","",IFERROR(INDEX(Inventario!$C$7:$C$46,MATCH(B813,Inventario!$A$7:$A$46,0)),""))</f>
        <v/>
      </c>
      <c r="E813" s="19"/>
      <c r="F813" s="19"/>
      <c r="G813" s="20" t="str">
        <f aca="false">IF(OR(E813="",F813=""),IF(B813="","",IF(A813="","",8)),F813-E813)</f>
        <v/>
      </c>
      <c r="H813" s="14"/>
      <c r="I813" s="12"/>
      <c r="J813" s="14"/>
      <c r="K813" s="20" t="str">
        <f aca="false">IF(OR(J813="",N(G813)=0),"",J813/G813)</f>
        <v/>
      </c>
      <c r="L813" s="12"/>
      <c r="M813" s="12"/>
      <c r="N813" s="12"/>
    </row>
    <row r="814" customFormat="false" ht="15" hidden="false" customHeight="false" outlineLevel="0" collapsed="false">
      <c r="A814" s="16"/>
      <c r="B814" s="12"/>
      <c r="C814" s="18" t="str">
        <f aca="false">IF(B814="","",IFERROR(INDEX(Inventario!$B$7:$B$46,MATCH(B814,Inventario!$A$7:$A$46,0)),"Clave no existe"))</f>
        <v/>
      </c>
      <c r="D814" s="18" t="str">
        <f aca="false">IF(B814="","",IFERROR(INDEX(Inventario!$C$7:$C$46,MATCH(B814,Inventario!$A$7:$A$46,0)),""))</f>
        <v/>
      </c>
      <c r="E814" s="19"/>
      <c r="F814" s="19"/>
      <c r="G814" s="20" t="str">
        <f aca="false">IF(OR(E814="",F814=""),IF(B814="","",IF(A814="","",8)),F814-E814)</f>
        <v/>
      </c>
      <c r="H814" s="14"/>
      <c r="I814" s="12"/>
      <c r="J814" s="14"/>
      <c r="K814" s="20" t="str">
        <f aca="false">IF(OR(J814="",N(G814)=0),"",J814/G814)</f>
        <v/>
      </c>
      <c r="L814" s="12"/>
      <c r="M814" s="12"/>
      <c r="N814" s="12"/>
    </row>
    <row r="815" customFormat="false" ht="15" hidden="false" customHeight="false" outlineLevel="0" collapsed="false">
      <c r="A815" s="16"/>
      <c r="B815" s="12"/>
      <c r="C815" s="18" t="str">
        <f aca="false">IF(B815="","",IFERROR(INDEX(Inventario!$B$7:$B$46,MATCH(B815,Inventario!$A$7:$A$46,0)),"Clave no existe"))</f>
        <v/>
      </c>
      <c r="D815" s="18" t="str">
        <f aca="false">IF(B815="","",IFERROR(INDEX(Inventario!$C$7:$C$46,MATCH(B815,Inventario!$A$7:$A$46,0)),""))</f>
        <v/>
      </c>
      <c r="E815" s="19"/>
      <c r="F815" s="19"/>
      <c r="G815" s="20" t="str">
        <f aca="false">IF(OR(E815="",F815=""),IF(B815="","",IF(A815="","",8)),F815-E815)</f>
        <v/>
      </c>
      <c r="H815" s="14"/>
      <c r="I815" s="12"/>
      <c r="J815" s="14"/>
      <c r="K815" s="20" t="str">
        <f aca="false">IF(OR(J815="",N(G815)=0),"",J815/G815)</f>
        <v/>
      </c>
      <c r="L815" s="12"/>
      <c r="M815" s="12"/>
      <c r="N815" s="12"/>
    </row>
    <row r="816" customFormat="false" ht="15" hidden="false" customHeight="false" outlineLevel="0" collapsed="false">
      <c r="A816" s="16"/>
      <c r="B816" s="12"/>
      <c r="C816" s="18" t="str">
        <f aca="false">IF(B816="","",IFERROR(INDEX(Inventario!$B$7:$B$46,MATCH(B816,Inventario!$A$7:$A$46,0)),"Clave no existe"))</f>
        <v/>
      </c>
      <c r="D816" s="18" t="str">
        <f aca="false">IF(B816="","",IFERROR(INDEX(Inventario!$C$7:$C$46,MATCH(B816,Inventario!$A$7:$A$46,0)),""))</f>
        <v/>
      </c>
      <c r="E816" s="19"/>
      <c r="F816" s="19"/>
      <c r="G816" s="20" t="str">
        <f aca="false">IF(OR(E816="",F816=""),IF(B816="","",IF(A816="","",8)),F816-E816)</f>
        <v/>
      </c>
      <c r="H816" s="14"/>
      <c r="I816" s="12"/>
      <c r="J816" s="14"/>
      <c r="K816" s="20" t="str">
        <f aca="false">IF(OR(J816="",N(G816)=0),"",J816/G816)</f>
        <v/>
      </c>
      <c r="L816" s="12"/>
      <c r="M816" s="12"/>
      <c r="N816" s="12"/>
    </row>
    <row r="817" customFormat="false" ht="15" hidden="false" customHeight="false" outlineLevel="0" collapsed="false">
      <c r="A817" s="16"/>
      <c r="B817" s="12"/>
      <c r="C817" s="18" t="str">
        <f aca="false">IF(B817="","",IFERROR(INDEX(Inventario!$B$7:$B$46,MATCH(B817,Inventario!$A$7:$A$46,0)),"Clave no existe"))</f>
        <v/>
      </c>
      <c r="D817" s="18" t="str">
        <f aca="false">IF(B817="","",IFERROR(INDEX(Inventario!$C$7:$C$46,MATCH(B817,Inventario!$A$7:$A$46,0)),""))</f>
        <v/>
      </c>
      <c r="E817" s="19"/>
      <c r="F817" s="19"/>
      <c r="G817" s="20" t="str">
        <f aca="false">IF(OR(E817="",F817=""),IF(B817="","",IF(A817="","",8)),F817-E817)</f>
        <v/>
      </c>
      <c r="H817" s="14"/>
      <c r="I817" s="12"/>
      <c r="J817" s="14"/>
      <c r="K817" s="20" t="str">
        <f aca="false">IF(OR(J817="",N(G817)=0),"",J817/G817)</f>
        <v/>
      </c>
      <c r="L817" s="12"/>
      <c r="M817" s="12"/>
      <c r="N817" s="12"/>
    </row>
    <row r="818" customFormat="false" ht="15" hidden="false" customHeight="false" outlineLevel="0" collapsed="false">
      <c r="A818" s="16"/>
      <c r="B818" s="12"/>
      <c r="C818" s="18" t="str">
        <f aca="false">IF(B818="","",IFERROR(INDEX(Inventario!$B$7:$B$46,MATCH(B818,Inventario!$A$7:$A$46,0)),"Clave no existe"))</f>
        <v/>
      </c>
      <c r="D818" s="18" t="str">
        <f aca="false">IF(B818="","",IFERROR(INDEX(Inventario!$C$7:$C$46,MATCH(B818,Inventario!$A$7:$A$46,0)),""))</f>
        <v/>
      </c>
      <c r="E818" s="19"/>
      <c r="F818" s="19"/>
      <c r="G818" s="20" t="str">
        <f aca="false">IF(OR(E818="",F818=""),IF(B818="","",IF(A818="","",8)),F818-E818)</f>
        <v/>
      </c>
      <c r="H818" s="14"/>
      <c r="I818" s="12"/>
      <c r="J818" s="14"/>
      <c r="K818" s="20" t="str">
        <f aca="false">IF(OR(J818="",N(G818)=0),"",J818/G818)</f>
        <v/>
      </c>
      <c r="L818" s="12"/>
      <c r="M818" s="12"/>
      <c r="N818" s="12"/>
    </row>
    <row r="819" customFormat="false" ht="15" hidden="false" customHeight="false" outlineLevel="0" collapsed="false">
      <c r="A819" s="16"/>
      <c r="B819" s="12"/>
      <c r="C819" s="18" t="str">
        <f aca="false">IF(B819="","",IFERROR(INDEX(Inventario!$B$7:$B$46,MATCH(B819,Inventario!$A$7:$A$46,0)),"Clave no existe"))</f>
        <v/>
      </c>
      <c r="D819" s="18" t="str">
        <f aca="false">IF(B819="","",IFERROR(INDEX(Inventario!$C$7:$C$46,MATCH(B819,Inventario!$A$7:$A$46,0)),""))</f>
        <v/>
      </c>
      <c r="E819" s="19"/>
      <c r="F819" s="19"/>
      <c r="G819" s="20" t="str">
        <f aca="false">IF(OR(E819="",F819=""),IF(B819="","",IF(A819="","",8)),F819-E819)</f>
        <v/>
      </c>
      <c r="H819" s="14"/>
      <c r="I819" s="12"/>
      <c r="J819" s="14"/>
      <c r="K819" s="20" t="str">
        <f aca="false">IF(OR(J819="",N(G819)=0),"",J819/G819)</f>
        <v/>
      </c>
      <c r="L819" s="12"/>
      <c r="M819" s="12"/>
      <c r="N819" s="12"/>
    </row>
    <row r="820" customFormat="false" ht="15" hidden="false" customHeight="false" outlineLevel="0" collapsed="false">
      <c r="A820" s="16"/>
      <c r="B820" s="12"/>
      <c r="C820" s="18" t="str">
        <f aca="false">IF(B820="","",IFERROR(INDEX(Inventario!$B$7:$B$46,MATCH(B820,Inventario!$A$7:$A$46,0)),"Clave no existe"))</f>
        <v/>
      </c>
      <c r="D820" s="18" t="str">
        <f aca="false">IF(B820="","",IFERROR(INDEX(Inventario!$C$7:$C$46,MATCH(B820,Inventario!$A$7:$A$46,0)),""))</f>
        <v/>
      </c>
      <c r="E820" s="19"/>
      <c r="F820" s="19"/>
      <c r="G820" s="20" t="str">
        <f aca="false">IF(OR(E820="",F820=""),IF(B820="","",IF(A820="","",8)),F820-E820)</f>
        <v/>
      </c>
      <c r="H820" s="14"/>
      <c r="I820" s="12"/>
      <c r="J820" s="14"/>
      <c r="K820" s="20" t="str">
        <f aca="false">IF(OR(J820="",N(G820)=0),"",J820/G820)</f>
        <v/>
      </c>
      <c r="L820" s="12"/>
      <c r="M820" s="12"/>
      <c r="N820" s="12"/>
    </row>
    <row r="821" customFormat="false" ht="15" hidden="false" customHeight="false" outlineLevel="0" collapsed="false">
      <c r="A821" s="16"/>
      <c r="B821" s="12"/>
      <c r="C821" s="18" t="str">
        <f aca="false">IF(B821="","",IFERROR(INDEX(Inventario!$B$7:$B$46,MATCH(B821,Inventario!$A$7:$A$46,0)),"Clave no existe"))</f>
        <v/>
      </c>
      <c r="D821" s="18" t="str">
        <f aca="false">IF(B821="","",IFERROR(INDEX(Inventario!$C$7:$C$46,MATCH(B821,Inventario!$A$7:$A$46,0)),""))</f>
        <v/>
      </c>
      <c r="E821" s="19"/>
      <c r="F821" s="19"/>
      <c r="G821" s="20" t="str">
        <f aca="false">IF(OR(E821="",F821=""),IF(B821="","",IF(A821="","",8)),F821-E821)</f>
        <v/>
      </c>
      <c r="H821" s="14"/>
      <c r="I821" s="12"/>
      <c r="J821" s="14"/>
      <c r="K821" s="20" t="str">
        <f aca="false">IF(OR(J821="",N(G821)=0),"",J821/G821)</f>
        <v/>
      </c>
      <c r="L821" s="12"/>
      <c r="M821" s="12"/>
      <c r="N821" s="12"/>
    </row>
    <row r="822" customFormat="false" ht="15" hidden="false" customHeight="false" outlineLevel="0" collapsed="false">
      <c r="A822" s="16"/>
      <c r="B822" s="12"/>
      <c r="C822" s="18" t="str">
        <f aca="false">IF(B822="","",IFERROR(INDEX(Inventario!$B$7:$B$46,MATCH(B822,Inventario!$A$7:$A$46,0)),"Clave no existe"))</f>
        <v/>
      </c>
      <c r="D822" s="18" t="str">
        <f aca="false">IF(B822="","",IFERROR(INDEX(Inventario!$C$7:$C$46,MATCH(B822,Inventario!$A$7:$A$46,0)),""))</f>
        <v/>
      </c>
      <c r="E822" s="19"/>
      <c r="F822" s="19"/>
      <c r="G822" s="20" t="str">
        <f aca="false">IF(OR(E822="",F822=""),IF(B822="","",IF(A822="","",8)),F822-E822)</f>
        <v/>
      </c>
      <c r="H822" s="14"/>
      <c r="I822" s="12"/>
      <c r="J822" s="14"/>
      <c r="K822" s="20" t="str">
        <f aca="false">IF(OR(J822="",N(G822)=0),"",J822/G822)</f>
        <v/>
      </c>
      <c r="L822" s="12"/>
      <c r="M822" s="12"/>
      <c r="N822" s="12"/>
    </row>
    <row r="823" customFormat="false" ht="15" hidden="false" customHeight="false" outlineLevel="0" collapsed="false">
      <c r="A823" s="16"/>
      <c r="B823" s="12"/>
      <c r="C823" s="18" t="str">
        <f aca="false">IF(B823="","",IFERROR(INDEX(Inventario!$B$7:$B$46,MATCH(B823,Inventario!$A$7:$A$46,0)),"Clave no existe"))</f>
        <v/>
      </c>
      <c r="D823" s="18" t="str">
        <f aca="false">IF(B823="","",IFERROR(INDEX(Inventario!$C$7:$C$46,MATCH(B823,Inventario!$A$7:$A$46,0)),""))</f>
        <v/>
      </c>
      <c r="E823" s="19"/>
      <c r="F823" s="19"/>
      <c r="G823" s="20" t="str">
        <f aca="false">IF(OR(E823="",F823=""),IF(B823="","",IF(A823="","",8)),F823-E823)</f>
        <v/>
      </c>
      <c r="H823" s="14"/>
      <c r="I823" s="12"/>
      <c r="J823" s="14"/>
      <c r="K823" s="20" t="str">
        <f aca="false">IF(OR(J823="",N(G823)=0),"",J823/G823)</f>
        <v/>
      </c>
      <c r="L823" s="12"/>
      <c r="M823" s="12"/>
      <c r="N823" s="12"/>
    </row>
    <row r="824" customFormat="false" ht="15" hidden="false" customHeight="false" outlineLevel="0" collapsed="false">
      <c r="A824" s="16"/>
      <c r="B824" s="12"/>
      <c r="C824" s="18" t="str">
        <f aca="false">IF(B824="","",IFERROR(INDEX(Inventario!$B$7:$B$46,MATCH(B824,Inventario!$A$7:$A$46,0)),"Clave no existe"))</f>
        <v/>
      </c>
      <c r="D824" s="18" t="str">
        <f aca="false">IF(B824="","",IFERROR(INDEX(Inventario!$C$7:$C$46,MATCH(B824,Inventario!$A$7:$A$46,0)),""))</f>
        <v/>
      </c>
      <c r="E824" s="19"/>
      <c r="F824" s="19"/>
      <c r="G824" s="20" t="str">
        <f aca="false">IF(OR(E824="",F824=""),IF(B824="","",IF(A824="","",8)),F824-E824)</f>
        <v/>
      </c>
      <c r="H824" s="14"/>
      <c r="I824" s="12"/>
      <c r="J824" s="14"/>
      <c r="K824" s="20" t="str">
        <f aca="false">IF(OR(J824="",N(G824)=0),"",J824/G824)</f>
        <v/>
      </c>
      <c r="L824" s="12"/>
      <c r="M824" s="12"/>
      <c r="N824" s="12"/>
    </row>
    <row r="825" customFormat="false" ht="15" hidden="false" customHeight="false" outlineLevel="0" collapsed="false">
      <c r="A825" s="16"/>
      <c r="B825" s="12"/>
      <c r="C825" s="18" t="str">
        <f aca="false">IF(B825="","",IFERROR(INDEX(Inventario!$B$7:$B$46,MATCH(B825,Inventario!$A$7:$A$46,0)),"Clave no existe"))</f>
        <v/>
      </c>
      <c r="D825" s="18" t="str">
        <f aca="false">IF(B825="","",IFERROR(INDEX(Inventario!$C$7:$C$46,MATCH(B825,Inventario!$A$7:$A$46,0)),""))</f>
        <v/>
      </c>
      <c r="E825" s="19"/>
      <c r="F825" s="19"/>
      <c r="G825" s="20" t="str">
        <f aca="false">IF(OR(E825="",F825=""),IF(B825="","",IF(A825="","",8)),F825-E825)</f>
        <v/>
      </c>
      <c r="H825" s="14"/>
      <c r="I825" s="12"/>
      <c r="J825" s="14"/>
      <c r="K825" s="20" t="str">
        <f aca="false">IF(OR(J825="",N(G825)=0),"",J825/G825)</f>
        <v/>
      </c>
      <c r="L825" s="12"/>
      <c r="M825" s="12"/>
      <c r="N825" s="12"/>
    </row>
    <row r="826" customFormat="false" ht="15" hidden="false" customHeight="false" outlineLevel="0" collapsed="false">
      <c r="A826" s="16"/>
      <c r="B826" s="12"/>
      <c r="C826" s="18" t="str">
        <f aca="false">IF(B826="","",IFERROR(INDEX(Inventario!$B$7:$B$46,MATCH(B826,Inventario!$A$7:$A$46,0)),"Clave no existe"))</f>
        <v/>
      </c>
      <c r="D826" s="18" t="str">
        <f aca="false">IF(B826="","",IFERROR(INDEX(Inventario!$C$7:$C$46,MATCH(B826,Inventario!$A$7:$A$46,0)),""))</f>
        <v/>
      </c>
      <c r="E826" s="19"/>
      <c r="F826" s="19"/>
      <c r="G826" s="20" t="str">
        <f aca="false">IF(OR(E826="",F826=""),IF(B826="","",IF(A826="","",8)),F826-E826)</f>
        <v/>
      </c>
      <c r="H826" s="14"/>
      <c r="I826" s="12"/>
      <c r="J826" s="14"/>
      <c r="K826" s="20" t="str">
        <f aca="false">IF(OR(J826="",N(G826)=0),"",J826/G826)</f>
        <v/>
      </c>
      <c r="L826" s="12"/>
      <c r="M826" s="12"/>
      <c r="N826" s="12"/>
    </row>
    <row r="827" customFormat="false" ht="15" hidden="false" customHeight="false" outlineLevel="0" collapsed="false">
      <c r="A827" s="16"/>
      <c r="B827" s="12"/>
      <c r="C827" s="18" t="str">
        <f aca="false">IF(B827="","",IFERROR(INDEX(Inventario!$B$7:$B$46,MATCH(B827,Inventario!$A$7:$A$46,0)),"Clave no existe"))</f>
        <v/>
      </c>
      <c r="D827" s="18" t="str">
        <f aca="false">IF(B827="","",IFERROR(INDEX(Inventario!$C$7:$C$46,MATCH(B827,Inventario!$A$7:$A$46,0)),""))</f>
        <v/>
      </c>
      <c r="E827" s="19"/>
      <c r="F827" s="19"/>
      <c r="G827" s="20" t="str">
        <f aca="false">IF(OR(E827="",F827=""),IF(B827="","",IF(A827="","",8)),F827-E827)</f>
        <v/>
      </c>
      <c r="H827" s="14"/>
      <c r="I827" s="12"/>
      <c r="J827" s="14"/>
      <c r="K827" s="20" t="str">
        <f aca="false">IF(OR(J827="",N(G827)=0),"",J827/G827)</f>
        <v/>
      </c>
      <c r="L827" s="12"/>
      <c r="M827" s="12"/>
      <c r="N827" s="12"/>
    </row>
    <row r="828" customFormat="false" ht="15" hidden="false" customHeight="false" outlineLevel="0" collapsed="false">
      <c r="A828" s="16"/>
      <c r="B828" s="12"/>
      <c r="C828" s="18" t="str">
        <f aca="false">IF(B828="","",IFERROR(INDEX(Inventario!$B$7:$B$46,MATCH(B828,Inventario!$A$7:$A$46,0)),"Clave no existe"))</f>
        <v/>
      </c>
      <c r="D828" s="18" t="str">
        <f aca="false">IF(B828="","",IFERROR(INDEX(Inventario!$C$7:$C$46,MATCH(B828,Inventario!$A$7:$A$46,0)),""))</f>
        <v/>
      </c>
      <c r="E828" s="19"/>
      <c r="F828" s="19"/>
      <c r="G828" s="20" t="str">
        <f aca="false">IF(OR(E828="",F828=""),IF(B828="","",IF(A828="","",8)),F828-E828)</f>
        <v/>
      </c>
      <c r="H828" s="14"/>
      <c r="I828" s="12"/>
      <c r="J828" s="14"/>
      <c r="K828" s="20" t="str">
        <f aca="false">IF(OR(J828="",N(G828)=0),"",J828/G828)</f>
        <v/>
      </c>
      <c r="L828" s="12"/>
      <c r="M828" s="12"/>
      <c r="N828" s="12"/>
    </row>
    <row r="829" customFormat="false" ht="15" hidden="false" customHeight="false" outlineLevel="0" collapsed="false">
      <c r="A829" s="16"/>
      <c r="B829" s="12"/>
      <c r="C829" s="18" t="str">
        <f aca="false">IF(B829="","",IFERROR(INDEX(Inventario!$B$7:$B$46,MATCH(B829,Inventario!$A$7:$A$46,0)),"Clave no existe"))</f>
        <v/>
      </c>
      <c r="D829" s="18" t="str">
        <f aca="false">IF(B829="","",IFERROR(INDEX(Inventario!$C$7:$C$46,MATCH(B829,Inventario!$A$7:$A$46,0)),""))</f>
        <v/>
      </c>
      <c r="E829" s="19"/>
      <c r="F829" s="19"/>
      <c r="G829" s="20" t="str">
        <f aca="false">IF(OR(E829="",F829=""),IF(B829="","",IF(A829="","",8)),F829-E829)</f>
        <v/>
      </c>
      <c r="H829" s="14"/>
      <c r="I829" s="12"/>
      <c r="J829" s="14"/>
      <c r="K829" s="20" t="str">
        <f aca="false">IF(OR(J829="",N(G829)=0),"",J829/G829)</f>
        <v/>
      </c>
      <c r="L829" s="12"/>
      <c r="M829" s="12"/>
      <c r="N829" s="12"/>
    </row>
    <row r="830" customFormat="false" ht="15" hidden="false" customHeight="false" outlineLevel="0" collapsed="false">
      <c r="A830" s="16"/>
      <c r="B830" s="12"/>
      <c r="C830" s="18" t="str">
        <f aca="false">IF(B830="","",IFERROR(INDEX(Inventario!$B$7:$B$46,MATCH(B830,Inventario!$A$7:$A$46,0)),"Clave no existe"))</f>
        <v/>
      </c>
      <c r="D830" s="18" t="str">
        <f aca="false">IF(B830="","",IFERROR(INDEX(Inventario!$C$7:$C$46,MATCH(B830,Inventario!$A$7:$A$46,0)),""))</f>
        <v/>
      </c>
      <c r="E830" s="19"/>
      <c r="F830" s="19"/>
      <c r="G830" s="20" t="str">
        <f aca="false">IF(OR(E830="",F830=""),IF(B830="","",IF(A830="","",8)),F830-E830)</f>
        <v/>
      </c>
      <c r="H830" s="14"/>
      <c r="I830" s="12"/>
      <c r="J830" s="14"/>
      <c r="K830" s="20" t="str">
        <f aca="false">IF(OR(J830="",N(G830)=0),"",J830/G830)</f>
        <v/>
      </c>
      <c r="L830" s="12"/>
      <c r="M830" s="12"/>
      <c r="N830" s="12"/>
    </row>
    <row r="831" customFormat="false" ht="15" hidden="false" customHeight="false" outlineLevel="0" collapsed="false">
      <c r="A831" s="16"/>
      <c r="B831" s="12"/>
      <c r="C831" s="18" t="str">
        <f aca="false">IF(B831="","",IFERROR(INDEX(Inventario!$B$7:$B$46,MATCH(B831,Inventario!$A$7:$A$46,0)),"Clave no existe"))</f>
        <v/>
      </c>
      <c r="D831" s="18" t="str">
        <f aca="false">IF(B831="","",IFERROR(INDEX(Inventario!$C$7:$C$46,MATCH(B831,Inventario!$A$7:$A$46,0)),""))</f>
        <v/>
      </c>
      <c r="E831" s="19"/>
      <c r="F831" s="19"/>
      <c r="G831" s="20" t="str">
        <f aca="false">IF(OR(E831="",F831=""),IF(B831="","",IF(A831="","",8)),F831-E831)</f>
        <v/>
      </c>
      <c r="H831" s="14"/>
      <c r="I831" s="12"/>
      <c r="J831" s="14"/>
      <c r="K831" s="20" t="str">
        <f aca="false">IF(OR(J831="",N(G831)=0),"",J831/G831)</f>
        <v/>
      </c>
      <c r="L831" s="12"/>
      <c r="M831" s="12"/>
      <c r="N831" s="12"/>
    </row>
    <row r="832" customFormat="false" ht="15" hidden="false" customHeight="false" outlineLevel="0" collapsed="false">
      <c r="A832" s="16"/>
      <c r="B832" s="12"/>
      <c r="C832" s="18" t="str">
        <f aca="false">IF(B832="","",IFERROR(INDEX(Inventario!$B$7:$B$46,MATCH(B832,Inventario!$A$7:$A$46,0)),"Clave no existe"))</f>
        <v/>
      </c>
      <c r="D832" s="18" t="str">
        <f aca="false">IF(B832="","",IFERROR(INDEX(Inventario!$C$7:$C$46,MATCH(B832,Inventario!$A$7:$A$46,0)),""))</f>
        <v/>
      </c>
      <c r="E832" s="19"/>
      <c r="F832" s="19"/>
      <c r="G832" s="20" t="str">
        <f aca="false">IF(OR(E832="",F832=""),IF(B832="","",IF(A832="","",8)),F832-E832)</f>
        <v/>
      </c>
      <c r="H832" s="14"/>
      <c r="I832" s="12"/>
      <c r="J832" s="14"/>
      <c r="K832" s="20" t="str">
        <f aca="false">IF(OR(J832="",N(G832)=0),"",J832/G832)</f>
        <v/>
      </c>
      <c r="L832" s="12"/>
      <c r="M832" s="12"/>
      <c r="N832" s="12"/>
    </row>
    <row r="833" customFormat="false" ht="15" hidden="false" customHeight="false" outlineLevel="0" collapsed="false">
      <c r="A833" s="16"/>
      <c r="B833" s="12"/>
      <c r="C833" s="18" t="str">
        <f aca="false">IF(B833="","",IFERROR(INDEX(Inventario!$B$7:$B$46,MATCH(B833,Inventario!$A$7:$A$46,0)),"Clave no existe"))</f>
        <v/>
      </c>
      <c r="D833" s="18" t="str">
        <f aca="false">IF(B833="","",IFERROR(INDEX(Inventario!$C$7:$C$46,MATCH(B833,Inventario!$A$7:$A$46,0)),""))</f>
        <v/>
      </c>
      <c r="E833" s="19"/>
      <c r="F833" s="19"/>
      <c r="G833" s="20" t="str">
        <f aca="false">IF(OR(E833="",F833=""),IF(B833="","",IF(A833="","",8)),F833-E833)</f>
        <v/>
      </c>
      <c r="H833" s="14"/>
      <c r="I833" s="12"/>
      <c r="J833" s="14"/>
      <c r="K833" s="20" t="str">
        <f aca="false">IF(OR(J833="",N(G833)=0),"",J833/G833)</f>
        <v/>
      </c>
      <c r="L833" s="12"/>
      <c r="M833" s="12"/>
      <c r="N833" s="12"/>
    </row>
    <row r="834" customFormat="false" ht="15" hidden="false" customHeight="false" outlineLevel="0" collapsed="false">
      <c r="A834" s="16"/>
      <c r="B834" s="12"/>
      <c r="C834" s="18" t="str">
        <f aca="false">IF(B834="","",IFERROR(INDEX(Inventario!$B$7:$B$46,MATCH(B834,Inventario!$A$7:$A$46,0)),"Clave no existe"))</f>
        <v/>
      </c>
      <c r="D834" s="18" t="str">
        <f aca="false">IF(B834="","",IFERROR(INDEX(Inventario!$C$7:$C$46,MATCH(B834,Inventario!$A$7:$A$46,0)),""))</f>
        <v/>
      </c>
      <c r="E834" s="19"/>
      <c r="F834" s="19"/>
      <c r="G834" s="20" t="str">
        <f aca="false">IF(OR(E834="",F834=""),IF(B834="","",IF(A834="","",8)),F834-E834)</f>
        <v/>
      </c>
      <c r="H834" s="14"/>
      <c r="I834" s="12"/>
      <c r="J834" s="14"/>
      <c r="K834" s="20" t="str">
        <f aca="false">IF(OR(J834="",N(G834)=0),"",J834/G834)</f>
        <v/>
      </c>
      <c r="L834" s="12"/>
      <c r="M834" s="12"/>
      <c r="N834" s="12"/>
    </row>
    <row r="835" customFormat="false" ht="15" hidden="false" customHeight="false" outlineLevel="0" collapsed="false">
      <c r="A835" s="16"/>
      <c r="B835" s="12"/>
      <c r="C835" s="18" t="str">
        <f aca="false">IF(B835="","",IFERROR(INDEX(Inventario!$B$7:$B$46,MATCH(B835,Inventario!$A$7:$A$46,0)),"Clave no existe"))</f>
        <v/>
      </c>
      <c r="D835" s="18" t="str">
        <f aca="false">IF(B835="","",IFERROR(INDEX(Inventario!$C$7:$C$46,MATCH(B835,Inventario!$A$7:$A$46,0)),""))</f>
        <v/>
      </c>
      <c r="E835" s="19"/>
      <c r="F835" s="19"/>
      <c r="G835" s="20" t="str">
        <f aca="false">IF(OR(E835="",F835=""),IF(B835="","",IF(A835="","",8)),F835-E835)</f>
        <v/>
      </c>
      <c r="H835" s="14"/>
      <c r="I835" s="12"/>
      <c r="J835" s="14"/>
      <c r="K835" s="20" t="str">
        <f aca="false">IF(OR(J835="",N(G835)=0),"",J835/G835)</f>
        <v/>
      </c>
      <c r="L835" s="12"/>
      <c r="M835" s="12"/>
      <c r="N835" s="12"/>
    </row>
    <row r="836" customFormat="false" ht="15" hidden="false" customHeight="false" outlineLevel="0" collapsed="false">
      <c r="A836" s="16"/>
      <c r="B836" s="12"/>
      <c r="C836" s="18" t="str">
        <f aca="false">IF(B836="","",IFERROR(INDEX(Inventario!$B$7:$B$46,MATCH(B836,Inventario!$A$7:$A$46,0)),"Clave no existe"))</f>
        <v/>
      </c>
      <c r="D836" s="18" t="str">
        <f aca="false">IF(B836="","",IFERROR(INDEX(Inventario!$C$7:$C$46,MATCH(B836,Inventario!$A$7:$A$46,0)),""))</f>
        <v/>
      </c>
      <c r="E836" s="19"/>
      <c r="F836" s="19"/>
      <c r="G836" s="20" t="str">
        <f aca="false">IF(OR(E836="",F836=""),IF(B836="","",IF(A836="","",8)),F836-E836)</f>
        <v/>
      </c>
      <c r="H836" s="14"/>
      <c r="I836" s="12"/>
      <c r="J836" s="14"/>
      <c r="K836" s="20" t="str">
        <f aca="false">IF(OR(J836="",N(G836)=0),"",J836/G836)</f>
        <v/>
      </c>
      <c r="L836" s="12"/>
      <c r="M836" s="12"/>
      <c r="N836" s="12"/>
    </row>
    <row r="837" customFormat="false" ht="15" hidden="false" customHeight="false" outlineLevel="0" collapsed="false">
      <c r="A837" s="16"/>
      <c r="B837" s="12"/>
      <c r="C837" s="18" t="str">
        <f aca="false">IF(B837="","",IFERROR(INDEX(Inventario!$B$7:$B$46,MATCH(B837,Inventario!$A$7:$A$46,0)),"Clave no existe"))</f>
        <v/>
      </c>
      <c r="D837" s="18" t="str">
        <f aca="false">IF(B837="","",IFERROR(INDEX(Inventario!$C$7:$C$46,MATCH(B837,Inventario!$A$7:$A$46,0)),""))</f>
        <v/>
      </c>
      <c r="E837" s="19"/>
      <c r="F837" s="19"/>
      <c r="G837" s="20" t="str">
        <f aca="false">IF(OR(E837="",F837=""),IF(B837="","",IF(A837="","",8)),F837-E837)</f>
        <v/>
      </c>
      <c r="H837" s="14"/>
      <c r="I837" s="12"/>
      <c r="J837" s="14"/>
      <c r="K837" s="20" t="str">
        <f aca="false">IF(OR(J837="",N(G837)=0),"",J837/G837)</f>
        <v/>
      </c>
      <c r="L837" s="12"/>
      <c r="M837" s="12"/>
      <c r="N837" s="12"/>
    </row>
    <row r="838" customFormat="false" ht="15" hidden="false" customHeight="false" outlineLevel="0" collapsed="false">
      <c r="A838" s="16"/>
      <c r="B838" s="12"/>
      <c r="C838" s="18" t="str">
        <f aca="false">IF(B838="","",IFERROR(INDEX(Inventario!$B$7:$B$46,MATCH(B838,Inventario!$A$7:$A$46,0)),"Clave no existe"))</f>
        <v/>
      </c>
      <c r="D838" s="18" t="str">
        <f aca="false">IF(B838="","",IFERROR(INDEX(Inventario!$C$7:$C$46,MATCH(B838,Inventario!$A$7:$A$46,0)),""))</f>
        <v/>
      </c>
      <c r="E838" s="19"/>
      <c r="F838" s="19"/>
      <c r="G838" s="20" t="str">
        <f aca="false">IF(OR(E838="",F838=""),IF(B838="","",IF(A838="","",8)),F838-E838)</f>
        <v/>
      </c>
      <c r="H838" s="14"/>
      <c r="I838" s="12"/>
      <c r="J838" s="14"/>
      <c r="K838" s="20" t="str">
        <f aca="false">IF(OR(J838="",N(G838)=0),"",J838/G838)</f>
        <v/>
      </c>
      <c r="L838" s="12"/>
      <c r="M838" s="12"/>
      <c r="N838" s="12"/>
    </row>
    <row r="839" customFormat="false" ht="15" hidden="false" customHeight="false" outlineLevel="0" collapsed="false">
      <c r="A839" s="16"/>
      <c r="B839" s="12"/>
      <c r="C839" s="18" t="str">
        <f aca="false">IF(B839="","",IFERROR(INDEX(Inventario!$B$7:$B$46,MATCH(B839,Inventario!$A$7:$A$46,0)),"Clave no existe"))</f>
        <v/>
      </c>
      <c r="D839" s="18" t="str">
        <f aca="false">IF(B839="","",IFERROR(INDEX(Inventario!$C$7:$C$46,MATCH(B839,Inventario!$A$7:$A$46,0)),""))</f>
        <v/>
      </c>
      <c r="E839" s="19"/>
      <c r="F839" s="19"/>
      <c r="G839" s="20" t="str">
        <f aca="false">IF(OR(E839="",F839=""),IF(B839="","",IF(A839="","",8)),F839-E839)</f>
        <v/>
      </c>
      <c r="H839" s="14"/>
      <c r="I839" s="12"/>
      <c r="J839" s="14"/>
      <c r="K839" s="20" t="str">
        <f aca="false">IF(OR(J839="",N(G839)=0),"",J839/G839)</f>
        <v/>
      </c>
      <c r="L839" s="12"/>
      <c r="M839" s="12"/>
      <c r="N839" s="12"/>
    </row>
    <row r="840" customFormat="false" ht="15" hidden="false" customHeight="false" outlineLevel="0" collapsed="false">
      <c r="A840" s="16"/>
      <c r="B840" s="12"/>
      <c r="C840" s="18" t="str">
        <f aca="false">IF(B840="","",IFERROR(INDEX(Inventario!$B$7:$B$46,MATCH(B840,Inventario!$A$7:$A$46,0)),"Clave no existe"))</f>
        <v/>
      </c>
      <c r="D840" s="18" t="str">
        <f aca="false">IF(B840="","",IFERROR(INDEX(Inventario!$C$7:$C$46,MATCH(B840,Inventario!$A$7:$A$46,0)),""))</f>
        <v/>
      </c>
      <c r="E840" s="19"/>
      <c r="F840" s="19"/>
      <c r="G840" s="20" t="str">
        <f aca="false">IF(OR(E840="",F840=""),IF(B840="","",IF(A840="","",8)),F840-E840)</f>
        <v/>
      </c>
      <c r="H840" s="14"/>
      <c r="I840" s="12"/>
      <c r="J840" s="14"/>
      <c r="K840" s="20" t="str">
        <f aca="false">IF(OR(J840="",N(G840)=0),"",J840/G840)</f>
        <v/>
      </c>
      <c r="L840" s="12"/>
      <c r="M840" s="12"/>
      <c r="N840" s="12"/>
    </row>
    <row r="841" customFormat="false" ht="15" hidden="false" customHeight="false" outlineLevel="0" collapsed="false">
      <c r="A841" s="16"/>
      <c r="B841" s="12"/>
      <c r="C841" s="18" t="str">
        <f aca="false">IF(B841="","",IFERROR(INDEX(Inventario!$B$7:$B$46,MATCH(B841,Inventario!$A$7:$A$46,0)),"Clave no existe"))</f>
        <v/>
      </c>
      <c r="D841" s="18" t="str">
        <f aca="false">IF(B841="","",IFERROR(INDEX(Inventario!$C$7:$C$46,MATCH(B841,Inventario!$A$7:$A$46,0)),""))</f>
        <v/>
      </c>
      <c r="E841" s="19"/>
      <c r="F841" s="19"/>
      <c r="G841" s="20" t="str">
        <f aca="false">IF(OR(E841="",F841=""),IF(B841="","",IF(A841="","",8)),F841-E841)</f>
        <v/>
      </c>
      <c r="H841" s="14"/>
      <c r="I841" s="12"/>
      <c r="J841" s="14"/>
      <c r="K841" s="20" t="str">
        <f aca="false">IF(OR(J841="",N(G841)=0),"",J841/G841)</f>
        <v/>
      </c>
      <c r="L841" s="12"/>
      <c r="M841" s="12"/>
      <c r="N841" s="12"/>
    </row>
    <row r="842" customFormat="false" ht="15" hidden="false" customHeight="false" outlineLevel="0" collapsed="false">
      <c r="A842" s="16"/>
      <c r="B842" s="12"/>
      <c r="C842" s="18" t="str">
        <f aca="false">IF(B842="","",IFERROR(INDEX(Inventario!$B$7:$B$46,MATCH(B842,Inventario!$A$7:$A$46,0)),"Clave no existe"))</f>
        <v/>
      </c>
      <c r="D842" s="18" t="str">
        <f aca="false">IF(B842="","",IFERROR(INDEX(Inventario!$C$7:$C$46,MATCH(B842,Inventario!$A$7:$A$46,0)),""))</f>
        <v/>
      </c>
      <c r="E842" s="19"/>
      <c r="F842" s="19"/>
      <c r="G842" s="20" t="str">
        <f aca="false">IF(OR(E842="",F842=""),IF(B842="","",IF(A842="","",8)),F842-E842)</f>
        <v/>
      </c>
      <c r="H842" s="14"/>
      <c r="I842" s="12"/>
      <c r="J842" s="14"/>
      <c r="K842" s="20" t="str">
        <f aca="false">IF(OR(J842="",N(G842)=0),"",J842/G842)</f>
        <v/>
      </c>
      <c r="L842" s="12"/>
      <c r="M842" s="12"/>
      <c r="N842" s="12"/>
    </row>
    <row r="843" customFormat="false" ht="15" hidden="false" customHeight="false" outlineLevel="0" collapsed="false">
      <c r="A843" s="16"/>
      <c r="B843" s="12"/>
      <c r="C843" s="18" t="str">
        <f aca="false">IF(B843="","",IFERROR(INDEX(Inventario!$B$7:$B$46,MATCH(B843,Inventario!$A$7:$A$46,0)),"Clave no existe"))</f>
        <v/>
      </c>
      <c r="D843" s="18" t="str">
        <f aca="false">IF(B843="","",IFERROR(INDEX(Inventario!$C$7:$C$46,MATCH(B843,Inventario!$A$7:$A$46,0)),""))</f>
        <v/>
      </c>
      <c r="E843" s="19"/>
      <c r="F843" s="19"/>
      <c r="G843" s="20" t="str">
        <f aca="false">IF(OR(E843="",F843=""),IF(B843="","",IF(A843="","",8)),F843-E843)</f>
        <v/>
      </c>
      <c r="H843" s="14"/>
      <c r="I843" s="12"/>
      <c r="J843" s="14"/>
      <c r="K843" s="20" t="str">
        <f aca="false">IF(OR(J843="",N(G843)=0),"",J843/G843)</f>
        <v/>
      </c>
      <c r="L843" s="12"/>
      <c r="M843" s="12"/>
      <c r="N843" s="12"/>
    </row>
    <row r="844" customFormat="false" ht="15" hidden="false" customHeight="false" outlineLevel="0" collapsed="false">
      <c r="A844" s="16"/>
      <c r="B844" s="12"/>
      <c r="C844" s="18" t="str">
        <f aca="false">IF(B844="","",IFERROR(INDEX(Inventario!$B$7:$B$46,MATCH(B844,Inventario!$A$7:$A$46,0)),"Clave no existe"))</f>
        <v/>
      </c>
      <c r="D844" s="18" t="str">
        <f aca="false">IF(B844="","",IFERROR(INDEX(Inventario!$C$7:$C$46,MATCH(B844,Inventario!$A$7:$A$46,0)),""))</f>
        <v/>
      </c>
      <c r="E844" s="19"/>
      <c r="F844" s="19"/>
      <c r="G844" s="20" t="str">
        <f aca="false">IF(OR(E844="",F844=""),IF(B844="","",IF(A844="","",8)),F844-E844)</f>
        <v/>
      </c>
      <c r="H844" s="14"/>
      <c r="I844" s="12"/>
      <c r="J844" s="14"/>
      <c r="K844" s="20" t="str">
        <f aca="false">IF(OR(J844="",N(G844)=0),"",J844/G844)</f>
        <v/>
      </c>
      <c r="L844" s="12"/>
      <c r="M844" s="12"/>
      <c r="N844" s="12"/>
    </row>
    <row r="845" customFormat="false" ht="15" hidden="false" customHeight="false" outlineLevel="0" collapsed="false">
      <c r="A845" s="16"/>
      <c r="B845" s="12"/>
      <c r="C845" s="18" t="str">
        <f aca="false">IF(B845="","",IFERROR(INDEX(Inventario!$B$7:$B$46,MATCH(B845,Inventario!$A$7:$A$46,0)),"Clave no existe"))</f>
        <v/>
      </c>
      <c r="D845" s="18" t="str">
        <f aca="false">IF(B845="","",IFERROR(INDEX(Inventario!$C$7:$C$46,MATCH(B845,Inventario!$A$7:$A$46,0)),""))</f>
        <v/>
      </c>
      <c r="E845" s="19"/>
      <c r="F845" s="19"/>
      <c r="G845" s="20" t="str">
        <f aca="false">IF(OR(E845="",F845=""),IF(B845="","",IF(A845="","",8)),F845-E845)</f>
        <v/>
      </c>
      <c r="H845" s="14"/>
      <c r="I845" s="12"/>
      <c r="J845" s="14"/>
      <c r="K845" s="20" t="str">
        <f aca="false">IF(OR(J845="",N(G845)=0),"",J845/G845)</f>
        <v/>
      </c>
      <c r="L845" s="12"/>
      <c r="M845" s="12"/>
      <c r="N845" s="12"/>
    </row>
    <row r="846" customFormat="false" ht="15" hidden="false" customHeight="false" outlineLevel="0" collapsed="false">
      <c r="A846" s="16"/>
      <c r="B846" s="12"/>
      <c r="C846" s="18" t="str">
        <f aca="false">IF(B846="","",IFERROR(INDEX(Inventario!$B$7:$B$46,MATCH(B846,Inventario!$A$7:$A$46,0)),"Clave no existe"))</f>
        <v/>
      </c>
      <c r="D846" s="18" t="str">
        <f aca="false">IF(B846="","",IFERROR(INDEX(Inventario!$C$7:$C$46,MATCH(B846,Inventario!$A$7:$A$46,0)),""))</f>
        <v/>
      </c>
      <c r="E846" s="19"/>
      <c r="F846" s="19"/>
      <c r="G846" s="20" t="str">
        <f aca="false">IF(OR(E846="",F846=""),IF(B846="","",IF(A846="","",8)),F846-E846)</f>
        <v/>
      </c>
      <c r="H846" s="14"/>
      <c r="I846" s="12"/>
      <c r="J846" s="14"/>
      <c r="K846" s="20" t="str">
        <f aca="false">IF(OR(J846="",N(G846)=0),"",J846/G846)</f>
        <v/>
      </c>
      <c r="L846" s="12"/>
      <c r="M846" s="12"/>
      <c r="N846" s="12"/>
    </row>
    <row r="847" customFormat="false" ht="15" hidden="false" customHeight="false" outlineLevel="0" collapsed="false">
      <c r="A847" s="16"/>
      <c r="B847" s="12"/>
      <c r="C847" s="18" t="str">
        <f aca="false">IF(B847="","",IFERROR(INDEX(Inventario!$B$7:$B$46,MATCH(B847,Inventario!$A$7:$A$46,0)),"Clave no existe"))</f>
        <v/>
      </c>
      <c r="D847" s="18" t="str">
        <f aca="false">IF(B847="","",IFERROR(INDEX(Inventario!$C$7:$C$46,MATCH(B847,Inventario!$A$7:$A$46,0)),""))</f>
        <v/>
      </c>
      <c r="E847" s="19"/>
      <c r="F847" s="19"/>
      <c r="G847" s="20" t="str">
        <f aca="false">IF(OR(E847="",F847=""),IF(B847="","",IF(A847="","",8)),F847-E847)</f>
        <v/>
      </c>
      <c r="H847" s="14"/>
      <c r="I847" s="12"/>
      <c r="J847" s="14"/>
      <c r="K847" s="20" t="str">
        <f aca="false">IF(OR(J847="",N(G847)=0),"",J847/G847)</f>
        <v/>
      </c>
      <c r="L847" s="12"/>
      <c r="M847" s="12"/>
      <c r="N847" s="12"/>
    </row>
    <row r="848" customFormat="false" ht="15" hidden="false" customHeight="false" outlineLevel="0" collapsed="false">
      <c r="A848" s="16"/>
      <c r="B848" s="12"/>
      <c r="C848" s="18" t="str">
        <f aca="false">IF(B848="","",IFERROR(INDEX(Inventario!$B$7:$B$46,MATCH(B848,Inventario!$A$7:$A$46,0)),"Clave no existe"))</f>
        <v/>
      </c>
      <c r="D848" s="18" t="str">
        <f aca="false">IF(B848="","",IFERROR(INDEX(Inventario!$C$7:$C$46,MATCH(B848,Inventario!$A$7:$A$46,0)),""))</f>
        <v/>
      </c>
      <c r="E848" s="19"/>
      <c r="F848" s="19"/>
      <c r="G848" s="20" t="str">
        <f aca="false">IF(OR(E848="",F848=""),IF(B848="","",IF(A848="","",8)),F848-E848)</f>
        <v/>
      </c>
      <c r="H848" s="14"/>
      <c r="I848" s="12"/>
      <c r="J848" s="14"/>
      <c r="K848" s="20" t="str">
        <f aca="false">IF(OR(J848="",N(G848)=0),"",J848/G848)</f>
        <v/>
      </c>
      <c r="L848" s="12"/>
      <c r="M848" s="12"/>
      <c r="N848" s="12"/>
    </row>
    <row r="849" customFormat="false" ht="15" hidden="false" customHeight="false" outlineLevel="0" collapsed="false">
      <c r="A849" s="16"/>
      <c r="B849" s="12"/>
      <c r="C849" s="18" t="str">
        <f aca="false">IF(B849="","",IFERROR(INDEX(Inventario!$B$7:$B$46,MATCH(B849,Inventario!$A$7:$A$46,0)),"Clave no existe"))</f>
        <v/>
      </c>
      <c r="D849" s="18" t="str">
        <f aca="false">IF(B849="","",IFERROR(INDEX(Inventario!$C$7:$C$46,MATCH(B849,Inventario!$A$7:$A$46,0)),""))</f>
        <v/>
      </c>
      <c r="E849" s="19"/>
      <c r="F849" s="19"/>
      <c r="G849" s="20" t="str">
        <f aca="false">IF(OR(E849="",F849=""),IF(B849="","",IF(A849="","",8)),F849-E849)</f>
        <v/>
      </c>
      <c r="H849" s="14"/>
      <c r="I849" s="12"/>
      <c r="J849" s="14"/>
      <c r="K849" s="20" t="str">
        <f aca="false">IF(OR(J849="",N(G849)=0),"",J849/G849)</f>
        <v/>
      </c>
      <c r="L849" s="12"/>
      <c r="M849" s="12"/>
      <c r="N849" s="12"/>
    </row>
    <row r="850" customFormat="false" ht="15" hidden="false" customHeight="false" outlineLevel="0" collapsed="false">
      <c r="A850" s="16"/>
      <c r="B850" s="12"/>
      <c r="C850" s="18" t="str">
        <f aca="false">IF(B850="","",IFERROR(INDEX(Inventario!$B$7:$B$46,MATCH(B850,Inventario!$A$7:$A$46,0)),"Clave no existe"))</f>
        <v/>
      </c>
      <c r="D850" s="18" t="str">
        <f aca="false">IF(B850="","",IFERROR(INDEX(Inventario!$C$7:$C$46,MATCH(B850,Inventario!$A$7:$A$46,0)),""))</f>
        <v/>
      </c>
      <c r="E850" s="19"/>
      <c r="F850" s="19"/>
      <c r="G850" s="20" t="str">
        <f aca="false">IF(OR(E850="",F850=""),IF(B850="","",IF(A850="","",8)),F850-E850)</f>
        <v/>
      </c>
      <c r="H850" s="14"/>
      <c r="I850" s="12"/>
      <c r="J850" s="14"/>
      <c r="K850" s="20" t="str">
        <f aca="false">IF(OR(J850="",N(G850)=0),"",J850/G850)</f>
        <v/>
      </c>
      <c r="L850" s="12"/>
      <c r="M850" s="12"/>
      <c r="N850" s="12"/>
    </row>
    <row r="851" customFormat="false" ht="15" hidden="false" customHeight="false" outlineLevel="0" collapsed="false">
      <c r="A851" s="16"/>
      <c r="B851" s="12"/>
      <c r="C851" s="18" t="str">
        <f aca="false">IF(B851="","",IFERROR(INDEX(Inventario!$B$7:$B$46,MATCH(B851,Inventario!$A$7:$A$46,0)),"Clave no existe"))</f>
        <v/>
      </c>
      <c r="D851" s="18" t="str">
        <f aca="false">IF(B851="","",IFERROR(INDEX(Inventario!$C$7:$C$46,MATCH(B851,Inventario!$A$7:$A$46,0)),""))</f>
        <v/>
      </c>
      <c r="E851" s="19"/>
      <c r="F851" s="19"/>
      <c r="G851" s="20" t="str">
        <f aca="false">IF(OR(E851="",F851=""),IF(B851="","",IF(A851="","",8)),F851-E851)</f>
        <v/>
      </c>
      <c r="H851" s="14"/>
      <c r="I851" s="12"/>
      <c r="J851" s="14"/>
      <c r="K851" s="20" t="str">
        <f aca="false">IF(OR(J851="",N(G851)=0),"",J851/G851)</f>
        <v/>
      </c>
      <c r="L851" s="12"/>
      <c r="M851" s="12"/>
      <c r="N851" s="12"/>
    </row>
    <row r="852" customFormat="false" ht="15" hidden="false" customHeight="false" outlineLevel="0" collapsed="false">
      <c r="A852" s="16"/>
      <c r="B852" s="12"/>
      <c r="C852" s="18" t="str">
        <f aca="false">IF(B852="","",IFERROR(INDEX(Inventario!$B$7:$B$46,MATCH(B852,Inventario!$A$7:$A$46,0)),"Clave no existe"))</f>
        <v/>
      </c>
      <c r="D852" s="18" t="str">
        <f aca="false">IF(B852="","",IFERROR(INDEX(Inventario!$C$7:$C$46,MATCH(B852,Inventario!$A$7:$A$46,0)),""))</f>
        <v/>
      </c>
      <c r="E852" s="19"/>
      <c r="F852" s="19"/>
      <c r="G852" s="20" t="str">
        <f aca="false">IF(OR(E852="",F852=""),IF(B852="","",IF(A852="","",8)),F852-E852)</f>
        <v/>
      </c>
      <c r="H852" s="14"/>
      <c r="I852" s="12"/>
      <c r="J852" s="14"/>
      <c r="K852" s="20" t="str">
        <f aca="false">IF(OR(J852="",N(G852)=0),"",J852/G852)</f>
        <v/>
      </c>
      <c r="L852" s="12"/>
      <c r="M852" s="12"/>
      <c r="N852" s="12"/>
    </row>
    <row r="853" customFormat="false" ht="15" hidden="false" customHeight="false" outlineLevel="0" collapsed="false">
      <c r="A853" s="16"/>
      <c r="B853" s="12"/>
      <c r="C853" s="18" t="str">
        <f aca="false">IF(B853="","",IFERROR(INDEX(Inventario!$B$7:$B$46,MATCH(B853,Inventario!$A$7:$A$46,0)),"Clave no existe"))</f>
        <v/>
      </c>
      <c r="D853" s="18" t="str">
        <f aca="false">IF(B853="","",IFERROR(INDEX(Inventario!$C$7:$C$46,MATCH(B853,Inventario!$A$7:$A$46,0)),""))</f>
        <v/>
      </c>
      <c r="E853" s="19"/>
      <c r="F853" s="19"/>
      <c r="G853" s="20" t="str">
        <f aca="false">IF(OR(E853="",F853=""),IF(B853="","",IF(A853="","",8)),F853-E853)</f>
        <v/>
      </c>
      <c r="H853" s="14"/>
      <c r="I853" s="12"/>
      <c r="J853" s="14"/>
      <c r="K853" s="20" t="str">
        <f aca="false">IF(OR(J853="",N(G853)=0),"",J853/G853)</f>
        <v/>
      </c>
      <c r="L853" s="12"/>
      <c r="M853" s="12"/>
      <c r="N853" s="12"/>
    </row>
    <row r="854" customFormat="false" ht="15" hidden="false" customHeight="false" outlineLevel="0" collapsed="false">
      <c r="A854" s="16"/>
      <c r="B854" s="12"/>
      <c r="C854" s="18" t="str">
        <f aca="false">IF(B854="","",IFERROR(INDEX(Inventario!$B$7:$B$46,MATCH(B854,Inventario!$A$7:$A$46,0)),"Clave no existe"))</f>
        <v/>
      </c>
      <c r="D854" s="18" t="str">
        <f aca="false">IF(B854="","",IFERROR(INDEX(Inventario!$C$7:$C$46,MATCH(B854,Inventario!$A$7:$A$46,0)),""))</f>
        <v/>
      </c>
      <c r="E854" s="19"/>
      <c r="F854" s="19"/>
      <c r="G854" s="20" t="str">
        <f aca="false">IF(OR(E854="",F854=""),IF(B854="","",IF(A854="","",8)),F854-E854)</f>
        <v/>
      </c>
      <c r="H854" s="14"/>
      <c r="I854" s="12"/>
      <c r="J854" s="14"/>
      <c r="K854" s="20" t="str">
        <f aca="false">IF(OR(J854="",N(G854)=0),"",J854/G854)</f>
        <v/>
      </c>
      <c r="L854" s="12"/>
      <c r="M854" s="12"/>
      <c r="N854" s="12"/>
    </row>
    <row r="855" customFormat="false" ht="15" hidden="false" customHeight="false" outlineLevel="0" collapsed="false">
      <c r="A855" s="16"/>
      <c r="B855" s="12"/>
      <c r="C855" s="18" t="str">
        <f aca="false">IF(B855="","",IFERROR(INDEX(Inventario!$B$7:$B$46,MATCH(B855,Inventario!$A$7:$A$46,0)),"Clave no existe"))</f>
        <v/>
      </c>
      <c r="D855" s="18" t="str">
        <f aca="false">IF(B855="","",IFERROR(INDEX(Inventario!$C$7:$C$46,MATCH(B855,Inventario!$A$7:$A$46,0)),""))</f>
        <v/>
      </c>
      <c r="E855" s="19"/>
      <c r="F855" s="19"/>
      <c r="G855" s="20" t="str">
        <f aca="false">IF(OR(E855="",F855=""),IF(B855="","",IF(A855="","",8)),F855-E855)</f>
        <v/>
      </c>
      <c r="H855" s="14"/>
      <c r="I855" s="12"/>
      <c r="J855" s="14"/>
      <c r="K855" s="20" t="str">
        <f aca="false">IF(OR(J855="",N(G855)=0),"",J855/G855)</f>
        <v/>
      </c>
      <c r="L855" s="12"/>
      <c r="M855" s="12"/>
      <c r="N855" s="12"/>
    </row>
    <row r="856" customFormat="false" ht="15" hidden="false" customHeight="false" outlineLevel="0" collapsed="false">
      <c r="A856" s="16"/>
      <c r="B856" s="12"/>
      <c r="C856" s="18" t="str">
        <f aca="false">IF(B856="","",IFERROR(INDEX(Inventario!$B$7:$B$46,MATCH(B856,Inventario!$A$7:$A$46,0)),"Clave no existe"))</f>
        <v/>
      </c>
      <c r="D856" s="18" t="str">
        <f aca="false">IF(B856="","",IFERROR(INDEX(Inventario!$C$7:$C$46,MATCH(B856,Inventario!$A$7:$A$46,0)),""))</f>
        <v/>
      </c>
      <c r="E856" s="19"/>
      <c r="F856" s="19"/>
      <c r="G856" s="20" t="str">
        <f aca="false">IF(OR(E856="",F856=""),IF(B856="","",IF(A856="","",8)),F856-E856)</f>
        <v/>
      </c>
      <c r="H856" s="14"/>
      <c r="I856" s="12"/>
      <c r="J856" s="14"/>
      <c r="K856" s="20" t="str">
        <f aca="false">IF(OR(J856="",N(G856)=0),"",J856/G856)</f>
        <v/>
      </c>
      <c r="L856" s="12"/>
      <c r="M856" s="12"/>
      <c r="N856" s="12"/>
    </row>
    <row r="857" customFormat="false" ht="15" hidden="false" customHeight="false" outlineLevel="0" collapsed="false">
      <c r="A857" s="16"/>
      <c r="B857" s="12"/>
      <c r="C857" s="18" t="str">
        <f aca="false">IF(B857="","",IFERROR(INDEX(Inventario!$B$7:$B$46,MATCH(B857,Inventario!$A$7:$A$46,0)),"Clave no existe"))</f>
        <v/>
      </c>
      <c r="D857" s="18" t="str">
        <f aca="false">IF(B857="","",IFERROR(INDEX(Inventario!$C$7:$C$46,MATCH(B857,Inventario!$A$7:$A$46,0)),""))</f>
        <v/>
      </c>
      <c r="E857" s="19"/>
      <c r="F857" s="19"/>
      <c r="G857" s="20" t="str">
        <f aca="false">IF(OR(E857="",F857=""),IF(B857="","",IF(A857="","",8)),F857-E857)</f>
        <v/>
      </c>
      <c r="H857" s="14"/>
      <c r="I857" s="12"/>
      <c r="J857" s="14"/>
      <c r="K857" s="20" t="str">
        <f aca="false">IF(OR(J857="",N(G857)=0),"",J857/G857)</f>
        <v/>
      </c>
      <c r="L857" s="12"/>
      <c r="M857" s="12"/>
      <c r="N857" s="12"/>
    </row>
    <row r="858" customFormat="false" ht="15" hidden="false" customHeight="false" outlineLevel="0" collapsed="false">
      <c r="A858" s="16"/>
      <c r="B858" s="12"/>
      <c r="C858" s="18" t="str">
        <f aca="false">IF(B858="","",IFERROR(INDEX(Inventario!$B$7:$B$46,MATCH(B858,Inventario!$A$7:$A$46,0)),"Clave no existe"))</f>
        <v/>
      </c>
      <c r="D858" s="18" t="str">
        <f aca="false">IF(B858="","",IFERROR(INDEX(Inventario!$C$7:$C$46,MATCH(B858,Inventario!$A$7:$A$46,0)),""))</f>
        <v/>
      </c>
      <c r="E858" s="19"/>
      <c r="F858" s="19"/>
      <c r="G858" s="20" t="str">
        <f aca="false">IF(OR(E858="",F858=""),IF(B858="","",IF(A858="","",8)),F858-E858)</f>
        <v/>
      </c>
      <c r="H858" s="14"/>
      <c r="I858" s="12"/>
      <c r="J858" s="14"/>
      <c r="K858" s="20" t="str">
        <f aca="false">IF(OR(J858="",N(G858)=0),"",J858/G858)</f>
        <v/>
      </c>
      <c r="L858" s="12"/>
      <c r="M858" s="12"/>
      <c r="N858" s="12"/>
    </row>
    <row r="859" customFormat="false" ht="15" hidden="false" customHeight="false" outlineLevel="0" collapsed="false">
      <c r="A859" s="16"/>
      <c r="B859" s="12"/>
      <c r="C859" s="18" t="str">
        <f aca="false">IF(B859="","",IFERROR(INDEX(Inventario!$B$7:$B$46,MATCH(B859,Inventario!$A$7:$A$46,0)),"Clave no existe"))</f>
        <v/>
      </c>
      <c r="D859" s="18" t="str">
        <f aca="false">IF(B859="","",IFERROR(INDEX(Inventario!$C$7:$C$46,MATCH(B859,Inventario!$A$7:$A$46,0)),""))</f>
        <v/>
      </c>
      <c r="E859" s="19"/>
      <c r="F859" s="19"/>
      <c r="G859" s="20" t="str">
        <f aca="false">IF(OR(E859="",F859=""),IF(B859="","",IF(A859="","",8)),F859-E859)</f>
        <v/>
      </c>
      <c r="H859" s="14"/>
      <c r="I859" s="12"/>
      <c r="J859" s="14"/>
      <c r="K859" s="20" t="str">
        <f aca="false">IF(OR(J859="",N(G859)=0),"",J859/G859)</f>
        <v/>
      </c>
      <c r="L859" s="12"/>
      <c r="M859" s="12"/>
      <c r="N859" s="12"/>
    </row>
    <row r="860" customFormat="false" ht="15" hidden="false" customHeight="false" outlineLevel="0" collapsed="false">
      <c r="A860" s="16"/>
      <c r="B860" s="12"/>
      <c r="C860" s="18" t="str">
        <f aca="false">IF(B860="","",IFERROR(INDEX(Inventario!$B$7:$B$46,MATCH(B860,Inventario!$A$7:$A$46,0)),"Clave no existe"))</f>
        <v/>
      </c>
      <c r="D860" s="18" t="str">
        <f aca="false">IF(B860="","",IFERROR(INDEX(Inventario!$C$7:$C$46,MATCH(B860,Inventario!$A$7:$A$46,0)),""))</f>
        <v/>
      </c>
      <c r="E860" s="19"/>
      <c r="F860" s="19"/>
      <c r="G860" s="20" t="str">
        <f aca="false">IF(OR(E860="",F860=""),IF(B860="","",IF(A860="","",8)),F860-E860)</f>
        <v/>
      </c>
      <c r="H860" s="14"/>
      <c r="I860" s="12"/>
      <c r="J860" s="14"/>
      <c r="K860" s="20" t="str">
        <f aca="false">IF(OR(J860="",N(G860)=0),"",J860/G860)</f>
        <v/>
      </c>
      <c r="L860" s="12"/>
      <c r="M860" s="12"/>
      <c r="N860" s="12"/>
    </row>
    <row r="861" customFormat="false" ht="15" hidden="false" customHeight="false" outlineLevel="0" collapsed="false">
      <c r="A861" s="16"/>
      <c r="B861" s="12"/>
      <c r="C861" s="18" t="str">
        <f aca="false">IF(B861="","",IFERROR(INDEX(Inventario!$B$7:$B$46,MATCH(B861,Inventario!$A$7:$A$46,0)),"Clave no existe"))</f>
        <v/>
      </c>
      <c r="D861" s="18" t="str">
        <f aca="false">IF(B861="","",IFERROR(INDEX(Inventario!$C$7:$C$46,MATCH(B861,Inventario!$A$7:$A$46,0)),""))</f>
        <v/>
      </c>
      <c r="E861" s="19"/>
      <c r="F861" s="19"/>
      <c r="G861" s="20" t="str">
        <f aca="false">IF(OR(E861="",F861=""),IF(B861="","",IF(A861="","",8)),F861-E861)</f>
        <v/>
      </c>
      <c r="H861" s="14"/>
      <c r="I861" s="12"/>
      <c r="J861" s="14"/>
      <c r="K861" s="20" t="str">
        <f aca="false">IF(OR(J861="",N(G861)=0),"",J861/G861)</f>
        <v/>
      </c>
      <c r="L861" s="12"/>
      <c r="M861" s="12"/>
      <c r="N861" s="12"/>
    </row>
    <row r="862" customFormat="false" ht="15" hidden="false" customHeight="false" outlineLevel="0" collapsed="false">
      <c r="A862" s="16"/>
      <c r="B862" s="12"/>
      <c r="C862" s="18" t="str">
        <f aca="false">IF(B862="","",IFERROR(INDEX(Inventario!$B$7:$B$46,MATCH(B862,Inventario!$A$7:$A$46,0)),"Clave no existe"))</f>
        <v/>
      </c>
      <c r="D862" s="18" t="str">
        <f aca="false">IF(B862="","",IFERROR(INDEX(Inventario!$C$7:$C$46,MATCH(B862,Inventario!$A$7:$A$46,0)),""))</f>
        <v/>
      </c>
      <c r="E862" s="19"/>
      <c r="F862" s="19"/>
      <c r="G862" s="20" t="str">
        <f aca="false">IF(OR(E862="",F862=""),IF(B862="","",IF(A862="","",8)),F862-E862)</f>
        <v/>
      </c>
      <c r="H862" s="14"/>
      <c r="I862" s="12"/>
      <c r="J862" s="14"/>
      <c r="K862" s="20" t="str">
        <f aca="false">IF(OR(J862="",N(G862)=0),"",J862/G862)</f>
        <v/>
      </c>
      <c r="L862" s="12"/>
      <c r="M862" s="12"/>
      <c r="N862" s="12"/>
    </row>
    <row r="863" customFormat="false" ht="15" hidden="false" customHeight="false" outlineLevel="0" collapsed="false">
      <c r="A863" s="16"/>
      <c r="B863" s="12"/>
      <c r="C863" s="18" t="str">
        <f aca="false">IF(B863="","",IFERROR(INDEX(Inventario!$B$7:$B$46,MATCH(B863,Inventario!$A$7:$A$46,0)),"Clave no existe"))</f>
        <v/>
      </c>
      <c r="D863" s="18" t="str">
        <f aca="false">IF(B863="","",IFERROR(INDEX(Inventario!$C$7:$C$46,MATCH(B863,Inventario!$A$7:$A$46,0)),""))</f>
        <v/>
      </c>
      <c r="E863" s="19"/>
      <c r="F863" s="19"/>
      <c r="G863" s="20" t="str">
        <f aca="false">IF(OR(E863="",F863=""),IF(B863="","",IF(A863="","",8)),F863-E863)</f>
        <v/>
      </c>
      <c r="H863" s="14"/>
      <c r="I863" s="12"/>
      <c r="J863" s="14"/>
      <c r="K863" s="20" t="str">
        <f aca="false">IF(OR(J863="",N(G863)=0),"",J863/G863)</f>
        <v/>
      </c>
      <c r="L863" s="12"/>
      <c r="M863" s="12"/>
      <c r="N863" s="12"/>
    </row>
    <row r="864" customFormat="false" ht="15" hidden="false" customHeight="false" outlineLevel="0" collapsed="false">
      <c r="A864" s="16"/>
      <c r="B864" s="12"/>
      <c r="C864" s="18" t="str">
        <f aca="false">IF(B864="","",IFERROR(INDEX(Inventario!$B$7:$B$46,MATCH(B864,Inventario!$A$7:$A$46,0)),"Clave no existe"))</f>
        <v/>
      </c>
      <c r="D864" s="18" t="str">
        <f aca="false">IF(B864="","",IFERROR(INDEX(Inventario!$C$7:$C$46,MATCH(B864,Inventario!$A$7:$A$46,0)),""))</f>
        <v/>
      </c>
      <c r="E864" s="19"/>
      <c r="F864" s="19"/>
      <c r="G864" s="20" t="str">
        <f aca="false">IF(OR(E864="",F864=""),IF(B864="","",IF(A864="","",8)),F864-E864)</f>
        <v/>
      </c>
      <c r="H864" s="14"/>
      <c r="I864" s="12"/>
      <c r="J864" s="14"/>
      <c r="K864" s="20" t="str">
        <f aca="false">IF(OR(J864="",N(G864)=0),"",J864/G864)</f>
        <v/>
      </c>
      <c r="L864" s="12"/>
      <c r="M864" s="12"/>
      <c r="N864" s="12"/>
    </row>
    <row r="865" customFormat="false" ht="15" hidden="false" customHeight="false" outlineLevel="0" collapsed="false">
      <c r="A865" s="16"/>
      <c r="B865" s="12"/>
      <c r="C865" s="18" t="str">
        <f aca="false">IF(B865="","",IFERROR(INDEX(Inventario!$B$7:$B$46,MATCH(B865,Inventario!$A$7:$A$46,0)),"Clave no existe"))</f>
        <v/>
      </c>
      <c r="D865" s="18" t="str">
        <f aca="false">IF(B865="","",IFERROR(INDEX(Inventario!$C$7:$C$46,MATCH(B865,Inventario!$A$7:$A$46,0)),""))</f>
        <v/>
      </c>
      <c r="E865" s="19"/>
      <c r="F865" s="19"/>
      <c r="G865" s="20" t="str">
        <f aca="false">IF(OR(E865="",F865=""),IF(B865="","",IF(A865="","",8)),F865-E865)</f>
        <v/>
      </c>
      <c r="H865" s="14"/>
      <c r="I865" s="12"/>
      <c r="J865" s="14"/>
      <c r="K865" s="20" t="str">
        <f aca="false">IF(OR(J865="",N(G865)=0),"",J865/G865)</f>
        <v/>
      </c>
      <c r="L865" s="12"/>
      <c r="M865" s="12"/>
      <c r="N865" s="12"/>
    </row>
    <row r="866" customFormat="false" ht="15" hidden="false" customHeight="false" outlineLevel="0" collapsed="false">
      <c r="A866" s="16"/>
      <c r="B866" s="12"/>
      <c r="C866" s="18" t="str">
        <f aca="false">IF(B866="","",IFERROR(INDEX(Inventario!$B$7:$B$46,MATCH(B866,Inventario!$A$7:$A$46,0)),"Clave no existe"))</f>
        <v/>
      </c>
      <c r="D866" s="18" t="str">
        <f aca="false">IF(B866="","",IFERROR(INDEX(Inventario!$C$7:$C$46,MATCH(B866,Inventario!$A$7:$A$46,0)),""))</f>
        <v/>
      </c>
      <c r="E866" s="19"/>
      <c r="F866" s="19"/>
      <c r="G866" s="20" t="str">
        <f aca="false">IF(OR(E866="",F866=""),IF(B866="","",IF(A866="","",8)),F866-E866)</f>
        <v/>
      </c>
      <c r="H866" s="14"/>
      <c r="I866" s="12"/>
      <c r="J866" s="14"/>
      <c r="K866" s="20" t="str">
        <f aca="false">IF(OR(J866="",N(G866)=0),"",J866/G866)</f>
        <v/>
      </c>
      <c r="L866" s="12"/>
      <c r="M866" s="12"/>
      <c r="N866" s="12"/>
    </row>
    <row r="867" customFormat="false" ht="15" hidden="false" customHeight="false" outlineLevel="0" collapsed="false">
      <c r="A867" s="16"/>
      <c r="B867" s="12"/>
      <c r="C867" s="18" t="str">
        <f aca="false">IF(B867="","",IFERROR(INDEX(Inventario!$B$7:$B$46,MATCH(B867,Inventario!$A$7:$A$46,0)),"Clave no existe"))</f>
        <v/>
      </c>
      <c r="D867" s="18" t="str">
        <f aca="false">IF(B867="","",IFERROR(INDEX(Inventario!$C$7:$C$46,MATCH(B867,Inventario!$A$7:$A$46,0)),""))</f>
        <v/>
      </c>
      <c r="E867" s="19"/>
      <c r="F867" s="19"/>
      <c r="G867" s="20" t="str">
        <f aca="false">IF(OR(E867="",F867=""),IF(B867="","",IF(A867="","",8)),F867-E867)</f>
        <v/>
      </c>
      <c r="H867" s="14"/>
      <c r="I867" s="12"/>
      <c r="J867" s="14"/>
      <c r="K867" s="20" t="str">
        <f aca="false">IF(OR(J867="",N(G867)=0),"",J867/G867)</f>
        <v/>
      </c>
      <c r="L867" s="12"/>
      <c r="M867" s="12"/>
      <c r="N867" s="12"/>
    </row>
    <row r="868" customFormat="false" ht="15" hidden="false" customHeight="false" outlineLevel="0" collapsed="false">
      <c r="A868" s="16"/>
      <c r="B868" s="12"/>
      <c r="C868" s="18" t="str">
        <f aca="false">IF(B868="","",IFERROR(INDEX(Inventario!$B$7:$B$46,MATCH(B868,Inventario!$A$7:$A$46,0)),"Clave no existe"))</f>
        <v/>
      </c>
      <c r="D868" s="18" t="str">
        <f aca="false">IF(B868="","",IFERROR(INDEX(Inventario!$C$7:$C$46,MATCH(B868,Inventario!$A$7:$A$46,0)),""))</f>
        <v/>
      </c>
      <c r="E868" s="19"/>
      <c r="F868" s="19"/>
      <c r="G868" s="20" t="str">
        <f aca="false">IF(OR(E868="",F868=""),IF(B868="","",IF(A868="","",8)),F868-E868)</f>
        <v/>
      </c>
      <c r="H868" s="14"/>
      <c r="I868" s="12"/>
      <c r="J868" s="14"/>
      <c r="K868" s="20" t="str">
        <f aca="false">IF(OR(J868="",N(G868)=0),"",J868/G868)</f>
        <v/>
      </c>
      <c r="L868" s="12"/>
      <c r="M868" s="12"/>
      <c r="N868" s="12"/>
    </row>
    <row r="869" customFormat="false" ht="15" hidden="false" customHeight="false" outlineLevel="0" collapsed="false">
      <c r="A869" s="16"/>
      <c r="B869" s="12"/>
      <c r="C869" s="18" t="str">
        <f aca="false">IF(B869="","",IFERROR(INDEX(Inventario!$B$7:$B$46,MATCH(B869,Inventario!$A$7:$A$46,0)),"Clave no existe"))</f>
        <v/>
      </c>
      <c r="D869" s="18" t="str">
        <f aca="false">IF(B869="","",IFERROR(INDEX(Inventario!$C$7:$C$46,MATCH(B869,Inventario!$A$7:$A$46,0)),""))</f>
        <v/>
      </c>
      <c r="E869" s="19"/>
      <c r="F869" s="19"/>
      <c r="G869" s="20" t="str">
        <f aca="false">IF(OR(E869="",F869=""),IF(B869="","",IF(A869="","",8)),F869-E869)</f>
        <v/>
      </c>
      <c r="H869" s="14"/>
      <c r="I869" s="12"/>
      <c r="J869" s="14"/>
      <c r="K869" s="20" t="str">
        <f aca="false">IF(OR(J869="",N(G869)=0),"",J869/G869)</f>
        <v/>
      </c>
      <c r="L869" s="12"/>
      <c r="M869" s="12"/>
      <c r="N869" s="12"/>
    </row>
    <row r="870" customFormat="false" ht="15" hidden="false" customHeight="false" outlineLevel="0" collapsed="false">
      <c r="A870" s="16"/>
      <c r="B870" s="12"/>
      <c r="C870" s="18" t="str">
        <f aca="false">IF(B870="","",IFERROR(INDEX(Inventario!$B$7:$B$46,MATCH(B870,Inventario!$A$7:$A$46,0)),"Clave no existe"))</f>
        <v/>
      </c>
      <c r="D870" s="18" t="str">
        <f aca="false">IF(B870="","",IFERROR(INDEX(Inventario!$C$7:$C$46,MATCH(B870,Inventario!$A$7:$A$46,0)),""))</f>
        <v/>
      </c>
      <c r="E870" s="19"/>
      <c r="F870" s="19"/>
      <c r="G870" s="20" t="str">
        <f aca="false">IF(OR(E870="",F870=""),IF(B870="","",IF(A870="","",8)),F870-E870)</f>
        <v/>
      </c>
      <c r="H870" s="14"/>
      <c r="I870" s="12"/>
      <c r="J870" s="14"/>
      <c r="K870" s="20" t="str">
        <f aca="false">IF(OR(J870="",N(G870)=0),"",J870/G870)</f>
        <v/>
      </c>
      <c r="L870" s="12"/>
      <c r="M870" s="12"/>
      <c r="N870" s="12"/>
    </row>
    <row r="871" customFormat="false" ht="15" hidden="false" customHeight="false" outlineLevel="0" collapsed="false">
      <c r="A871" s="16"/>
      <c r="B871" s="12"/>
      <c r="C871" s="18" t="str">
        <f aca="false">IF(B871="","",IFERROR(INDEX(Inventario!$B$7:$B$46,MATCH(B871,Inventario!$A$7:$A$46,0)),"Clave no existe"))</f>
        <v/>
      </c>
      <c r="D871" s="18" t="str">
        <f aca="false">IF(B871="","",IFERROR(INDEX(Inventario!$C$7:$C$46,MATCH(B871,Inventario!$A$7:$A$46,0)),""))</f>
        <v/>
      </c>
      <c r="E871" s="19"/>
      <c r="F871" s="19"/>
      <c r="G871" s="20" t="str">
        <f aca="false">IF(OR(E871="",F871=""),IF(B871="","",IF(A871="","",8)),F871-E871)</f>
        <v/>
      </c>
      <c r="H871" s="14"/>
      <c r="I871" s="12"/>
      <c r="J871" s="14"/>
      <c r="K871" s="20" t="str">
        <f aca="false">IF(OR(J871="",N(G871)=0),"",J871/G871)</f>
        <v/>
      </c>
      <c r="L871" s="12"/>
      <c r="M871" s="12"/>
      <c r="N871" s="12"/>
    </row>
    <row r="872" customFormat="false" ht="15" hidden="false" customHeight="false" outlineLevel="0" collapsed="false">
      <c r="A872" s="16"/>
      <c r="B872" s="12"/>
      <c r="C872" s="18" t="str">
        <f aca="false">IF(B872="","",IFERROR(INDEX(Inventario!$B$7:$B$46,MATCH(B872,Inventario!$A$7:$A$46,0)),"Clave no existe"))</f>
        <v/>
      </c>
      <c r="D872" s="18" t="str">
        <f aca="false">IF(B872="","",IFERROR(INDEX(Inventario!$C$7:$C$46,MATCH(B872,Inventario!$A$7:$A$46,0)),""))</f>
        <v/>
      </c>
      <c r="E872" s="19"/>
      <c r="F872" s="19"/>
      <c r="G872" s="20" t="str">
        <f aca="false">IF(OR(E872="",F872=""),IF(B872="","",IF(A872="","",8)),F872-E872)</f>
        <v/>
      </c>
      <c r="H872" s="14"/>
      <c r="I872" s="12"/>
      <c r="J872" s="14"/>
      <c r="K872" s="20" t="str">
        <f aca="false">IF(OR(J872="",N(G872)=0),"",J872/G872)</f>
        <v/>
      </c>
      <c r="L872" s="12"/>
      <c r="M872" s="12"/>
      <c r="N872" s="12"/>
    </row>
    <row r="873" customFormat="false" ht="15" hidden="false" customHeight="false" outlineLevel="0" collapsed="false">
      <c r="A873" s="16"/>
      <c r="B873" s="12"/>
      <c r="C873" s="18" t="str">
        <f aca="false">IF(B873="","",IFERROR(INDEX(Inventario!$B$7:$B$46,MATCH(B873,Inventario!$A$7:$A$46,0)),"Clave no existe"))</f>
        <v/>
      </c>
      <c r="D873" s="18" t="str">
        <f aca="false">IF(B873="","",IFERROR(INDEX(Inventario!$C$7:$C$46,MATCH(B873,Inventario!$A$7:$A$46,0)),""))</f>
        <v/>
      </c>
      <c r="E873" s="19"/>
      <c r="F873" s="19"/>
      <c r="G873" s="20" t="str">
        <f aca="false">IF(OR(E873="",F873=""),IF(B873="","",IF(A873="","",8)),F873-E873)</f>
        <v/>
      </c>
      <c r="H873" s="14"/>
      <c r="I873" s="12"/>
      <c r="J873" s="14"/>
      <c r="K873" s="20" t="str">
        <f aca="false">IF(OR(J873="",N(G873)=0),"",J873/G873)</f>
        <v/>
      </c>
      <c r="L873" s="12"/>
      <c r="M873" s="12"/>
      <c r="N873" s="12"/>
    </row>
    <row r="874" customFormat="false" ht="15" hidden="false" customHeight="false" outlineLevel="0" collapsed="false">
      <c r="A874" s="16"/>
      <c r="B874" s="12"/>
      <c r="C874" s="18" t="str">
        <f aca="false">IF(B874="","",IFERROR(INDEX(Inventario!$B$7:$B$46,MATCH(B874,Inventario!$A$7:$A$46,0)),"Clave no existe"))</f>
        <v/>
      </c>
      <c r="D874" s="18" t="str">
        <f aca="false">IF(B874="","",IFERROR(INDEX(Inventario!$C$7:$C$46,MATCH(B874,Inventario!$A$7:$A$46,0)),""))</f>
        <v/>
      </c>
      <c r="E874" s="19"/>
      <c r="F874" s="19"/>
      <c r="G874" s="20" t="str">
        <f aca="false">IF(OR(E874="",F874=""),IF(B874="","",IF(A874="","",8)),F874-E874)</f>
        <v/>
      </c>
      <c r="H874" s="14"/>
      <c r="I874" s="12"/>
      <c r="J874" s="14"/>
      <c r="K874" s="20" t="str">
        <f aca="false">IF(OR(J874="",N(G874)=0),"",J874/G874)</f>
        <v/>
      </c>
      <c r="L874" s="12"/>
      <c r="M874" s="12"/>
      <c r="N874" s="12"/>
    </row>
    <row r="875" customFormat="false" ht="15" hidden="false" customHeight="false" outlineLevel="0" collapsed="false">
      <c r="A875" s="16"/>
      <c r="B875" s="12"/>
      <c r="C875" s="18" t="str">
        <f aca="false">IF(B875="","",IFERROR(INDEX(Inventario!$B$7:$B$46,MATCH(B875,Inventario!$A$7:$A$46,0)),"Clave no existe"))</f>
        <v/>
      </c>
      <c r="D875" s="18" t="str">
        <f aca="false">IF(B875="","",IFERROR(INDEX(Inventario!$C$7:$C$46,MATCH(B875,Inventario!$A$7:$A$46,0)),""))</f>
        <v/>
      </c>
      <c r="E875" s="19"/>
      <c r="F875" s="19"/>
      <c r="G875" s="20" t="str">
        <f aca="false">IF(OR(E875="",F875=""),IF(B875="","",IF(A875="","",8)),F875-E875)</f>
        <v/>
      </c>
      <c r="H875" s="14"/>
      <c r="I875" s="12"/>
      <c r="J875" s="14"/>
      <c r="K875" s="20" t="str">
        <f aca="false">IF(OR(J875="",N(G875)=0),"",J875/G875)</f>
        <v/>
      </c>
      <c r="L875" s="12"/>
      <c r="M875" s="12"/>
      <c r="N875" s="12"/>
    </row>
    <row r="876" customFormat="false" ht="15" hidden="false" customHeight="false" outlineLevel="0" collapsed="false">
      <c r="A876" s="16"/>
      <c r="B876" s="12"/>
      <c r="C876" s="18" t="str">
        <f aca="false">IF(B876="","",IFERROR(INDEX(Inventario!$B$7:$B$46,MATCH(B876,Inventario!$A$7:$A$46,0)),"Clave no existe"))</f>
        <v/>
      </c>
      <c r="D876" s="18" t="str">
        <f aca="false">IF(B876="","",IFERROR(INDEX(Inventario!$C$7:$C$46,MATCH(B876,Inventario!$A$7:$A$46,0)),""))</f>
        <v/>
      </c>
      <c r="E876" s="19"/>
      <c r="F876" s="19"/>
      <c r="G876" s="20" t="str">
        <f aca="false">IF(OR(E876="",F876=""),IF(B876="","",IF(A876="","",8)),F876-E876)</f>
        <v/>
      </c>
      <c r="H876" s="14"/>
      <c r="I876" s="12"/>
      <c r="J876" s="14"/>
      <c r="K876" s="20" t="str">
        <f aca="false">IF(OR(J876="",N(G876)=0),"",J876/G876)</f>
        <v/>
      </c>
      <c r="L876" s="12"/>
      <c r="M876" s="12"/>
      <c r="N876" s="12"/>
    </row>
    <row r="877" customFormat="false" ht="15" hidden="false" customHeight="false" outlineLevel="0" collapsed="false">
      <c r="A877" s="16"/>
      <c r="B877" s="12"/>
      <c r="C877" s="18" t="str">
        <f aca="false">IF(B877="","",IFERROR(INDEX(Inventario!$B$7:$B$46,MATCH(B877,Inventario!$A$7:$A$46,0)),"Clave no existe"))</f>
        <v/>
      </c>
      <c r="D877" s="18" t="str">
        <f aca="false">IF(B877="","",IFERROR(INDEX(Inventario!$C$7:$C$46,MATCH(B877,Inventario!$A$7:$A$46,0)),""))</f>
        <v/>
      </c>
      <c r="E877" s="19"/>
      <c r="F877" s="19"/>
      <c r="G877" s="20" t="str">
        <f aca="false">IF(OR(E877="",F877=""),IF(B877="","",IF(A877="","",8)),F877-E877)</f>
        <v/>
      </c>
      <c r="H877" s="14"/>
      <c r="I877" s="12"/>
      <c r="J877" s="14"/>
      <c r="K877" s="20" t="str">
        <f aca="false">IF(OR(J877="",N(G877)=0),"",J877/G877)</f>
        <v/>
      </c>
      <c r="L877" s="12"/>
      <c r="M877" s="12"/>
      <c r="N877" s="12"/>
    </row>
    <row r="878" customFormat="false" ht="15" hidden="false" customHeight="false" outlineLevel="0" collapsed="false">
      <c r="A878" s="16"/>
      <c r="B878" s="12"/>
      <c r="C878" s="18" t="str">
        <f aca="false">IF(B878="","",IFERROR(INDEX(Inventario!$B$7:$B$46,MATCH(B878,Inventario!$A$7:$A$46,0)),"Clave no existe"))</f>
        <v/>
      </c>
      <c r="D878" s="18" t="str">
        <f aca="false">IF(B878="","",IFERROR(INDEX(Inventario!$C$7:$C$46,MATCH(B878,Inventario!$A$7:$A$46,0)),""))</f>
        <v/>
      </c>
      <c r="E878" s="19"/>
      <c r="F878" s="19"/>
      <c r="G878" s="20" t="str">
        <f aca="false">IF(OR(E878="",F878=""),IF(B878="","",IF(A878="","",8)),F878-E878)</f>
        <v/>
      </c>
      <c r="H878" s="14"/>
      <c r="I878" s="12"/>
      <c r="J878" s="14"/>
      <c r="K878" s="20" t="str">
        <f aca="false">IF(OR(J878="",N(G878)=0),"",J878/G878)</f>
        <v/>
      </c>
      <c r="L878" s="12"/>
      <c r="M878" s="12"/>
      <c r="N878" s="12"/>
    </row>
    <row r="879" customFormat="false" ht="15" hidden="false" customHeight="false" outlineLevel="0" collapsed="false">
      <c r="A879" s="16"/>
      <c r="B879" s="12"/>
      <c r="C879" s="18" t="str">
        <f aca="false">IF(B879="","",IFERROR(INDEX(Inventario!$B$7:$B$46,MATCH(B879,Inventario!$A$7:$A$46,0)),"Clave no existe"))</f>
        <v/>
      </c>
      <c r="D879" s="18" t="str">
        <f aca="false">IF(B879="","",IFERROR(INDEX(Inventario!$C$7:$C$46,MATCH(B879,Inventario!$A$7:$A$46,0)),""))</f>
        <v/>
      </c>
      <c r="E879" s="19"/>
      <c r="F879" s="19"/>
      <c r="G879" s="20" t="str">
        <f aca="false">IF(OR(E879="",F879=""),IF(B879="","",IF(A879="","",8)),F879-E879)</f>
        <v/>
      </c>
      <c r="H879" s="14"/>
      <c r="I879" s="12"/>
      <c r="J879" s="14"/>
      <c r="K879" s="20" t="str">
        <f aca="false">IF(OR(J879="",N(G879)=0),"",J879/G879)</f>
        <v/>
      </c>
      <c r="L879" s="12"/>
      <c r="M879" s="12"/>
      <c r="N879" s="12"/>
    </row>
    <row r="880" customFormat="false" ht="15" hidden="false" customHeight="false" outlineLevel="0" collapsed="false">
      <c r="A880" s="16"/>
      <c r="B880" s="12"/>
      <c r="C880" s="18" t="str">
        <f aca="false">IF(B880="","",IFERROR(INDEX(Inventario!$B$7:$B$46,MATCH(B880,Inventario!$A$7:$A$46,0)),"Clave no existe"))</f>
        <v/>
      </c>
      <c r="D880" s="18" t="str">
        <f aca="false">IF(B880="","",IFERROR(INDEX(Inventario!$C$7:$C$46,MATCH(B880,Inventario!$A$7:$A$46,0)),""))</f>
        <v/>
      </c>
      <c r="E880" s="19"/>
      <c r="F880" s="19"/>
      <c r="G880" s="20" t="str">
        <f aca="false">IF(OR(E880="",F880=""),IF(B880="","",IF(A880="","",8)),F880-E880)</f>
        <v/>
      </c>
      <c r="H880" s="14"/>
      <c r="I880" s="12"/>
      <c r="J880" s="14"/>
      <c r="K880" s="20" t="str">
        <f aca="false">IF(OR(J880="",N(G880)=0),"",J880/G880)</f>
        <v/>
      </c>
      <c r="L880" s="12"/>
      <c r="M880" s="12"/>
      <c r="N880" s="12"/>
    </row>
    <row r="881" customFormat="false" ht="15" hidden="false" customHeight="false" outlineLevel="0" collapsed="false">
      <c r="A881" s="16"/>
      <c r="B881" s="12"/>
      <c r="C881" s="18" t="str">
        <f aca="false">IF(B881="","",IFERROR(INDEX(Inventario!$B$7:$B$46,MATCH(B881,Inventario!$A$7:$A$46,0)),"Clave no existe"))</f>
        <v/>
      </c>
      <c r="D881" s="18" t="str">
        <f aca="false">IF(B881="","",IFERROR(INDEX(Inventario!$C$7:$C$46,MATCH(B881,Inventario!$A$7:$A$46,0)),""))</f>
        <v/>
      </c>
      <c r="E881" s="19"/>
      <c r="F881" s="19"/>
      <c r="G881" s="20" t="str">
        <f aca="false">IF(OR(E881="",F881=""),IF(B881="","",IF(A881="","",8)),F881-E881)</f>
        <v/>
      </c>
      <c r="H881" s="14"/>
      <c r="I881" s="12"/>
      <c r="J881" s="14"/>
      <c r="K881" s="20" t="str">
        <f aca="false">IF(OR(J881="",N(G881)=0),"",J881/G881)</f>
        <v/>
      </c>
      <c r="L881" s="12"/>
      <c r="M881" s="12"/>
      <c r="N881" s="12"/>
    </row>
    <row r="882" customFormat="false" ht="15" hidden="false" customHeight="false" outlineLevel="0" collapsed="false">
      <c r="A882" s="16"/>
      <c r="B882" s="12"/>
      <c r="C882" s="18" t="str">
        <f aca="false">IF(B882="","",IFERROR(INDEX(Inventario!$B$7:$B$46,MATCH(B882,Inventario!$A$7:$A$46,0)),"Clave no existe"))</f>
        <v/>
      </c>
      <c r="D882" s="18" t="str">
        <f aca="false">IF(B882="","",IFERROR(INDEX(Inventario!$C$7:$C$46,MATCH(B882,Inventario!$A$7:$A$46,0)),""))</f>
        <v/>
      </c>
      <c r="E882" s="19"/>
      <c r="F882" s="19"/>
      <c r="G882" s="20" t="str">
        <f aca="false">IF(OR(E882="",F882=""),IF(B882="","",IF(A882="","",8)),F882-E882)</f>
        <v/>
      </c>
      <c r="H882" s="14"/>
      <c r="I882" s="12"/>
      <c r="J882" s="14"/>
      <c r="K882" s="20" t="str">
        <f aca="false">IF(OR(J882="",N(G882)=0),"",J882/G882)</f>
        <v/>
      </c>
      <c r="L882" s="12"/>
      <c r="M882" s="12"/>
      <c r="N882" s="12"/>
    </row>
    <row r="883" customFormat="false" ht="15" hidden="false" customHeight="false" outlineLevel="0" collapsed="false">
      <c r="A883" s="16"/>
      <c r="B883" s="12"/>
      <c r="C883" s="18" t="str">
        <f aca="false">IF(B883="","",IFERROR(INDEX(Inventario!$B$7:$B$46,MATCH(B883,Inventario!$A$7:$A$46,0)),"Clave no existe"))</f>
        <v/>
      </c>
      <c r="D883" s="18" t="str">
        <f aca="false">IF(B883="","",IFERROR(INDEX(Inventario!$C$7:$C$46,MATCH(B883,Inventario!$A$7:$A$46,0)),""))</f>
        <v/>
      </c>
      <c r="E883" s="19"/>
      <c r="F883" s="19"/>
      <c r="G883" s="20" t="str">
        <f aca="false">IF(OR(E883="",F883=""),IF(B883="","",IF(A883="","",8)),F883-E883)</f>
        <v/>
      </c>
      <c r="H883" s="14"/>
      <c r="I883" s="12"/>
      <c r="J883" s="14"/>
      <c r="K883" s="20" t="str">
        <f aca="false">IF(OR(J883="",N(G883)=0),"",J883/G883)</f>
        <v/>
      </c>
      <c r="L883" s="12"/>
      <c r="M883" s="12"/>
      <c r="N883" s="12"/>
    </row>
    <row r="884" customFormat="false" ht="15" hidden="false" customHeight="false" outlineLevel="0" collapsed="false">
      <c r="A884" s="16"/>
      <c r="B884" s="12"/>
      <c r="C884" s="18" t="str">
        <f aca="false">IF(B884="","",IFERROR(INDEX(Inventario!$B$7:$B$46,MATCH(B884,Inventario!$A$7:$A$46,0)),"Clave no existe"))</f>
        <v/>
      </c>
      <c r="D884" s="18" t="str">
        <f aca="false">IF(B884="","",IFERROR(INDEX(Inventario!$C$7:$C$46,MATCH(B884,Inventario!$A$7:$A$46,0)),""))</f>
        <v/>
      </c>
      <c r="E884" s="19"/>
      <c r="F884" s="19"/>
      <c r="G884" s="20" t="str">
        <f aca="false">IF(OR(E884="",F884=""),IF(B884="","",IF(A884="","",8)),F884-E884)</f>
        <v/>
      </c>
      <c r="H884" s="14"/>
      <c r="I884" s="12"/>
      <c r="J884" s="14"/>
      <c r="K884" s="20" t="str">
        <f aca="false">IF(OR(J884="",N(G884)=0),"",J884/G884)</f>
        <v/>
      </c>
      <c r="L884" s="12"/>
      <c r="M884" s="12"/>
      <c r="N884" s="12"/>
    </row>
    <row r="885" customFormat="false" ht="15" hidden="false" customHeight="false" outlineLevel="0" collapsed="false">
      <c r="A885" s="16"/>
      <c r="B885" s="12"/>
      <c r="C885" s="18" t="str">
        <f aca="false">IF(B885="","",IFERROR(INDEX(Inventario!$B$7:$B$46,MATCH(B885,Inventario!$A$7:$A$46,0)),"Clave no existe"))</f>
        <v/>
      </c>
      <c r="D885" s="18" t="str">
        <f aca="false">IF(B885="","",IFERROR(INDEX(Inventario!$C$7:$C$46,MATCH(B885,Inventario!$A$7:$A$46,0)),""))</f>
        <v/>
      </c>
      <c r="E885" s="19"/>
      <c r="F885" s="19"/>
      <c r="G885" s="20" t="str">
        <f aca="false">IF(OR(E885="",F885=""),IF(B885="","",IF(A885="","",8)),F885-E885)</f>
        <v/>
      </c>
      <c r="H885" s="14"/>
      <c r="I885" s="12"/>
      <c r="J885" s="14"/>
      <c r="K885" s="20" t="str">
        <f aca="false">IF(OR(J885="",N(G885)=0),"",J885/G885)</f>
        <v/>
      </c>
      <c r="L885" s="12"/>
      <c r="M885" s="12"/>
      <c r="N885" s="12"/>
    </row>
    <row r="886" customFormat="false" ht="15" hidden="false" customHeight="false" outlineLevel="0" collapsed="false">
      <c r="A886" s="16"/>
      <c r="B886" s="12"/>
      <c r="C886" s="18" t="str">
        <f aca="false">IF(B886="","",IFERROR(INDEX(Inventario!$B$7:$B$46,MATCH(B886,Inventario!$A$7:$A$46,0)),"Clave no existe"))</f>
        <v/>
      </c>
      <c r="D886" s="18" t="str">
        <f aca="false">IF(B886="","",IFERROR(INDEX(Inventario!$C$7:$C$46,MATCH(B886,Inventario!$A$7:$A$46,0)),""))</f>
        <v/>
      </c>
      <c r="E886" s="19"/>
      <c r="F886" s="19"/>
      <c r="G886" s="20" t="str">
        <f aca="false">IF(OR(E886="",F886=""),IF(B886="","",IF(A886="","",8)),F886-E886)</f>
        <v/>
      </c>
      <c r="H886" s="14"/>
      <c r="I886" s="12"/>
      <c r="J886" s="14"/>
      <c r="K886" s="20" t="str">
        <f aca="false">IF(OR(J886="",N(G886)=0),"",J886/G886)</f>
        <v/>
      </c>
      <c r="L886" s="12"/>
      <c r="M886" s="12"/>
      <c r="N886" s="12"/>
    </row>
    <row r="887" customFormat="false" ht="15" hidden="false" customHeight="false" outlineLevel="0" collapsed="false">
      <c r="A887" s="16"/>
      <c r="B887" s="12"/>
      <c r="C887" s="18" t="str">
        <f aca="false">IF(B887="","",IFERROR(INDEX(Inventario!$B$7:$B$46,MATCH(B887,Inventario!$A$7:$A$46,0)),"Clave no existe"))</f>
        <v/>
      </c>
      <c r="D887" s="18" t="str">
        <f aca="false">IF(B887="","",IFERROR(INDEX(Inventario!$C$7:$C$46,MATCH(B887,Inventario!$A$7:$A$46,0)),""))</f>
        <v/>
      </c>
      <c r="E887" s="19"/>
      <c r="F887" s="19"/>
      <c r="G887" s="20" t="str">
        <f aca="false">IF(OR(E887="",F887=""),IF(B887="","",IF(A887="","",8)),F887-E887)</f>
        <v/>
      </c>
      <c r="H887" s="14"/>
      <c r="I887" s="12"/>
      <c r="J887" s="14"/>
      <c r="K887" s="20" t="str">
        <f aca="false">IF(OR(J887="",N(G887)=0),"",J887/G887)</f>
        <v/>
      </c>
      <c r="L887" s="12"/>
      <c r="M887" s="12"/>
      <c r="N887" s="12"/>
    </row>
    <row r="888" customFormat="false" ht="15" hidden="false" customHeight="false" outlineLevel="0" collapsed="false">
      <c r="A888" s="16"/>
      <c r="B888" s="12"/>
      <c r="C888" s="18" t="str">
        <f aca="false">IF(B888="","",IFERROR(INDEX(Inventario!$B$7:$B$46,MATCH(B888,Inventario!$A$7:$A$46,0)),"Clave no existe"))</f>
        <v/>
      </c>
      <c r="D888" s="18" t="str">
        <f aca="false">IF(B888="","",IFERROR(INDEX(Inventario!$C$7:$C$46,MATCH(B888,Inventario!$A$7:$A$46,0)),""))</f>
        <v/>
      </c>
      <c r="E888" s="19"/>
      <c r="F888" s="19"/>
      <c r="G888" s="20" t="str">
        <f aca="false">IF(OR(E888="",F888=""),IF(B888="","",IF(A888="","",8)),F888-E888)</f>
        <v/>
      </c>
      <c r="H888" s="14"/>
      <c r="I888" s="12"/>
      <c r="J888" s="14"/>
      <c r="K888" s="20" t="str">
        <f aca="false">IF(OR(J888="",N(G888)=0),"",J888/G888)</f>
        <v/>
      </c>
      <c r="L888" s="12"/>
      <c r="M888" s="12"/>
      <c r="N888" s="12"/>
    </row>
    <row r="889" customFormat="false" ht="15" hidden="false" customHeight="false" outlineLevel="0" collapsed="false">
      <c r="A889" s="16"/>
      <c r="B889" s="12"/>
      <c r="C889" s="18" t="str">
        <f aca="false">IF(B889="","",IFERROR(INDEX(Inventario!$B$7:$B$46,MATCH(B889,Inventario!$A$7:$A$46,0)),"Clave no existe"))</f>
        <v/>
      </c>
      <c r="D889" s="18" t="str">
        <f aca="false">IF(B889="","",IFERROR(INDEX(Inventario!$C$7:$C$46,MATCH(B889,Inventario!$A$7:$A$46,0)),""))</f>
        <v/>
      </c>
      <c r="E889" s="19"/>
      <c r="F889" s="19"/>
      <c r="G889" s="20" t="str">
        <f aca="false">IF(OR(E889="",F889=""),IF(B889="","",IF(A889="","",8)),F889-E889)</f>
        <v/>
      </c>
      <c r="H889" s="14"/>
      <c r="I889" s="12"/>
      <c r="J889" s="14"/>
      <c r="K889" s="20" t="str">
        <f aca="false">IF(OR(J889="",N(G889)=0),"",J889/G889)</f>
        <v/>
      </c>
      <c r="L889" s="12"/>
      <c r="M889" s="12"/>
      <c r="N889" s="12"/>
    </row>
    <row r="890" customFormat="false" ht="15" hidden="false" customHeight="false" outlineLevel="0" collapsed="false">
      <c r="A890" s="16"/>
      <c r="B890" s="12"/>
      <c r="C890" s="18" t="str">
        <f aca="false">IF(B890="","",IFERROR(INDEX(Inventario!$B$7:$B$46,MATCH(B890,Inventario!$A$7:$A$46,0)),"Clave no existe"))</f>
        <v/>
      </c>
      <c r="D890" s="18" t="str">
        <f aca="false">IF(B890="","",IFERROR(INDEX(Inventario!$C$7:$C$46,MATCH(B890,Inventario!$A$7:$A$46,0)),""))</f>
        <v/>
      </c>
      <c r="E890" s="19"/>
      <c r="F890" s="19"/>
      <c r="G890" s="20" t="str">
        <f aca="false">IF(OR(E890="",F890=""),IF(B890="","",IF(A890="","",8)),F890-E890)</f>
        <v/>
      </c>
      <c r="H890" s="14"/>
      <c r="I890" s="12"/>
      <c r="J890" s="14"/>
      <c r="K890" s="20" t="str">
        <f aca="false">IF(OR(J890="",N(G890)=0),"",J890/G890)</f>
        <v/>
      </c>
      <c r="L890" s="12"/>
      <c r="M890" s="12"/>
      <c r="N890" s="12"/>
    </row>
    <row r="891" customFormat="false" ht="15" hidden="false" customHeight="false" outlineLevel="0" collapsed="false">
      <c r="A891" s="16"/>
      <c r="B891" s="12"/>
      <c r="C891" s="18" t="str">
        <f aca="false">IF(B891="","",IFERROR(INDEX(Inventario!$B$7:$B$46,MATCH(B891,Inventario!$A$7:$A$46,0)),"Clave no existe"))</f>
        <v/>
      </c>
      <c r="D891" s="18" t="str">
        <f aca="false">IF(B891="","",IFERROR(INDEX(Inventario!$C$7:$C$46,MATCH(B891,Inventario!$A$7:$A$46,0)),""))</f>
        <v/>
      </c>
      <c r="E891" s="19"/>
      <c r="F891" s="19"/>
      <c r="G891" s="20" t="str">
        <f aca="false">IF(OR(E891="",F891=""),IF(B891="","",IF(A891="","",8)),F891-E891)</f>
        <v/>
      </c>
      <c r="H891" s="14"/>
      <c r="I891" s="12"/>
      <c r="J891" s="14"/>
      <c r="K891" s="20" t="str">
        <f aca="false">IF(OR(J891="",N(G891)=0),"",J891/G891)</f>
        <v/>
      </c>
      <c r="L891" s="12"/>
      <c r="M891" s="12"/>
      <c r="N891" s="12"/>
    </row>
    <row r="892" customFormat="false" ht="15" hidden="false" customHeight="false" outlineLevel="0" collapsed="false">
      <c r="A892" s="16"/>
      <c r="B892" s="12"/>
      <c r="C892" s="18" t="str">
        <f aca="false">IF(B892="","",IFERROR(INDEX(Inventario!$B$7:$B$46,MATCH(B892,Inventario!$A$7:$A$46,0)),"Clave no existe"))</f>
        <v/>
      </c>
      <c r="D892" s="18" t="str">
        <f aca="false">IF(B892="","",IFERROR(INDEX(Inventario!$C$7:$C$46,MATCH(B892,Inventario!$A$7:$A$46,0)),""))</f>
        <v/>
      </c>
      <c r="E892" s="19"/>
      <c r="F892" s="19"/>
      <c r="G892" s="20" t="str">
        <f aca="false">IF(OR(E892="",F892=""),IF(B892="","",IF(A892="","",8)),F892-E892)</f>
        <v/>
      </c>
      <c r="H892" s="14"/>
      <c r="I892" s="12"/>
      <c r="J892" s="14"/>
      <c r="K892" s="20" t="str">
        <f aca="false">IF(OR(J892="",N(G892)=0),"",J892/G892)</f>
        <v/>
      </c>
      <c r="L892" s="12"/>
      <c r="M892" s="12"/>
      <c r="N892" s="12"/>
    </row>
    <row r="893" customFormat="false" ht="15" hidden="false" customHeight="false" outlineLevel="0" collapsed="false">
      <c r="A893" s="16"/>
      <c r="B893" s="12"/>
      <c r="C893" s="18" t="str">
        <f aca="false">IF(B893="","",IFERROR(INDEX(Inventario!$B$7:$B$46,MATCH(B893,Inventario!$A$7:$A$46,0)),"Clave no existe"))</f>
        <v/>
      </c>
      <c r="D893" s="18" t="str">
        <f aca="false">IF(B893="","",IFERROR(INDEX(Inventario!$C$7:$C$46,MATCH(B893,Inventario!$A$7:$A$46,0)),""))</f>
        <v/>
      </c>
      <c r="E893" s="19"/>
      <c r="F893" s="19"/>
      <c r="G893" s="20" t="str">
        <f aca="false">IF(OR(E893="",F893=""),IF(B893="","",IF(A893="","",8)),F893-E893)</f>
        <v/>
      </c>
      <c r="H893" s="14"/>
      <c r="I893" s="12"/>
      <c r="J893" s="14"/>
      <c r="K893" s="20" t="str">
        <f aca="false">IF(OR(J893="",N(G893)=0),"",J893/G893)</f>
        <v/>
      </c>
      <c r="L893" s="12"/>
      <c r="M893" s="12"/>
      <c r="N893" s="12"/>
    </row>
    <row r="894" customFormat="false" ht="15" hidden="false" customHeight="false" outlineLevel="0" collapsed="false">
      <c r="A894" s="16"/>
      <c r="B894" s="12"/>
      <c r="C894" s="18" t="str">
        <f aca="false">IF(B894="","",IFERROR(INDEX(Inventario!$B$7:$B$46,MATCH(B894,Inventario!$A$7:$A$46,0)),"Clave no existe"))</f>
        <v/>
      </c>
      <c r="D894" s="18" t="str">
        <f aca="false">IF(B894="","",IFERROR(INDEX(Inventario!$C$7:$C$46,MATCH(B894,Inventario!$A$7:$A$46,0)),""))</f>
        <v/>
      </c>
      <c r="E894" s="19"/>
      <c r="F894" s="19"/>
      <c r="G894" s="20" t="str">
        <f aca="false">IF(OR(E894="",F894=""),IF(B894="","",IF(A894="","",8)),F894-E894)</f>
        <v/>
      </c>
      <c r="H894" s="14"/>
      <c r="I894" s="12"/>
      <c r="J894" s="14"/>
      <c r="K894" s="20" t="str">
        <f aca="false">IF(OR(J894="",N(G894)=0),"",J894/G894)</f>
        <v/>
      </c>
      <c r="L894" s="12"/>
      <c r="M894" s="12"/>
      <c r="N894" s="12"/>
    </row>
    <row r="895" customFormat="false" ht="15" hidden="false" customHeight="false" outlineLevel="0" collapsed="false">
      <c r="A895" s="16"/>
      <c r="B895" s="12"/>
      <c r="C895" s="18" t="str">
        <f aca="false">IF(B895="","",IFERROR(INDEX(Inventario!$B$7:$B$46,MATCH(B895,Inventario!$A$7:$A$46,0)),"Clave no existe"))</f>
        <v/>
      </c>
      <c r="D895" s="18" t="str">
        <f aca="false">IF(B895="","",IFERROR(INDEX(Inventario!$C$7:$C$46,MATCH(B895,Inventario!$A$7:$A$46,0)),""))</f>
        <v/>
      </c>
      <c r="E895" s="19"/>
      <c r="F895" s="19"/>
      <c r="G895" s="20" t="str">
        <f aca="false">IF(OR(E895="",F895=""),IF(B895="","",IF(A895="","",8)),F895-E895)</f>
        <v/>
      </c>
      <c r="H895" s="14"/>
      <c r="I895" s="12"/>
      <c r="J895" s="14"/>
      <c r="K895" s="20" t="str">
        <f aca="false">IF(OR(J895="",N(G895)=0),"",J895/G895)</f>
        <v/>
      </c>
      <c r="L895" s="12"/>
      <c r="M895" s="12"/>
      <c r="N895" s="12"/>
    </row>
    <row r="896" customFormat="false" ht="15" hidden="false" customHeight="false" outlineLevel="0" collapsed="false">
      <c r="A896" s="16"/>
      <c r="B896" s="12"/>
      <c r="C896" s="18" t="str">
        <f aca="false">IF(B896="","",IFERROR(INDEX(Inventario!$B$7:$B$46,MATCH(B896,Inventario!$A$7:$A$46,0)),"Clave no existe"))</f>
        <v/>
      </c>
      <c r="D896" s="18" t="str">
        <f aca="false">IF(B896="","",IFERROR(INDEX(Inventario!$C$7:$C$46,MATCH(B896,Inventario!$A$7:$A$46,0)),""))</f>
        <v/>
      </c>
      <c r="E896" s="19"/>
      <c r="F896" s="19"/>
      <c r="G896" s="20" t="str">
        <f aca="false">IF(OR(E896="",F896=""),IF(B896="","",IF(A896="","",8)),F896-E896)</f>
        <v/>
      </c>
      <c r="H896" s="14"/>
      <c r="I896" s="12"/>
      <c r="J896" s="14"/>
      <c r="K896" s="20" t="str">
        <f aca="false">IF(OR(J896="",N(G896)=0),"",J896/G896)</f>
        <v/>
      </c>
      <c r="L896" s="12"/>
      <c r="M896" s="12"/>
      <c r="N896" s="12"/>
    </row>
    <row r="897" customFormat="false" ht="15" hidden="false" customHeight="false" outlineLevel="0" collapsed="false">
      <c r="A897" s="16"/>
      <c r="B897" s="12"/>
      <c r="C897" s="18" t="str">
        <f aca="false">IF(B897="","",IFERROR(INDEX(Inventario!$B$7:$B$46,MATCH(B897,Inventario!$A$7:$A$46,0)),"Clave no existe"))</f>
        <v/>
      </c>
      <c r="D897" s="18" t="str">
        <f aca="false">IF(B897="","",IFERROR(INDEX(Inventario!$C$7:$C$46,MATCH(B897,Inventario!$A$7:$A$46,0)),""))</f>
        <v/>
      </c>
      <c r="E897" s="19"/>
      <c r="F897" s="19"/>
      <c r="G897" s="20" t="str">
        <f aca="false">IF(OR(E897="",F897=""),IF(B897="","",IF(A897="","",8)),F897-E897)</f>
        <v/>
      </c>
      <c r="H897" s="14"/>
      <c r="I897" s="12"/>
      <c r="J897" s="14"/>
      <c r="K897" s="20" t="str">
        <f aca="false">IF(OR(J897="",N(G897)=0),"",J897/G897)</f>
        <v/>
      </c>
      <c r="L897" s="12"/>
      <c r="M897" s="12"/>
      <c r="N897" s="12"/>
    </row>
    <row r="898" customFormat="false" ht="15" hidden="false" customHeight="false" outlineLevel="0" collapsed="false">
      <c r="A898" s="16"/>
      <c r="B898" s="12"/>
      <c r="C898" s="18" t="str">
        <f aca="false">IF(B898="","",IFERROR(INDEX(Inventario!$B$7:$B$46,MATCH(B898,Inventario!$A$7:$A$46,0)),"Clave no existe"))</f>
        <v/>
      </c>
      <c r="D898" s="18" t="str">
        <f aca="false">IF(B898="","",IFERROR(INDEX(Inventario!$C$7:$C$46,MATCH(B898,Inventario!$A$7:$A$46,0)),""))</f>
        <v/>
      </c>
      <c r="E898" s="19"/>
      <c r="F898" s="19"/>
      <c r="G898" s="20" t="str">
        <f aca="false">IF(OR(E898="",F898=""),IF(B898="","",IF(A898="","",8)),F898-E898)</f>
        <v/>
      </c>
      <c r="H898" s="14"/>
      <c r="I898" s="12"/>
      <c r="J898" s="14"/>
      <c r="K898" s="20" t="str">
        <f aca="false">IF(OR(J898="",N(G898)=0),"",J898/G898)</f>
        <v/>
      </c>
      <c r="L898" s="12"/>
      <c r="M898" s="12"/>
      <c r="N898" s="12"/>
    </row>
    <row r="899" customFormat="false" ht="15" hidden="false" customHeight="false" outlineLevel="0" collapsed="false">
      <c r="A899" s="16"/>
      <c r="B899" s="12"/>
      <c r="C899" s="18" t="str">
        <f aca="false">IF(B899="","",IFERROR(INDEX(Inventario!$B$7:$B$46,MATCH(B899,Inventario!$A$7:$A$46,0)),"Clave no existe"))</f>
        <v/>
      </c>
      <c r="D899" s="18" t="str">
        <f aca="false">IF(B899="","",IFERROR(INDEX(Inventario!$C$7:$C$46,MATCH(B899,Inventario!$A$7:$A$46,0)),""))</f>
        <v/>
      </c>
      <c r="E899" s="19"/>
      <c r="F899" s="19"/>
      <c r="G899" s="20" t="str">
        <f aca="false">IF(OR(E899="",F899=""),IF(B899="","",IF(A899="","",8)),F899-E899)</f>
        <v/>
      </c>
      <c r="H899" s="14"/>
      <c r="I899" s="12"/>
      <c r="J899" s="14"/>
      <c r="K899" s="20" t="str">
        <f aca="false">IF(OR(J899="",N(G899)=0),"",J899/G899)</f>
        <v/>
      </c>
      <c r="L899" s="12"/>
      <c r="M899" s="12"/>
      <c r="N899" s="12"/>
    </row>
    <row r="900" customFormat="false" ht="15" hidden="false" customHeight="false" outlineLevel="0" collapsed="false">
      <c r="A900" s="16"/>
      <c r="B900" s="12"/>
      <c r="C900" s="18" t="str">
        <f aca="false">IF(B900="","",IFERROR(INDEX(Inventario!$B$7:$B$46,MATCH(B900,Inventario!$A$7:$A$46,0)),"Clave no existe"))</f>
        <v/>
      </c>
      <c r="D900" s="18" t="str">
        <f aca="false">IF(B900="","",IFERROR(INDEX(Inventario!$C$7:$C$46,MATCH(B900,Inventario!$A$7:$A$46,0)),""))</f>
        <v/>
      </c>
      <c r="E900" s="19"/>
      <c r="F900" s="19"/>
      <c r="G900" s="20" t="str">
        <f aca="false">IF(OR(E900="",F900=""),IF(B900="","",IF(A900="","",8)),F900-E900)</f>
        <v/>
      </c>
      <c r="H900" s="14"/>
      <c r="I900" s="12"/>
      <c r="J900" s="14"/>
      <c r="K900" s="20" t="str">
        <f aca="false">IF(OR(J900="",N(G900)=0),"",J900/G900)</f>
        <v/>
      </c>
      <c r="L900" s="12"/>
      <c r="M900" s="12"/>
      <c r="N900" s="12"/>
    </row>
    <row r="901" customFormat="false" ht="15" hidden="false" customHeight="false" outlineLevel="0" collapsed="false">
      <c r="A901" s="16"/>
      <c r="B901" s="12"/>
      <c r="C901" s="18" t="str">
        <f aca="false">IF(B901="","",IFERROR(INDEX(Inventario!$B$7:$B$46,MATCH(B901,Inventario!$A$7:$A$46,0)),"Clave no existe"))</f>
        <v/>
      </c>
      <c r="D901" s="18" t="str">
        <f aca="false">IF(B901="","",IFERROR(INDEX(Inventario!$C$7:$C$46,MATCH(B901,Inventario!$A$7:$A$46,0)),""))</f>
        <v/>
      </c>
      <c r="E901" s="19"/>
      <c r="F901" s="19"/>
      <c r="G901" s="20" t="str">
        <f aca="false">IF(OR(E901="",F901=""),IF(B901="","",IF(A901="","",8)),F901-E901)</f>
        <v/>
      </c>
      <c r="H901" s="14"/>
      <c r="I901" s="12"/>
      <c r="J901" s="14"/>
      <c r="K901" s="20" t="str">
        <f aca="false">IF(OR(J901="",N(G901)=0),"",J901/G901)</f>
        <v/>
      </c>
      <c r="L901" s="12"/>
      <c r="M901" s="12"/>
      <c r="N901" s="12"/>
    </row>
    <row r="902" customFormat="false" ht="15" hidden="false" customHeight="false" outlineLevel="0" collapsed="false">
      <c r="A902" s="16"/>
      <c r="B902" s="12"/>
      <c r="C902" s="18" t="str">
        <f aca="false">IF(B902="","",IFERROR(INDEX(Inventario!$B$7:$B$46,MATCH(B902,Inventario!$A$7:$A$46,0)),"Clave no existe"))</f>
        <v/>
      </c>
      <c r="D902" s="18" t="str">
        <f aca="false">IF(B902="","",IFERROR(INDEX(Inventario!$C$7:$C$46,MATCH(B902,Inventario!$A$7:$A$46,0)),""))</f>
        <v/>
      </c>
      <c r="E902" s="19"/>
      <c r="F902" s="19"/>
      <c r="G902" s="20" t="str">
        <f aca="false">IF(OR(E902="",F902=""),IF(B902="","",IF(A902="","",8)),F902-E902)</f>
        <v/>
      </c>
      <c r="H902" s="14"/>
      <c r="I902" s="12"/>
      <c r="J902" s="14"/>
      <c r="K902" s="20" t="str">
        <f aca="false">IF(OR(J902="",N(G902)=0),"",J902/G902)</f>
        <v/>
      </c>
      <c r="L902" s="12"/>
      <c r="M902" s="12"/>
      <c r="N902" s="12"/>
    </row>
    <row r="903" customFormat="false" ht="15" hidden="false" customHeight="false" outlineLevel="0" collapsed="false">
      <c r="A903" s="16"/>
      <c r="B903" s="12"/>
      <c r="C903" s="18" t="str">
        <f aca="false">IF(B903="","",IFERROR(INDEX(Inventario!$B$7:$B$46,MATCH(B903,Inventario!$A$7:$A$46,0)),"Clave no existe"))</f>
        <v/>
      </c>
      <c r="D903" s="18" t="str">
        <f aca="false">IF(B903="","",IFERROR(INDEX(Inventario!$C$7:$C$46,MATCH(B903,Inventario!$A$7:$A$46,0)),""))</f>
        <v/>
      </c>
      <c r="E903" s="19"/>
      <c r="F903" s="19"/>
      <c r="G903" s="20" t="str">
        <f aca="false">IF(OR(E903="",F903=""),IF(B903="","",IF(A903="","",8)),F903-E903)</f>
        <v/>
      </c>
      <c r="H903" s="14"/>
      <c r="I903" s="12"/>
      <c r="J903" s="14"/>
      <c r="K903" s="20" t="str">
        <f aca="false">IF(OR(J903="",N(G903)=0),"",J903/G903)</f>
        <v/>
      </c>
      <c r="L903" s="12"/>
      <c r="M903" s="12"/>
      <c r="N903" s="12"/>
    </row>
    <row r="904" customFormat="false" ht="15" hidden="false" customHeight="false" outlineLevel="0" collapsed="false">
      <c r="A904" s="16"/>
      <c r="B904" s="12"/>
      <c r="C904" s="18" t="str">
        <f aca="false">IF(B904="","",IFERROR(INDEX(Inventario!$B$7:$B$46,MATCH(B904,Inventario!$A$7:$A$46,0)),"Clave no existe"))</f>
        <v/>
      </c>
      <c r="D904" s="18" t="str">
        <f aca="false">IF(B904="","",IFERROR(INDEX(Inventario!$C$7:$C$46,MATCH(B904,Inventario!$A$7:$A$46,0)),""))</f>
        <v/>
      </c>
      <c r="E904" s="19"/>
      <c r="F904" s="19"/>
      <c r="G904" s="20" t="str">
        <f aca="false">IF(OR(E904="",F904=""),IF(B904="","",IF(A904="","",8)),F904-E904)</f>
        <v/>
      </c>
      <c r="H904" s="14"/>
      <c r="I904" s="12"/>
      <c r="J904" s="14"/>
      <c r="K904" s="20" t="str">
        <f aca="false">IF(OR(J904="",N(G904)=0),"",J904/G904)</f>
        <v/>
      </c>
      <c r="L904" s="12"/>
      <c r="M904" s="12"/>
      <c r="N904" s="12"/>
    </row>
    <row r="905" customFormat="false" ht="15" hidden="false" customHeight="false" outlineLevel="0" collapsed="false">
      <c r="A905" s="16"/>
      <c r="B905" s="12"/>
      <c r="C905" s="18" t="str">
        <f aca="false">IF(B905="","",IFERROR(INDEX(Inventario!$B$7:$B$46,MATCH(B905,Inventario!$A$7:$A$46,0)),"Clave no existe"))</f>
        <v/>
      </c>
      <c r="D905" s="18" t="str">
        <f aca="false">IF(B905="","",IFERROR(INDEX(Inventario!$C$7:$C$46,MATCH(B905,Inventario!$A$7:$A$46,0)),""))</f>
        <v/>
      </c>
      <c r="E905" s="19"/>
      <c r="F905" s="19"/>
      <c r="G905" s="20" t="str">
        <f aca="false">IF(OR(E905="",F905=""),IF(B905="","",IF(A905="","",8)),F905-E905)</f>
        <v/>
      </c>
      <c r="H905" s="14"/>
      <c r="I905" s="12"/>
      <c r="J905" s="14"/>
      <c r="K905" s="20" t="str">
        <f aca="false">IF(OR(J905="",N(G905)=0),"",J905/G905)</f>
        <v/>
      </c>
      <c r="L905" s="12"/>
      <c r="M905" s="12"/>
      <c r="N905" s="12"/>
    </row>
    <row r="906" customFormat="false" ht="15" hidden="false" customHeight="false" outlineLevel="0" collapsed="false">
      <c r="A906" s="16"/>
      <c r="B906" s="12"/>
      <c r="C906" s="18" t="str">
        <f aca="false">IF(B906="","",IFERROR(INDEX(Inventario!$B$7:$B$46,MATCH(B906,Inventario!$A$7:$A$46,0)),"Clave no existe"))</f>
        <v/>
      </c>
      <c r="D906" s="18" t="str">
        <f aca="false">IF(B906="","",IFERROR(INDEX(Inventario!$C$7:$C$46,MATCH(B906,Inventario!$A$7:$A$46,0)),""))</f>
        <v/>
      </c>
      <c r="E906" s="19"/>
      <c r="F906" s="19"/>
      <c r="G906" s="20" t="str">
        <f aca="false">IF(OR(E906="",F906=""),IF(B906="","",IF(A906="","",8)),F906-E906)</f>
        <v/>
      </c>
      <c r="H906" s="14"/>
      <c r="I906" s="12"/>
      <c r="J906" s="14"/>
      <c r="K906" s="20" t="str">
        <f aca="false">IF(OR(J906="",N(G906)=0),"",J906/G906)</f>
        <v/>
      </c>
      <c r="L906" s="12"/>
      <c r="M906" s="12"/>
      <c r="N906" s="12"/>
    </row>
    <row r="907" customFormat="false" ht="15" hidden="false" customHeight="false" outlineLevel="0" collapsed="false">
      <c r="A907" s="16"/>
      <c r="B907" s="12"/>
      <c r="C907" s="18" t="str">
        <f aca="false">IF(B907="","",IFERROR(INDEX(Inventario!$B$7:$B$46,MATCH(B907,Inventario!$A$7:$A$46,0)),"Clave no existe"))</f>
        <v/>
      </c>
      <c r="D907" s="18" t="str">
        <f aca="false">IF(B907="","",IFERROR(INDEX(Inventario!$C$7:$C$46,MATCH(B907,Inventario!$A$7:$A$46,0)),""))</f>
        <v/>
      </c>
      <c r="E907" s="19"/>
      <c r="F907" s="19"/>
      <c r="G907" s="20" t="str">
        <f aca="false">IF(OR(E907="",F907=""),IF(B907="","",IF(A907="","",8)),F907-E907)</f>
        <v/>
      </c>
      <c r="H907" s="14"/>
      <c r="I907" s="12"/>
      <c r="J907" s="14"/>
      <c r="K907" s="20" t="str">
        <f aca="false">IF(OR(J907="",N(G907)=0),"",J907/G907)</f>
        <v/>
      </c>
      <c r="L907" s="12"/>
      <c r="M907" s="12"/>
      <c r="N907" s="12"/>
    </row>
    <row r="908" customFormat="false" ht="15" hidden="false" customHeight="false" outlineLevel="0" collapsed="false">
      <c r="A908" s="16"/>
      <c r="B908" s="12"/>
      <c r="C908" s="18" t="str">
        <f aca="false">IF(B908="","",IFERROR(INDEX(Inventario!$B$7:$B$46,MATCH(B908,Inventario!$A$7:$A$46,0)),"Clave no existe"))</f>
        <v/>
      </c>
      <c r="D908" s="18" t="str">
        <f aca="false">IF(B908="","",IFERROR(INDEX(Inventario!$C$7:$C$46,MATCH(B908,Inventario!$A$7:$A$46,0)),""))</f>
        <v/>
      </c>
      <c r="E908" s="19"/>
      <c r="F908" s="19"/>
      <c r="G908" s="20" t="str">
        <f aca="false">IF(OR(E908="",F908=""),IF(B908="","",IF(A908="","",8)),F908-E908)</f>
        <v/>
      </c>
      <c r="H908" s="14"/>
      <c r="I908" s="12"/>
      <c r="J908" s="14"/>
      <c r="K908" s="20" t="str">
        <f aca="false">IF(OR(J908="",N(G908)=0),"",J908/G908)</f>
        <v/>
      </c>
      <c r="L908" s="12"/>
      <c r="M908" s="12"/>
      <c r="N908" s="12"/>
    </row>
    <row r="909" customFormat="false" ht="15" hidden="false" customHeight="false" outlineLevel="0" collapsed="false">
      <c r="A909" s="16"/>
      <c r="B909" s="12"/>
      <c r="C909" s="18" t="str">
        <f aca="false">IF(B909="","",IFERROR(INDEX(Inventario!$B$7:$B$46,MATCH(B909,Inventario!$A$7:$A$46,0)),"Clave no existe"))</f>
        <v/>
      </c>
      <c r="D909" s="18" t="str">
        <f aca="false">IF(B909="","",IFERROR(INDEX(Inventario!$C$7:$C$46,MATCH(B909,Inventario!$A$7:$A$46,0)),""))</f>
        <v/>
      </c>
      <c r="E909" s="19"/>
      <c r="F909" s="19"/>
      <c r="G909" s="20" t="str">
        <f aca="false">IF(OR(E909="",F909=""),IF(B909="","",IF(A909="","",8)),F909-E909)</f>
        <v/>
      </c>
      <c r="H909" s="14"/>
      <c r="I909" s="12"/>
      <c r="J909" s="14"/>
      <c r="K909" s="20" t="str">
        <f aca="false">IF(OR(J909="",N(G909)=0),"",J909/G909)</f>
        <v/>
      </c>
      <c r="L909" s="12"/>
      <c r="M909" s="12"/>
      <c r="N909" s="12"/>
    </row>
    <row r="910" customFormat="false" ht="15" hidden="false" customHeight="false" outlineLevel="0" collapsed="false">
      <c r="A910" s="16"/>
      <c r="B910" s="12"/>
      <c r="C910" s="18" t="str">
        <f aca="false">IF(B910="","",IFERROR(INDEX(Inventario!$B$7:$B$46,MATCH(B910,Inventario!$A$7:$A$46,0)),"Clave no existe"))</f>
        <v/>
      </c>
      <c r="D910" s="18" t="str">
        <f aca="false">IF(B910="","",IFERROR(INDEX(Inventario!$C$7:$C$46,MATCH(B910,Inventario!$A$7:$A$46,0)),""))</f>
        <v/>
      </c>
      <c r="E910" s="19"/>
      <c r="F910" s="19"/>
      <c r="G910" s="20" t="str">
        <f aca="false">IF(OR(E910="",F910=""),IF(B910="","",IF(A910="","",8)),F910-E910)</f>
        <v/>
      </c>
      <c r="H910" s="14"/>
      <c r="I910" s="12"/>
      <c r="J910" s="14"/>
      <c r="K910" s="20" t="str">
        <f aca="false">IF(OR(J910="",N(G910)=0),"",J910/G910)</f>
        <v/>
      </c>
      <c r="L910" s="12"/>
      <c r="M910" s="12"/>
      <c r="N910" s="12"/>
    </row>
    <row r="911" customFormat="false" ht="15" hidden="false" customHeight="false" outlineLevel="0" collapsed="false">
      <c r="A911" s="16"/>
      <c r="B911" s="12"/>
      <c r="C911" s="18" t="str">
        <f aca="false">IF(B911="","",IFERROR(INDEX(Inventario!$B$7:$B$46,MATCH(B911,Inventario!$A$7:$A$46,0)),"Clave no existe"))</f>
        <v/>
      </c>
      <c r="D911" s="18" t="str">
        <f aca="false">IF(B911="","",IFERROR(INDEX(Inventario!$C$7:$C$46,MATCH(B911,Inventario!$A$7:$A$46,0)),""))</f>
        <v/>
      </c>
      <c r="E911" s="19"/>
      <c r="F911" s="19"/>
      <c r="G911" s="20" t="str">
        <f aca="false">IF(OR(E911="",F911=""),IF(B911="","",IF(A911="","",8)),F911-E911)</f>
        <v/>
      </c>
      <c r="H911" s="14"/>
      <c r="I911" s="12"/>
      <c r="J911" s="14"/>
      <c r="K911" s="20" t="str">
        <f aca="false">IF(OR(J911="",N(G911)=0),"",J911/G911)</f>
        <v/>
      </c>
      <c r="L911" s="12"/>
      <c r="M911" s="12"/>
      <c r="N911" s="12"/>
    </row>
    <row r="912" customFormat="false" ht="15" hidden="false" customHeight="false" outlineLevel="0" collapsed="false">
      <c r="A912" s="16"/>
      <c r="B912" s="12"/>
      <c r="C912" s="18" t="str">
        <f aca="false">IF(B912="","",IFERROR(INDEX(Inventario!$B$7:$B$46,MATCH(B912,Inventario!$A$7:$A$46,0)),"Clave no existe"))</f>
        <v/>
      </c>
      <c r="D912" s="18" t="str">
        <f aca="false">IF(B912="","",IFERROR(INDEX(Inventario!$C$7:$C$46,MATCH(B912,Inventario!$A$7:$A$46,0)),""))</f>
        <v/>
      </c>
      <c r="E912" s="19"/>
      <c r="F912" s="19"/>
      <c r="G912" s="20" t="str">
        <f aca="false">IF(OR(E912="",F912=""),IF(B912="","",IF(A912="","",8)),F912-E912)</f>
        <v/>
      </c>
      <c r="H912" s="14"/>
      <c r="I912" s="12"/>
      <c r="J912" s="14"/>
      <c r="K912" s="20" t="str">
        <f aca="false">IF(OR(J912="",N(G912)=0),"",J912/G912)</f>
        <v/>
      </c>
      <c r="L912" s="12"/>
      <c r="M912" s="12"/>
      <c r="N912" s="12"/>
    </row>
    <row r="913" customFormat="false" ht="15" hidden="false" customHeight="false" outlineLevel="0" collapsed="false">
      <c r="A913" s="16"/>
      <c r="B913" s="12"/>
      <c r="C913" s="18" t="str">
        <f aca="false">IF(B913="","",IFERROR(INDEX(Inventario!$B$7:$B$46,MATCH(B913,Inventario!$A$7:$A$46,0)),"Clave no existe"))</f>
        <v/>
      </c>
      <c r="D913" s="18" t="str">
        <f aca="false">IF(B913="","",IFERROR(INDEX(Inventario!$C$7:$C$46,MATCH(B913,Inventario!$A$7:$A$46,0)),""))</f>
        <v/>
      </c>
      <c r="E913" s="19"/>
      <c r="F913" s="19"/>
      <c r="G913" s="20" t="str">
        <f aca="false">IF(OR(E913="",F913=""),IF(B913="","",IF(A913="","",8)),F913-E913)</f>
        <v/>
      </c>
      <c r="H913" s="14"/>
      <c r="I913" s="12"/>
      <c r="J913" s="14"/>
      <c r="K913" s="20" t="str">
        <f aca="false">IF(OR(J913="",N(G913)=0),"",J913/G913)</f>
        <v/>
      </c>
      <c r="L913" s="12"/>
      <c r="M913" s="12"/>
      <c r="N913" s="12"/>
    </row>
    <row r="914" customFormat="false" ht="15" hidden="false" customHeight="false" outlineLevel="0" collapsed="false">
      <c r="A914" s="16"/>
      <c r="B914" s="12"/>
      <c r="C914" s="18" t="str">
        <f aca="false">IF(B914="","",IFERROR(INDEX(Inventario!$B$7:$B$46,MATCH(B914,Inventario!$A$7:$A$46,0)),"Clave no existe"))</f>
        <v/>
      </c>
      <c r="D914" s="18" t="str">
        <f aca="false">IF(B914="","",IFERROR(INDEX(Inventario!$C$7:$C$46,MATCH(B914,Inventario!$A$7:$A$46,0)),""))</f>
        <v/>
      </c>
      <c r="E914" s="19"/>
      <c r="F914" s="19"/>
      <c r="G914" s="20" t="str">
        <f aca="false">IF(OR(E914="",F914=""),IF(B914="","",IF(A914="","",8)),F914-E914)</f>
        <v/>
      </c>
      <c r="H914" s="14"/>
      <c r="I914" s="12"/>
      <c r="J914" s="14"/>
      <c r="K914" s="20" t="str">
        <f aca="false">IF(OR(J914="",N(G914)=0),"",J914/G914)</f>
        <v/>
      </c>
      <c r="L914" s="12"/>
      <c r="M914" s="12"/>
      <c r="N914" s="12"/>
    </row>
    <row r="915" customFormat="false" ht="15" hidden="false" customHeight="false" outlineLevel="0" collapsed="false">
      <c r="A915" s="16"/>
      <c r="B915" s="12"/>
      <c r="C915" s="18" t="str">
        <f aca="false">IF(B915="","",IFERROR(INDEX(Inventario!$B$7:$B$46,MATCH(B915,Inventario!$A$7:$A$46,0)),"Clave no existe"))</f>
        <v/>
      </c>
      <c r="D915" s="18" t="str">
        <f aca="false">IF(B915="","",IFERROR(INDEX(Inventario!$C$7:$C$46,MATCH(B915,Inventario!$A$7:$A$46,0)),""))</f>
        <v/>
      </c>
      <c r="E915" s="19"/>
      <c r="F915" s="19"/>
      <c r="G915" s="20" t="str">
        <f aca="false">IF(OR(E915="",F915=""),IF(B915="","",IF(A915="","",8)),F915-E915)</f>
        <v/>
      </c>
      <c r="H915" s="14"/>
      <c r="I915" s="12"/>
      <c r="J915" s="14"/>
      <c r="K915" s="20" t="str">
        <f aca="false">IF(OR(J915="",N(G915)=0),"",J915/G915)</f>
        <v/>
      </c>
      <c r="L915" s="12"/>
      <c r="M915" s="12"/>
      <c r="N915" s="12"/>
    </row>
    <row r="916" customFormat="false" ht="15" hidden="false" customHeight="false" outlineLevel="0" collapsed="false">
      <c r="A916" s="16"/>
      <c r="B916" s="12"/>
      <c r="C916" s="18" t="str">
        <f aca="false">IF(B916="","",IFERROR(INDEX(Inventario!$B$7:$B$46,MATCH(B916,Inventario!$A$7:$A$46,0)),"Clave no existe"))</f>
        <v/>
      </c>
      <c r="D916" s="18" t="str">
        <f aca="false">IF(B916="","",IFERROR(INDEX(Inventario!$C$7:$C$46,MATCH(B916,Inventario!$A$7:$A$46,0)),""))</f>
        <v/>
      </c>
      <c r="E916" s="19"/>
      <c r="F916" s="19"/>
      <c r="G916" s="20" t="str">
        <f aca="false">IF(OR(E916="",F916=""),IF(B916="","",IF(A916="","",8)),F916-E916)</f>
        <v/>
      </c>
      <c r="H916" s="14"/>
      <c r="I916" s="12"/>
      <c r="J916" s="14"/>
      <c r="K916" s="20" t="str">
        <f aca="false">IF(OR(J916="",N(G916)=0),"",J916/G916)</f>
        <v/>
      </c>
      <c r="L916" s="12"/>
      <c r="M916" s="12"/>
      <c r="N916" s="12"/>
    </row>
    <row r="917" customFormat="false" ht="15" hidden="false" customHeight="false" outlineLevel="0" collapsed="false">
      <c r="A917" s="16"/>
      <c r="B917" s="12"/>
      <c r="C917" s="18" t="str">
        <f aca="false">IF(B917="","",IFERROR(INDEX(Inventario!$B$7:$B$46,MATCH(B917,Inventario!$A$7:$A$46,0)),"Clave no existe"))</f>
        <v/>
      </c>
      <c r="D917" s="18" t="str">
        <f aca="false">IF(B917="","",IFERROR(INDEX(Inventario!$C$7:$C$46,MATCH(B917,Inventario!$A$7:$A$46,0)),""))</f>
        <v/>
      </c>
      <c r="E917" s="19"/>
      <c r="F917" s="19"/>
      <c r="G917" s="20" t="str">
        <f aca="false">IF(OR(E917="",F917=""),IF(B917="","",IF(A917="","",8)),F917-E917)</f>
        <v/>
      </c>
      <c r="H917" s="14"/>
      <c r="I917" s="12"/>
      <c r="J917" s="14"/>
      <c r="K917" s="20" t="str">
        <f aca="false">IF(OR(J917="",N(G917)=0),"",J917/G917)</f>
        <v/>
      </c>
      <c r="L917" s="12"/>
      <c r="M917" s="12"/>
      <c r="N917" s="12"/>
    </row>
    <row r="918" customFormat="false" ht="15" hidden="false" customHeight="false" outlineLevel="0" collapsed="false">
      <c r="A918" s="16"/>
      <c r="B918" s="12"/>
      <c r="C918" s="18" t="str">
        <f aca="false">IF(B918="","",IFERROR(INDEX(Inventario!$B$7:$B$46,MATCH(B918,Inventario!$A$7:$A$46,0)),"Clave no existe"))</f>
        <v/>
      </c>
      <c r="D918" s="18" t="str">
        <f aca="false">IF(B918="","",IFERROR(INDEX(Inventario!$C$7:$C$46,MATCH(B918,Inventario!$A$7:$A$46,0)),""))</f>
        <v/>
      </c>
      <c r="E918" s="19"/>
      <c r="F918" s="19"/>
      <c r="G918" s="20" t="str">
        <f aca="false">IF(OR(E918="",F918=""),IF(B918="","",IF(A918="","",8)),F918-E918)</f>
        <v/>
      </c>
      <c r="H918" s="14"/>
      <c r="I918" s="12"/>
      <c r="J918" s="14"/>
      <c r="K918" s="20" t="str">
        <f aca="false">IF(OR(J918="",N(G918)=0),"",J918/G918)</f>
        <v/>
      </c>
      <c r="L918" s="12"/>
      <c r="M918" s="12"/>
      <c r="N918" s="12"/>
    </row>
    <row r="919" customFormat="false" ht="15" hidden="false" customHeight="false" outlineLevel="0" collapsed="false">
      <c r="A919" s="16"/>
      <c r="B919" s="12"/>
      <c r="C919" s="18" t="str">
        <f aca="false">IF(B919="","",IFERROR(INDEX(Inventario!$B$7:$B$46,MATCH(B919,Inventario!$A$7:$A$46,0)),"Clave no existe"))</f>
        <v/>
      </c>
      <c r="D919" s="18" t="str">
        <f aca="false">IF(B919="","",IFERROR(INDEX(Inventario!$C$7:$C$46,MATCH(B919,Inventario!$A$7:$A$46,0)),""))</f>
        <v/>
      </c>
      <c r="E919" s="19"/>
      <c r="F919" s="19"/>
      <c r="G919" s="20" t="str">
        <f aca="false">IF(OR(E919="",F919=""),IF(B919="","",IF(A919="","",8)),F919-E919)</f>
        <v/>
      </c>
      <c r="H919" s="14"/>
      <c r="I919" s="12"/>
      <c r="J919" s="14"/>
      <c r="K919" s="20" t="str">
        <f aca="false">IF(OR(J919="",N(G919)=0),"",J919/G919)</f>
        <v/>
      </c>
      <c r="L919" s="12"/>
      <c r="M919" s="12"/>
      <c r="N919" s="12"/>
    </row>
    <row r="920" customFormat="false" ht="15" hidden="false" customHeight="false" outlineLevel="0" collapsed="false">
      <c r="A920" s="16"/>
      <c r="B920" s="12"/>
      <c r="C920" s="18" t="str">
        <f aca="false">IF(B920="","",IFERROR(INDEX(Inventario!$B$7:$B$46,MATCH(B920,Inventario!$A$7:$A$46,0)),"Clave no existe"))</f>
        <v/>
      </c>
      <c r="D920" s="18" t="str">
        <f aca="false">IF(B920="","",IFERROR(INDEX(Inventario!$C$7:$C$46,MATCH(B920,Inventario!$A$7:$A$46,0)),""))</f>
        <v/>
      </c>
      <c r="E920" s="19"/>
      <c r="F920" s="19"/>
      <c r="G920" s="20" t="str">
        <f aca="false">IF(OR(E920="",F920=""),IF(B920="","",IF(A920="","",8)),F920-E920)</f>
        <v/>
      </c>
      <c r="H920" s="14"/>
      <c r="I920" s="12"/>
      <c r="J920" s="14"/>
      <c r="K920" s="20" t="str">
        <f aca="false">IF(OR(J920="",N(G920)=0),"",J920/G920)</f>
        <v/>
      </c>
      <c r="L920" s="12"/>
      <c r="M920" s="12"/>
      <c r="N920" s="12"/>
    </row>
    <row r="921" customFormat="false" ht="15" hidden="false" customHeight="false" outlineLevel="0" collapsed="false">
      <c r="A921" s="16"/>
      <c r="B921" s="12"/>
      <c r="C921" s="18" t="str">
        <f aca="false">IF(B921="","",IFERROR(INDEX(Inventario!$B$7:$B$46,MATCH(B921,Inventario!$A$7:$A$46,0)),"Clave no existe"))</f>
        <v/>
      </c>
      <c r="D921" s="18" t="str">
        <f aca="false">IF(B921="","",IFERROR(INDEX(Inventario!$C$7:$C$46,MATCH(B921,Inventario!$A$7:$A$46,0)),""))</f>
        <v/>
      </c>
      <c r="E921" s="19"/>
      <c r="F921" s="19"/>
      <c r="G921" s="20" t="str">
        <f aca="false">IF(OR(E921="",F921=""),IF(B921="","",IF(A921="","",8)),F921-E921)</f>
        <v/>
      </c>
      <c r="H921" s="14"/>
      <c r="I921" s="12"/>
      <c r="J921" s="14"/>
      <c r="K921" s="20" t="str">
        <f aca="false">IF(OR(J921="",N(G921)=0),"",J921/G921)</f>
        <v/>
      </c>
      <c r="L921" s="12"/>
      <c r="M921" s="12"/>
      <c r="N921" s="12"/>
    </row>
    <row r="922" customFormat="false" ht="15" hidden="false" customHeight="false" outlineLevel="0" collapsed="false">
      <c r="A922" s="16"/>
      <c r="B922" s="12"/>
      <c r="C922" s="18" t="str">
        <f aca="false">IF(B922="","",IFERROR(INDEX(Inventario!$B$7:$B$46,MATCH(B922,Inventario!$A$7:$A$46,0)),"Clave no existe"))</f>
        <v/>
      </c>
      <c r="D922" s="18" t="str">
        <f aca="false">IF(B922="","",IFERROR(INDEX(Inventario!$C$7:$C$46,MATCH(B922,Inventario!$A$7:$A$46,0)),""))</f>
        <v/>
      </c>
      <c r="E922" s="19"/>
      <c r="F922" s="19"/>
      <c r="G922" s="20" t="str">
        <f aca="false">IF(OR(E922="",F922=""),IF(B922="","",IF(A922="","",8)),F922-E922)</f>
        <v/>
      </c>
      <c r="H922" s="14"/>
      <c r="I922" s="12"/>
      <c r="J922" s="14"/>
      <c r="K922" s="20" t="str">
        <f aca="false">IF(OR(J922="",N(G922)=0),"",J922/G922)</f>
        <v/>
      </c>
      <c r="L922" s="12"/>
      <c r="M922" s="12"/>
      <c r="N922" s="12"/>
    </row>
    <row r="923" customFormat="false" ht="15" hidden="false" customHeight="false" outlineLevel="0" collapsed="false">
      <c r="A923" s="16"/>
      <c r="B923" s="12"/>
      <c r="C923" s="18" t="str">
        <f aca="false">IF(B923="","",IFERROR(INDEX(Inventario!$B$7:$B$46,MATCH(B923,Inventario!$A$7:$A$46,0)),"Clave no existe"))</f>
        <v/>
      </c>
      <c r="D923" s="18" t="str">
        <f aca="false">IF(B923="","",IFERROR(INDEX(Inventario!$C$7:$C$46,MATCH(B923,Inventario!$A$7:$A$46,0)),""))</f>
        <v/>
      </c>
      <c r="E923" s="19"/>
      <c r="F923" s="19"/>
      <c r="G923" s="20" t="str">
        <f aca="false">IF(OR(E923="",F923=""),IF(B923="","",IF(A923="","",8)),F923-E923)</f>
        <v/>
      </c>
      <c r="H923" s="14"/>
      <c r="I923" s="12"/>
      <c r="J923" s="14"/>
      <c r="K923" s="20" t="str">
        <f aca="false">IF(OR(J923="",N(G923)=0),"",J923/G923)</f>
        <v/>
      </c>
      <c r="L923" s="12"/>
      <c r="M923" s="12"/>
      <c r="N923" s="12"/>
    </row>
    <row r="924" customFormat="false" ht="15" hidden="false" customHeight="false" outlineLevel="0" collapsed="false">
      <c r="A924" s="16"/>
      <c r="B924" s="12"/>
      <c r="C924" s="18" t="str">
        <f aca="false">IF(B924="","",IFERROR(INDEX(Inventario!$B$7:$B$46,MATCH(B924,Inventario!$A$7:$A$46,0)),"Clave no existe"))</f>
        <v/>
      </c>
      <c r="D924" s="18" t="str">
        <f aca="false">IF(B924="","",IFERROR(INDEX(Inventario!$C$7:$C$46,MATCH(B924,Inventario!$A$7:$A$46,0)),""))</f>
        <v/>
      </c>
      <c r="E924" s="19"/>
      <c r="F924" s="19"/>
      <c r="G924" s="20" t="str">
        <f aca="false">IF(OR(E924="",F924=""),IF(B924="","",IF(A924="","",8)),F924-E924)</f>
        <v/>
      </c>
      <c r="H924" s="14"/>
      <c r="I924" s="12"/>
      <c r="J924" s="14"/>
      <c r="K924" s="20" t="str">
        <f aca="false">IF(OR(J924="",N(G924)=0),"",J924/G924)</f>
        <v/>
      </c>
      <c r="L924" s="12"/>
      <c r="M924" s="12"/>
      <c r="N924" s="12"/>
    </row>
    <row r="925" customFormat="false" ht="15" hidden="false" customHeight="false" outlineLevel="0" collapsed="false">
      <c r="A925" s="16"/>
      <c r="B925" s="12"/>
      <c r="C925" s="18" t="str">
        <f aca="false">IF(B925="","",IFERROR(INDEX(Inventario!$B$7:$B$46,MATCH(B925,Inventario!$A$7:$A$46,0)),"Clave no existe"))</f>
        <v/>
      </c>
      <c r="D925" s="18" t="str">
        <f aca="false">IF(B925="","",IFERROR(INDEX(Inventario!$C$7:$C$46,MATCH(B925,Inventario!$A$7:$A$46,0)),""))</f>
        <v/>
      </c>
      <c r="E925" s="19"/>
      <c r="F925" s="19"/>
      <c r="G925" s="20" t="str">
        <f aca="false">IF(OR(E925="",F925=""),IF(B925="","",IF(A925="","",8)),F925-E925)</f>
        <v/>
      </c>
      <c r="H925" s="14"/>
      <c r="I925" s="12"/>
      <c r="J925" s="14"/>
      <c r="K925" s="20" t="str">
        <f aca="false">IF(OR(J925="",N(G925)=0),"",J925/G925)</f>
        <v/>
      </c>
      <c r="L925" s="12"/>
      <c r="M925" s="12"/>
      <c r="N925" s="12"/>
    </row>
    <row r="926" customFormat="false" ht="15" hidden="false" customHeight="false" outlineLevel="0" collapsed="false">
      <c r="A926" s="16"/>
      <c r="B926" s="12"/>
      <c r="C926" s="18" t="str">
        <f aca="false">IF(B926="","",IFERROR(INDEX(Inventario!$B$7:$B$46,MATCH(B926,Inventario!$A$7:$A$46,0)),"Clave no existe"))</f>
        <v/>
      </c>
      <c r="D926" s="18" t="str">
        <f aca="false">IF(B926="","",IFERROR(INDEX(Inventario!$C$7:$C$46,MATCH(B926,Inventario!$A$7:$A$46,0)),""))</f>
        <v/>
      </c>
      <c r="E926" s="19"/>
      <c r="F926" s="19"/>
      <c r="G926" s="20" t="str">
        <f aca="false">IF(OR(E926="",F926=""),IF(B926="","",IF(A926="","",8)),F926-E926)</f>
        <v/>
      </c>
      <c r="H926" s="14"/>
      <c r="I926" s="12"/>
      <c r="J926" s="14"/>
      <c r="K926" s="20" t="str">
        <f aca="false">IF(OR(J926="",N(G926)=0),"",J926/G926)</f>
        <v/>
      </c>
      <c r="L926" s="12"/>
      <c r="M926" s="12"/>
      <c r="N926" s="12"/>
    </row>
    <row r="927" customFormat="false" ht="15" hidden="false" customHeight="false" outlineLevel="0" collapsed="false">
      <c r="A927" s="16"/>
      <c r="B927" s="12"/>
      <c r="C927" s="18" t="str">
        <f aca="false">IF(B927="","",IFERROR(INDEX(Inventario!$B$7:$B$46,MATCH(B927,Inventario!$A$7:$A$46,0)),"Clave no existe"))</f>
        <v/>
      </c>
      <c r="D927" s="18" t="str">
        <f aca="false">IF(B927="","",IFERROR(INDEX(Inventario!$C$7:$C$46,MATCH(B927,Inventario!$A$7:$A$46,0)),""))</f>
        <v/>
      </c>
      <c r="E927" s="19"/>
      <c r="F927" s="19"/>
      <c r="G927" s="20" t="str">
        <f aca="false">IF(OR(E927="",F927=""),IF(B927="","",IF(A927="","",8)),F927-E927)</f>
        <v/>
      </c>
      <c r="H927" s="14"/>
      <c r="I927" s="12"/>
      <c r="J927" s="14"/>
      <c r="K927" s="20" t="str">
        <f aca="false">IF(OR(J927="",N(G927)=0),"",J927/G927)</f>
        <v/>
      </c>
      <c r="L927" s="12"/>
      <c r="M927" s="12"/>
      <c r="N927" s="12"/>
    </row>
    <row r="928" customFormat="false" ht="15" hidden="false" customHeight="false" outlineLevel="0" collapsed="false">
      <c r="A928" s="16"/>
      <c r="B928" s="12"/>
      <c r="C928" s="18" t="str">
        <f aca="false">IF(B928="","",IFERROR(INDEX(Inventario!$B$7:$B$46,MATCH(B928,Inventario!$A$7:$A$46,0)),"Clave no existe"))</f>
        <v/>
      </c>
      <c r="D928" s="18" t="str">
        <f aca="false">IF(B928="","",IFERROR(INDEX(Inventario!$C$7:$C$46,MATCH(B928,Inventario!$A$7:$A$46,0)),""))</f>
        <v/>
      </c>
      <c r="E928" s="19"/>
      <c r="F928" s="19"/>
      <c r="G928" s="20" t="str">
        <f aca="false">IF(OR(E928="",F928=""),IF(B928="","",IF(A928="","",8)),F928-E928)</f>
        <v/>
      </c>
      <c r="H928" s="14"/>
      <c r="I928" s="12"/>
      <c r="J928" s="14"/>
      <c r="K928" s="20" t="str">
        <f aca="false">IF(OR(J928="",N(G928)=0),"",J928/G928)</f>
        <v/>
      </c>
      <c r="L928" s="12"/>
      <c r="M928" s="12"/>
      <c r="N928" s="12"/>
    </row>
    <row r="929" customFormat="false" ht="15" hidden="false" customHeight="false" outlineLevel="0" collapsed="false">
      <c r="A929" s="16"/>
      <c r="B929" s="12"/>
      <c r="C929" s="18" t="str">
        <f aca="false">IF(B929="","",IFERROR(INDEX(Inventario!$B$7:$B$46,MATCH(B929,Inventario!$A$7:$A$46,0)),"Clave no existe"))</f>
        <v/>
      </c>
      <c r="D929" s="18" t="str">
        <f aca="false">IF(B929="","",IFERROR(INDEX(Inventario!$C$7:$C$46,MATCH(B929,Inventario!$A$7:$A$46,0)),""))</f>
        <v/>
      </c>
      <c r="E929" s="19"/>
      <c r="F929" s="19"/>
      <c r="G929" s="20" t="str">
        <f aca="false">IF(OR(E929="",F929=""),IF(B929="","",IF(A929="","",8)),F929-E929)</f>
        <v/>
      </c>
      <c r="H929" s="14"/>
      <c r="I929" s="12"/>
      <c r="J929" s="14"/>
      <c r="K929" s="20" t="str">
        <f aca="false">IF(OR(J929="",N(G929)=0),"",J929/G929)</f>
        <v/>
      </c>
      <c r="L929" s="12"/>
      <c r="M929" s="12"/>
      <c r="N929" s="12"/>
    </row>
    <row r="930" customFormat="false" ht="15" hidden="false" customHeight="false" outlineLevel="0" collapsed="false">
      <c r="A930" s="16"/>
      <c r="B930" s="12"/>
      <c r="C930" s="18" t="str">
        <f aca="false">IF(B930="","",IFERROR(INDEX(Inventario!$B$7:$B$46,MATCH(B930,Inventario!$A$7:$A$46,0)),"Clave no existe"))</f>
        <v/>
      </c>
      <c r="D930" s="18" t="str">
        <f aca="false">IF(B930="","",IFERROR(INDEX(Inventario!$C$7:$C$46,MATCH(B930,Inventario!$A$7:$A$46,0)),""))</f>
        <v/>
      </c>
      <c r="E930" s="19"/>
      <c r="F930" s="19"/>
      <c r="G930" s="20" t="str">
        <f aca="false">IF(OR(E930="",F930=""),IF(B930="","",IF(A930="","",8)),F930-E930)</f>
        <v/>
      </c>
      <c r="H930" s="14"/>
      <c r="I930" s="12"/>
      <c r="J930" s="14"/>
      <c r="K930" s="20" t="str">
        <f aca="false">IF(OR(J930="",N(G930)=0),"",J930/G930)</f>
        <v/>
      </c>
      <c r="L930" s="12"/>
      <c r="M930" s="12"/>
      <c r="N930" s="12"/>
    </row>
    <row r="931" customFormat="false" ht="15" hidden="false" customHeight="false" outlineLevel="0" collapsed="false">
      <c r="A931" s="16"/>
      <c r="B931" s="12"/>
      <c r="C931" s="18" t="str">
        <f aca="false">IF(B931="","",IFERROR(INDEX(Inventario!$B$7:$B$46,MATCH(B931,Inventario!$A$7:$A$46,0)),"Clave no existe"))</f>
        <v/>
      </c>
      <c r="D931" s="18" t="str">
        <f aca="false">IF(B931="","",IFERROR(INDEX(Inventario!$C$7:$C$46,MATCH(B931,Inventario!$A$7:$A$46,0)),""))</f>
        <v/>
      </c>
      <c r="E931" s="19"/>
      <c r="F931" s="19"/>
      <c r="G931" s="20" t="str">
        <f aca="false">IF(OR(E931="",F931=""),IF(B931="","",IF(A931="","",8)),F931-E931)</f>
        <v/>
      </c>
      <c r="H931" s="14"/>
      <c r="I931" s="12"/>
      <c r="J931" s="14"/>
      <c r="K931" s="20" t="str">
        <f aca="false">IF(OR(J931="",N(G931)=0),"",J931/G931)</f>
        <v/>
      </c>
      <c r="L931" s="12"/>
      <c r="M931" s="12"/>
      <c r="N931" s="12"/>
    </row>
    <row r="932" customFormat="false" ht="15" hidden="false" customHeight="false" outlineLevel="0" collapsed="false">
      <c r="A932" s="16"/>
      <c r="B932" s="12"/>
      <c r="C932" s="18" t="str">
        <f aca="false">IF(B932="","",IFERROR(INDEX(Inventario!$B$7:$B$46,MATCH(B932,Inventario!$A$7:$A$46,0)),"Clave no existe"))</f>
        <v/>
      </c>
      <c r="D932" s="18" t="str">
        <f aca="false">IF(B932="","",IFERROR(INDEX(Inventario!$C$7:$C$46,MATCH(B932,Inventario!$A$7:$A$46,0)),""))</f>
        <v/>
      </c>
      <c r="E932" s="19"/>
      <c r="F932" s="19"/>
      <c r="G932" s="20" t="str">
        <f aca="false">IF(OR(E932="",F932=""),IF(B932="","",IF(A932="","",8)),F932-E932)</f>
        <v/>
      </c>
      <c r="H932" s="14"/>
      <c r="I932" s="12"/>
      <c r="J932" s="14"/>
      <c r="K932" s="20" t="str">
        <f aca="false">IF(OR(J932="",N(G932)=0),"",J932/G932)</f>
        <v/>
      </c>
      <c r="L932" s="12"/>
      <c r="M932" s="12"/>
      <c r="N932" s="12"/>
    </row>
    <row r="933" customFormat="false" ht="15" hidden="false" customHeight="false" outlineLevel="0" collapsed="false">
      <c r="A933" s="16"/>
      <c r="B933" s="12"/>
      <c r="C933" s="18" t="str">
        <f aca="false">IF(B933="","",IFERROR(INDEX(Inventario!$B$7:$B$46,MATCH(B933,Inventario!$A$7:$A$46,0)),"Clave no existe"))</f>
        <v/>
      </c>
      <c r="D933" s="18" t="str">
        <f aca="false">IF(B933="","",IFERROR(INDEX(Inventario!$C$7:$C$46,MATCH(B933,Inventario!$A$7:$A$46,0)),""))</f>
        <v/>
      </c>
      <c r="E933" s="19"/>
      <c r="F933" s="19"/>
      <c r="G933" s="20" t="str">
        <f aca="false">IF(OR(E933="",F933=""),IF(B933="","",IF(A933="","",8)),F933-E933)</f>
        <v/>
      </c>
      <c r="H933" s="14"/>
      <c r="I933" s="12"/>
      <c r="J933" s="14"/>
      <c r="K933" s="20" t="str">
        <f aca="false">IF(OR(J933="",N(G933)=0),"",J933/G933)</f>
        <v/>
      </c>
      <c r="L933" s="12"/>
      <c r="M933" s="12"/>
      <c r="N933" s="12"/>
    </row>
    <row r="934" customFormat="false" ht="15" hidden="false" customHeight="false" outlineLevel="0" collapsed="false">
      <c r="A934" s="16"/>
      <c r="B934" s="12"/>
      <c r="C934" s="18" t="str">
        <f aca="false">IF(B934="","",IFERROR(INDEX(Inventario!$B$7:$B$46,MATCH(B934,Inventario!$A$7:$A$46,0)),"Clave no existe"))</f>
        <v/>
      </c>
      <c r="D934" s="18" t="str">
        <f aca="false">IF(B934="","",IFERROR(INDEX(Inventario!$C$7:$C$46,MATCH(B934,Inventario!$A$7:$A$46,0)),""))</f>
        <v/>
      </c>
      <c r="E934" s="19"/>
      <c r="F934" s="19"/>
      <c r="G934" s="20" t="str">
        <f aca="false">IF(OR(E934="",F934=""),IF(B934="","",IF(A934="","",8)),F934-E934)</f>
        <v/>
      </c>
      <c r="H934" s="14"/>
      <c r="I934" s="12"/>
      <c r="J934" s="14"/>
      <c r="K934" s="20" t="str">
        <f aca="false">IF(OR(J934="",N(G934)=0),"",J934/G934)</f>
        <v/>
      </c>
      <c r="L934" s="12"/>
      <c r="M934" s="12"/>
      <c r="N934" s="12"/>
    </row>
    <row r="935" customFormat="false" ht="15" hidden="false" customHeight="false" outlineLevel="0" collapsed="false">
      <c r="A935" s="16"/>
      <c r="B935" s="12"/>
      <c r="C935" s="18" t="str">
        <f aca="false">IF(B935="","",IFERROR(INDEX(Inventario!$B$7:$B$46,MATCH(B935,Inventario!$A$7:$A$46,0)),"Clave no existe"))</f>
        <v/>
      </c>
      <c r="D935" s="18" t="str">
        <f aca="false">IF(B935="","",IFERROR(INDEX(Inventario!$C$7:$C$46,MATCH(B935,Inventario!$A$7:$A$46,0)),""))</f>
        <v/>
      </c>
      <c r="E935" s="19"/>
      <c r="F935" s="19"/>
      <c r="G935" s="20" t="str">
        <f aca="false">IF(OR(E935="",F935=""),IF(B935="","",IF(A935="","",8)),F935-E935)</f>
        <v/>
      </c>
      <c r="H935" s="14"/>
      <c r="I935" s="12"/>
      <c r="J935" s="14"/>
      <c r="K935" s="20" t="str">
        <f aca="false">IF(OR(J935="",N(G935)=0),"",J935/G935)</f>
        <v/>
      </c>
      <c r="L935" s="12"/>
      <c r="M935" s="12"/>
      <c r="N935" s="12"/>
    </row>
    <row r="936" customFormat="false" ht="15" hidden="false" customHeight="false" outlineLevel="0" collapsed="false">
      <c r="A936" s="16"/>
      <c r="B936" s="12"/>
      <c r="C936" s="18" t="str">
        <f aca="false">IF(B936="","",IFERROR(INDEX(Inventario!$B$7:$B$46,MATCH(B936,Inventario!$A$7:$A$46,0)),"Clave no existe"))</f>
        <v/>
      </c>
      <c r="D936" s="18" t="str">
        <f aca="false">IF(B936="","",IFERROR(INDEX(Inventario!$C$7:$C$46,MATCH(B936,Inventario!$A$7:$A$46,0)),""))</f>
        <v/>
      </c>
      <c r="E936" s="19"/>
      <c r="F936" s="19"/>
      <c r="G936" s="20" t="str">
        <f aca="false">IF(OR(E936="",F936=""),IF(B936="","",IF(A936="","",8)),F936-E936)</f>
        <v/>
      </c>
      <c r="H936" s="14"/>
      <c r="I936" s="12"/>
      <c r="J936" s="14"/>
      <c r="K936" s="20" t="str">
        <f aca="false">IF(OR(J936="",N(G936)=0),"",J936/G936)</f>
        <v/>
      </c>
      <c r="L936" s="12"/>
      <c r="M936" s="12"/>
      <c r="N936" s="12"/>
    </row>
    <row r="937" customFormat="false" ht="15" hidden="false" customHeight="false" outlineLevel="0" collapsed="false">
      <c r="A937" s="16"/>
      <c r="B937" s="12"/>
      <c r="C937" s="18" t="str">
        <f aca="false">IF(B937="","",IFERROR(INDEX(Inventario!$B$7:$B$46,MATCH(B937,Inventario!$A$7:$A$46,0)),"Clave no existe"))</f>
        <v/>
      </c>
      <c r="D937" s="18" t="str">
        <f aca="false">IF(B937="","",IFERROR(INDEX(Inventario!$C$7:$C$46,MATCH(B937,Inventario!$A$7:$A$46,0)),""))</f>
        <v/>
      </c>
      <c r="E937" s="19"/>
      <c r="F937" s="19"/>
      <c r="G937" s="20" t="str">
        <f aca="false">IF(OR(E937="",F937=""),IF(B937="","",IF(A937="","",8)),F937-E937)</f>
        <v/>
      </c>
      <c r="H937" s="14"/>
      <c r="I937" s="12"/>
      <c r="J937" s="14"/>
      <c r="K937" s="20" t="str">
        <f aca="false">IF(OR(J937="",N(G937)=0),"",J937/G937)</f>
        <v/>
      </c>
      <c r="L937" s="12"/>
      <c r="M937" s="12"/>
      <c r="N937" s="12"/>
    </row>
    <row r="938" customFormat="false" ht="15" hidden="false" customHeight="false" outlineLevel="0" collapsed="false">
      <c r="A938" s="16"/>
      <c r="B938" s="12"/>
      <c r="C938" s="18" t="str">
        <f aca="false">IF(B938="","",IFERROR(INDEX(Inventario!$B$7:$B$46,MATCH(B938,Inventario!$A$7:$A$46,0)),"Clave no existe"))</f>
        <v/>
      </c>
      <c r="D938" s="18" t="str">
        <f aca="false">IF(B938="","",IFERROR(INDEX(Inventario!$C$7:$C$46,MATCH(B938,Inventario!$A$7:$A$46,0)),""))</f>
        <v/>
      </c>
      <c r="E938" s="19"/>
      <c r="F938" s="19"/>
      <c r="G938" s="20" t="str">
        <f aca="false">IF(OR(E938="",F938=""),IF(B938="","",IF(A938="","",8)),F938-E938)</f>
        <v/>
      </c>
      <c r="H938" s="14"/>
      <c r="I938" s="12"/>
      <c r="J938" s="14"/>
      <c r="K938" s="20" t="str">
        <f aca="false">IF(OR(J938="",N(G938)=0),"",J938/G938)</f>
        <v/>
      </c>
      <c r="L938" s="12"/>
      <c r="M938" s="12"/>
      <c r="N938" s="12"/>
    </row>
    <row r="939" customFormat="false" ht="15" hidden="false" customHeight="false" outlineLevel="0" collapsed="false">
      <c r="A939" s="16"/>
      <c r="B939" s="12"/>
      <c r="C939" s="18" t="str">
        <f aca="false">IF(B939="","",IFERROR(INDEX(Inventario!$B$7:$B$46,MATCH(B939,Inventario!$A$7:$A$46,0)),"Clave no existe"))</f>
        <v/>
      </c>
      <c r="D939" s="18" t="str">
        <f aca="false">IF(B939="","",IFERROR(INDEX(Inventario!$C$7:$C$46,MATCH(B939,Inventario!$A$7:$A$46,0)),""))</f>
        <v/>
      </c>
      <c r="E939" s="19"/>
      <c r="F939" s="19"/>
      <c r="G939" s="20" t="str">
        <f aca="false">IF(OR(E939="",F939=""),IF(B939="","",IF(A939="","",8)),F939-E939)</f>
        <v/>
      </c>
      <c r="H939" s="14"/>
      <c r="I939" s="12"/>
      <c r="J939" s="14"/>
      <c r="K939" s="20" t="str">
        <f aca="false">IF(OR(J939="",N(G939)=0),"",J939/G939)</f>
        <v/>
      </c>
      <c r="L939" s="12"/>
      <c r="M939" s="12"/>
      <c r="N939" s="12"/>
    </row>
    <row r="940" customFormat="false" ht="15" hidden="false" customHeight="false" outlineLevel="0" collapsed="false">
      <c r="A940" s="16"/>
      <c r="B940" s="12"/>
      <c r="C940" s="18" t="str">
        <f aca="false">IF(B940="","",IFERROR(INDEX(Inventario!$B$7:$B$46,MATCH(B940,Inventario!$A$7:$A$46,0)),"Clave no existe"))</f>
        <v/>
      </c>
      <c r="D940" s="18" t="str">
        <f aca="false">IF(B940="","",IFERROR(INDEX(Inventario!$C$7:$C$46,MATCH(B940,Inventario!$A$7:$A$46,0)),""))</f>
        <v/>
      </c>
      <c r="E940" s="19"/>
      <c r="F940" s="19"/>
      <c r="G940" s="20" t="str">
        <f aca="false">IF(OR(E940="",F940=""),IF(B940="","",IF(A940="","",8)),F940-E940)</f>
        <v/>
      </c>
      <c r="H940" s="14"/>
      <c r="I940" s="12"/>
      <c r="J940" s="14"/>
      <c r="K940" s="20" t="str">
        <f aca="false">IF(OR(J940="",N(G940)=0),"",J940/G940)</f>
        <v/>
      </c>
      <c r="L940" s="12"/>
      <c r="M940" s="12"/>
      <c r="N940" s="12"/>
    </row>
    <row r="941" customFormat="false" ht="15" hidden="false" customHeight="false" outlineLevel="0" collapsed="false">
      <c r="A941" s="16"/>
      <c r="B941" s="12"/>
      <c r="C941" s="18" t="str">
        <f aca="false">IF(B941="","",IFERROR(INDEX(Inventario!$B$7:$B$46,MATCH(B941,Inventario!$A$7:$A$46,0)),"Clave no existe"))</f>
        <v/>
      </c>
      <c r="D941" s="18" t="str">
        <f aca="false">IF(B941="","",IFERROR(INDEX(Inventario!$C$7:$C$46,MATCH(B941,Inventario!$A$7:$A$46,0)),""))</f>
        <v/>
      </c>
      <c r="E941" s="19"/>
      <c r="F941" s="19"/>
      <c r="G941" s="20" t="str">
        <f aca="false">IF(OR(E941="",F941=""),IF(B941="","",IF(A941="","",8)),F941-E941)</f>
        <v/>
      </c>
      <c r="H941" s="14"/>
      <c r="I941" s="12"/>
      <c r="J941" s="14"/>
      <c r="K941" s="20" t="str">
        <f aca="false">IF(OR(J941="",N(G941)=0),"",J941/G941)</f>
        <v/>
      </c>
      <c r="L941" s="12"/>
      <c r="M941" s="12"/>
      <c r="N941" s="12"/>
    </row>
    <row r="942" customFormat="false" ht="15" hidden="false" customHeight="false" outlineLevel="0" collapsed="false">
      <c r="A942" s="16"/>
      <c r="B942" s="12"/>
      <c r="C942" s="18" t="str">
        <f aca="false">IF(B942="","",IFERROR(INDEX(Inventario!$B$7:$B$46,MATCH(B942,Inventario!$A$7:$A$46,0)),"Clave no existe"))</f>
        <v/>
      </c>
      <c r="D942" s="18" t="str">
        <f aca="false">IF(B942="","",IFERROR(INDEX(Inventario!$C$7:$C$46,MATCH(B942,Inventario!$A$7:$A$46,0)),""))</f>
        <v/>
      </c>
      <c r="E942" s="19"/>
      <c r="F942" s="19"/>
      <c r="G942" s="20" t="str">
        <f aca="false">IF(OR(E942="",F942=""),IF(B942="","",IF(A942="","",8)),F942-E942)</f>
        <v/>
      </c>
      <c r="H942" s="14"/>
      <c r="I942" s="12"/>
      <c r="J942" s="14"/>
      <c r="K942" s="20" t="str">
        <f aca="false">IF(OR(J942="",N(G942)=0),"",J942/G942)</f>
        <v/>
      </c>
      <c r="L942" s="12"/>
      <c r="M942" s="12"/>
      <c r="N942" s="12"/>
    </row>
    <row r="943" customFormat="false" ht="15" hidden="false" customHeight="false" outlineLevel="0" collapsed="false">
      <c r="A943" s="16"/>
      <c r="B943" s="12"/>
      <c r="C943" s="18" t="str">
        <f aca="false">IF(B943="","",IFERROR(INDEX(Inventario!$B$7:$B$46,MATCH(B943,Inventario!$A$7:$A$46,0)),"Clave no existe"))</f>
        <v/>
      </c>
      <c r="D943" s="18" t="str">
        <f aca="false">IF(B943="","",IFERROR(INDEX(Inventario!$C$7:$C$46,MATCH(B943,Inventario!$A$7:$A$46,0)),""))</f>
        <v/>
      </c>
      <c r="E943" s="19"/>
      <c r="F943" s="19"/>
      <c r="G943" s="20" t="str">
        <f aca="false">IF(OR(E943="",F943=""),IF(B943="","",IF(A943="","",8)),F943-E943)</f>
        <v/>
      </c>
      <c r="H943" s="14"/>
      <c r="I943" s="12"/>
      <c r="J943" s="14"/>
      <c r="K943" s="20" t="str">
        <f aca="false">IF(OR(J943="",N(G943)=0),"",J943/G943)</f>
        <v/>
      </c>
      <c r="L943" s="12"/>
      <c r="M943" s="12"/>
      <c r="N943" s="12"/>
    </row>
    <row r="944" customFormat="false" ht="15" hidden="false" customHeight="false" outlineLevel="0" collapsed="false">
      <c r="A944" s="16"/>
      <c r="B944" s="12"/>
      <c r="C944" s="18" t="str">
        <f aca="false">IF(B944="","",IFERROR(INDEX(Inventario!$B$7:$B$46,MATCH(B944,Inventario!$A$7:$A$46,0)),"Clave no existe"))</f>
        <v/>
      </c>
      <c r="D944" s="18" t="str">
        <f aca="false">IF(B944="","",IFERROR(INDEX(Inventario!$C$7:$C$46,MATCH(B944,Inventario!$A$7:$A$46,0)),""))</f>
        <v/>
      </c>
      <c r="E944" s="19"/>
      <c r="F944" s="19"/>
      <c r="G944" s="20" t="str">
        <f aca="false">IF(OR(E944="",F944=""),IF(B944="","",IF(A944="","",8)),F944-E944)</f>
        <v/>
      </c>
      <c r="H944" s="14"/>
      <c r="I944" s="12"/>
      <c r="J944" s="14"/>
      <c r="K944" s="20" t="str">
        <f aca="false">IF(OR(J944="",N(G944)=0),"",J944/G944)</f>
        <v/>
      </c>
      <c r="L944" s="12"/>
      <c r="M944" s="12"/>
      <c r="N944" s="12"/>
    </row>
    <row r="945" customFormat="false" ht="15" hidden="false" customHeight="false" outlineLevel="0" collapsed="false">
      <c r="A945" s="16"/>
      <c r="B945" s="12"/>
      <c r="C945" s="18" t="str">
        <f aca="false">IF(B945="","",IFERROR(INDEX(Inventario!$B$7:$B$46,MATCH(B945,Inventario!$A$7:$A$46,0)),"Clave no existe"))</f>
        <v/>
      </c>
      <c r="D945" s="18" t="str">
        <f aca="false">IF(B945="","",IFERROR(INDEX(Inventario!$C$7:$C$46,MATCH(B945,Inventario!$A$7:$A$46,0)),""))</f>
        <v/>
      </c>
      <c r="E945" s="19"/>
      <c r="F945" s="19"/>
      <c r="G945" s="20" t="str">
        <f aca="false">IF(OR(E945="",F945=""),IF(B945="","",IF(A945="","",8)),F945-E945)</f>
        <v/>
      </c>
      <c r="H945" s="14"/>
      <c r="I945" s="12"/>
      <c r="J945" s="14"/>
      <c r="K945" s="20" t="str">
        <f aca="false">IF(OR(J945="",N(G945)=0),"",J945/G945)</f>
        <v/>
      </c>
      <c r="L945" s="12"/>
      <c r="M945" s="12"/>
      <c r="N945" s="12"/>
    </row>
    <row r="946" customFormat="false" ht="15" hidden="false" customHeight="false" outlineLevel="0" collapsed="false">
      <c r="A946" s="16"/>
      <c r="B946" s="12"/>
      <c r="C946" s="18" t="str">
        <f aca="false">IF(B946="","",IFERROR(INDEX(Inventario!$B$7:$B$46,MATCH(B946,Inventario!$A$7:$A$46,0)),"Clave no existe"))</f>
        <v/>
      </c>
      <c r="D946" s="18" t="str">
        <f aca="false">IF(B946="","",IFERROR(INDEX(Inventario!$C$7:$C$46,MATCH(B946,Inventario!$A$7:$A$46,0)),""))</f>
        <v/>
      </c>
      <c r="E946" s="19"/>
      <c r="F946" s="19"/>
      <c r="G946" s="20" t="str">
        <f aca="false">IF(OR(E946="",F946=""),IF(B946="","",IF(A946="","",8)),F946-E946)</f>
        <v/>
      </c>
      <c r="H946" s="14"/>
      <c r="I946" s="12"/>
      <c r="J946" s="14"/>
      <c r="K946" s="20" t="str">
        <f aca="false">IF(OR(J946="",N(G946)=0),"",J946/G946)</f>
        <v/>
      </c>
      <c r="L946" s="12"/>
      <c r="M946" s="12"/>
      <c r="N946" s="12"/>
    </row>
    <row r="947" customFormat="false" ht="15" hidden="false" customHeight="false" outlineLevel="0" collapsed="false">
      <c r="A947" s="16"/>
      <c r="B947" s="12"/>
      <c r="C947" s="18" t="str">
        <f aca="false">IF(B947="","",IFERROR(INDEX(Inventario!$B$7:$B$46,MATCH(B947,Inventario!$A$7:$A$46,0)),"Clave no existe"))</f>
        <v/>
      </c>
      <c r="D947" s="18" t="str">
        <f aca="false">IF(B947="","",IFERROR(INDEX(Inventario!$C$7:$C$46,MATCH(B947,Inventario!$A$7:$A$46,0)),""))</f>
        <v/>
      </c>
      <c r="E947" s="19"/>
      <c r="F947" s="19"/>
      <c r="G947" s="20" t="str">
        <f aca="false">IF(OR(E947="",F947=""),IF(B947="","",IF(A947="","",8)),F947-E947)</f>
        <v/>
      </c>
      <c r="H947" s="14"/>
      <c r="I947" s="12"/>
      <c r="J947" s="14"/>
      <c r="K947" s="20" t="str">
        <f aca="false">IF(OR(J947="",N(G947)=0),"",J947/G947)</f>
        <v/>
      </c>
      <c r="L947" s="12"/>
      <c r="M947" s="12"/>
      <c r="N947" s="12"/>
    </row>
    <row r="948" customFormat="false" ht="15" hidden="false" customHeight="false" outlineLevel="0" collapsed="false">
      <c r="A948" s="16"/>
      <c r="B948" s="12"/>
      <c r="C948" s="18" t="str">
        <f aca="false">IF(B948="","",IFERROR(INDEX(Inventario!$B$7:$B$46,MATCH(B948,Inventario!$A$7:$A$46,0)),"Clave no existe"))</f>
        <v/>
      </c>
      <c r="D948" s="18" t="str">
        <f aca="false">IF(B948="","",IFERROR(INDEX(Inventario!$C$7:$C$46,MATCH(B948,Inventario!$A$7:$A$46,0)),""))</f>
        <v/>
      </c>
      <c r="E948" s="19"/>
      <c r="F948" s="19"/>
      <c r="G948" s="20" t="str">
        <f aca="false">IF(OR(E948="",F948=""),IF(B948="","",IF(A948="","",8)),F948-E948)</f>
        <v/>
      </c>
      <c r="H948" s="14"/>
      <c r="I948" s="12"/>
      <c r="J948" s="14"/>
      <c r="K948" s="20" t="str">
        <f aca="false">IF(OR(J948="",N(G948)=0),"",J948/G948)</f>
        <v/>
      </c>
      <c r="L948" s="12"/>
      <c r="M948" s="12"/>
      <c r="N948" s="12"/>
    </row>
    <row r="949" customFormat="false" ht="15" hidden="false" customHeight="false" outlineLevel="0" collapsed="false">
      <c r="A949" s="16"/>
      <c r="B949" s="12"/>
      <c r="C949" s="18" t="str">
        <f aca="false">IF(B949="","",IFERROR(INDEX(Inventario!$B$7:$B$46,MATCH(B949,Inventario!$A$7:$A$46,0)),"Clave no existe"))</f>
        <v/>
      </c>
      <c r="D949" s="18" t="str">
        <f aca="false">IF(B949="","",IFERROR(INDEX(Inventario!$C$7:$C$46,MATCH(B949,Inventario!$A$7:$A$46,0)),""))</f>
        <v/>
      </c>
      <c r="E949" s="19"/>
      <c r="F949" s="19"/>
      <c r="G949" s="20" t="str">
        <f aca="false">IF(OR(E949="",F949=""),IF(B949="","",IF(A949="","",8)),F949-E949)</f>
        <v/>
      </c>
      <c r="H949" s="14"/>
      <c r="I949" s="12"/>
      <c r="J949" s="14"/>
      <c r="K949" s="20" t="str">
        <f aca="false">IF(OR(J949="",N(G949)=0),"",J949/G949)</f>
        <v/>
      </c>
      <c r="L949" s="12"/>
      <c r="M949" s="12"/>
      <c r="N949" s="12"/>
    </row>
    <row r="950" customFormat="false" ht="15" hidden="false" customHeight="false" outlineLevel="0" collapsed="false">
      <c r="A950" s="16"/>
      <c r="B950" s="12"/>
      <c r="C950" s="18" t="str">
        <f aca="false">IF(B950="","",IFERROR(INDEX(Inventario!$B$7:$B$46,MATCH(B950,Inventario!$A$7:$A$46,0)),"Clave no existe"))</f>
        <v/>
      </c>
      <c r="D950" s="18" t="str">
        <f aca="false">IF(B950="","",IFERROR(INDEX(Inventario!$C$7:$C$46,MATCH(B950,Inventario!$A$7:$A$46,0)),""))</f>
        <v/>
      </c>
      <c r="E950" s="19"/>
      <c r="F950" s="19"/>
      <c r="G950" s="20" t="str">
        <f aca="false">IF(OR(E950="",F950=""),IF(B950="","",IF(A950="","",8)),F950-E950)</f>
        <v/>
      </c>
      <c r="H950" s="14"/>
      <c r="I950" s="12"/>
      <c r="J950" s="14"/>
      <c r="K950" s="20" t="str">
        <f aca="false">IF(OR(J950="",N(G950)=0),"",J950/G950)</f>
        <v/>
      </c>
      <c r="L950" s="12"/>
      <c r="M950" s="12"/>
      <c r="N950" s="12"/>
    </row>
    <row r="951" customFormat="false" ht="15" hidden="false" customHeight="false" outlineLevel="0" collapsed="false">
      <c r="A951" s="16"/>
      <c r="B951" s="12"/>
      <c r="C951" s="18" t="str">
        <f aca="false">IF(B951="","",IFERROR(INDEX(Inventario!$B$7:$B$46,MATCH(B951,Inventario!$A$7:$A$46,0)),"Clave no existe"))</f>
        <v/>
      </c>
      <c r="D951" s="18" t="str">
        <f aca="false">IF(B951="","",IFERROR(INDEX(Inventario!$C$7:$C$46,MATCH(B951,Inventario!$A$7:$A$46,0)),""))</f>
        <v/>
      </c>
      <c r="E951" s="19"/>
      <c r="F951" s="19"/>
      <c r="G951" s="20" t="str">
        <f aca="false">IF(OR(E951="",F951=""),IF(B951="","",IF(A951="","",8)),F951-E951)</f>
        <v/>
      </c>
      <c r="H951" s="14"/>
      <c r="I951" s="12"/>
      <c r="J951" s="14"/>
      <c r="K951" s="20" t="str">
        <f aca="false">IF(OR(J951="",N(G951)=0),"",J951/G951)</f>
        <v/>
      </c>
      <c r="L951" s="12"/>
      <c r="M951" s="12"/>
      <c r="N951" s="12"/>
    </row>
    <row r="952" customFormat="false" ht="15" hidden="false" customHeight="false" outlineLevel="0" collapsed="false">
      <c r="A952" s="16"/>
      <c r="B952" s="12"/>
      <c r="C952" s="18" t="str">
        <f aca="false">IF(B952="","",IFERROR(INDEX(Inventario!$B$7:$B$46,MATCH(B952,Inventario!$A$7:$A$46,0)),"Clave no existe"))</f>
        <v/>
      </c>
      <c r="D952" s="18" t="str">
        <f aca="false">IF(B952="","",IFERROR(INDEX(Inventario!$C$7:$C$46,MATCH(B952,Inventario!$A$7:$A$46,0)),""))</f>
        <v/>
      </c>
      <c r="E952" s="19"/>
      <c r="F952" s="19"/>
      <c r="G952" s="20" t="str">
        <f aca="false">IF(OR(E952="",F952=""),IF(B952="","",IF(A952="","",8)),F952-E952)</f>
        <v/>
      </c>
      <c r="H952" s="14"/>
      <c r="I952" s="12"/>
      <c r="J952" s="14"/>
      <c r="K952" s="20" t="str">
        <f aca="false">IF(OR(J952="",N(G952)=0),"",J952/G952)</f>
        <v/>
      </c>
      <c r="L952" s="12"/>
      <c r="M952" s="12"/>
      <c r="N952" s="12"/>
    </row>
    <row r="953" customFormat="false" ht="15" hidden="false" customHeight="false" outlineLevel="0" collapsed="false">
      <c r="A953" s="16"/>
      <c r="B953" s="12"/>
      <c r="C953" s="18" t="str">
        <f aca="false">IF(B953="","",IFERROR(INDEX(Inventario!$B$7:$B$46,MATCH(B953,Inventario!$A$7:$A$46,0)),"Clave no existe"))</f>
        <v/>
      </c>
      <c r="D953" s="18" t="str">
        <f aca="false">IF(B953="","",IFERROR(INDEX(Inventario!$C$7:$C$46,MATCH(B953,Inventario!$A$7:$A$46,0)),""))</f>
        <v/>
      </c>
      <c r="E953" s="19"/>
      <c r="F953" s="19"/>
      <c r="G953" s="20" t="str">
        <f aca="false">IF(OR(E953="",F953=""),IF(B953="","",IF(A953="","",8)),F953-E953)</f>
        <v/>
      </c>
      <c r="H953" s="14"/>
      <c r="I953" s="12"/>
      <c r="J953" s="14"/>
      <c r="K953" s="20" t="str">
        <f aca="false">IF(OR(J953="",N(G953)=0),"",J953/G953)</f>
        <v/>
      </c>
      <c r="L953" s="12"/>
      <c r="M953" s="12"/>
      <c r="N953" s="12"/>
    </row>
    <row r="954" customFormat="false" ht="15" hidden="false" customHeight="false" outlineLevel="0" collapsed="false">
      <c r="A954" s="16"/>
      <c r="B954" s="12"/>
      <c r="C954" s="18" t="str">
        <f aca="false">IF(B954="","",IFERROR(INDEX(Inventario!$B$7:$B$46,MATCH(B954,Inventario!$A$7:$A$46,0)),"Clave no existe"))</f>
        <v/>
      </c>
      <c r="D954" s="18" t="str">
        <f aca="false">IF(B954="","",IFERROR(INDEX(Inventario!$C$7:$C$46,MATCH(B954,Inventario!$A$7:$A$46,0)),""))</f>
        <v/>
      </c>
      <c r="E954" s="19"/>
      <c r="F954" s="19"/>
      <c r="G954" s="20" t="str">
        <f aca="false">IF(OR(E954="",F954=""),IF(B954="","",IF(A954="","",8)),F954-E954)</f>
        <v/>
      </c>
      <c r="H954" s="14"/>
      <c r="I954" s="12"/>
      <c r="J954" s="14"/>
      <c r="K954" s="20" t="str">
        <f aca="false">IF(OR(J954="",N(G954)=0),"",J954/G954)</f>
        <v/>
      </c>
      <c r="L954" s="12"/>
      <c r="M954" s="12"/>
      <c r="N954" s="12"/>
    </row>
    <row r="955" customFormat="false" ht="15" hidden="false" customHeight="false" outlineLevel="0" collapsed="false">
      <c r="A955" s="16"/>
      <c r="B955" s="12"/>
      <c r="C955" s="18" t="str">
        <f aca="false">IF(B955="","",IFERROR(INDEX(Inventario!$B$7:$B$46,MATCH(B955,Inventario!$A$7:$A$46,0)),"Clave no existe"))</f>
        <v/>
      </c>
      <c r="D955" s="18" t="str">
        <f aca="false">IF(B955="","",IFERROR(INDEX(Inventario!$C$7:$C$46,MATCH(B955,Inventario!$A$7:$A$46,0)),""))</f>
        <v/>
      </c>
      <c r="E955" s="19"/>
      <c r="F955" s="19"/>
      <c r="G955" s="20" t="str">
        <f aca="false">IF(OR(E955="",F955=""),IF(B955="","",IF(A955="","",8)),F955-E955)</f>
        <v/>
      </c>
      <c r="H955" s="14"/>
      <c r="I955" s="12"/>
      <c r="J955" s="14"/>
      <c r="K955" s="20" t="str">
        <f aca="false">IF(OR(J955="",N(G955)=0),"",J955/G955)</f>
        <v/>
      </c>
      <c r="L955" s="12"/>
      <c r="M955" s="12"/>
      <c r="N955" s="12"/>
    </row>
    <row r="956" customFormat="false" ht="15" hidden="false" customHeight="false" outlineLevel="0" collapsed="false">
      <c r="A956" s="16"/>
      <c r="B956" s="12"/>
      <c r="C956" s="18" t="str">
        <f aca="false">IF(B956="","",IFERROR(INDEX(Inventario!$B$7:$B$46,MATCH(B956,Inventario!$A$7:$A$46,0)),"Clave no existe"))</f>
        <v/>
      </c>
      <c r="D956" s="18" t="str">
        <f aca="false">IF(B956="","",IFERROR(INDEX(Inventario!$C$7:$C$46,MATCH(B956,Inventario!$A$7:$A$46,0)),""))</f>
        <v/>
      </c>
      <c r="E956" s="19"/>
      <c r="F956" s="19"/>
      <c r="G956" s="20" t="str">
        <f aca="false">IF(OR(E956="",F956=""),IF(B956="","",IF(A956="","",8)),F956-E956)</f>
        <v/>
      </c>
      <c r="H956" s="14"/>
      <c r="I956" s="12"/>
      <c r="J956" s="14"/>
      <c r="K956" s="20" t="str">
        <f aca="false">IF(OR(J956="",N(G956)=0),"",J956/G956)</f>
        <v/>
      </c>
      <c r="L956" s="12"/>
      <c r="M956" s="12"/>
      <c r="N956" s="12"/>
    </row>
    <row r="957" customFormat="false" ht="15" hidden="false" customHeight="false" outlineLevel="0" collapsed="false">
      <c r="A957" s="16"/>
      <c r="B957" s="12"/>
      <c r="C957" s="18" t="str">
        <f aca="false">IF(B957="","",IFERROR(INDEX(Inventario!$B$7:$B$46,MATCH(B957,Inventario!$A$7:$A$46,0)),"Clave no existe"))</f>
        <v/>
      </c>
      <c r="D957" s="18" t="str">
        <f aca="false">IF(B957="","",IFERROR(INDEX(Inventario!$C$7:$C$46,MATCH(B957,Inventario!$A$7:$A$46,0)),""))</f>
        <v/>
      </c>
      <c r="E957" s="19"/>
      <c r="F957" s="19"/>
      <c r="G957" s="20" t="str">
        <f aca="false">IF(OR(E957="",F957=""),IF(B957="","",IF(A957="","",8)),F957-E957)</f>
        <v/>
      </c>
      <c r="H957" s="14"/>
      <c r="I957" s="12"/>
      <c r="J957" s="14"/>
      <c r="K957" s="20" t="str">
        <f aca="false">IF(OR(J957="",N(G957)=0),"",J957/G957)</f>
        <v/>
      </c>
      <c r="L957" s="12"/>
      <c r="M957" s="12"/>
      <c r="N957" s="12"/>
    </row>
    <row r="958" customFormat="false" ht="15" hidden="false" customHeight="false" outlineLevel="0" collapsed="false">
      <c r="A958" s="16"/>
      <c r="B958" s="12"/>
      <c r="C958" s="18" t="str">
        <f aca="false">IF(B958="","",IFERROR(INDEX(Inventario!$B$7:$B$46,MATCH(B958,Inventario!$A$7:$A$46,0)),"Clave no existe"))</f>
        <v/>
      </c>
      <c r="D958" s="18" t="str">
        <f aca="false">IF(B958="","",IFERROR(INDEX(Inventario!$C$7:$C$46,MATCH(B958,Inventario!$A$7:$A$46,0)),""))</f>
        <v/>
      </c>
      <c r="E958" s="19"/>
      <c r="F958" s="19"/>
      <c r="G958" s="20" t="str">
        <f aca="false">IF(OR(E958="",F958=""),IF(B958="","",IF(A958="","",8)),F958-E958)</f>
        <v/>
      </c>
      <c r="H958" s="14"/>
      <c r="I958" s="12"/>
      <c r="J958" s="14"/>
      <c r="K958" s="20" t="str">
        <f aca="false">IF(OR(J958="",N(G958)=0),"",J958/G958)</f>
        <v/>
      </c>
      <c r="L958" s="12"/>
      <c r="M958" s="12"/>
      <c r="N958" s="12"/>
    </row>
    <row r="959" customFormat="false" ht="15" hidden="false" customHeight="false" outlineLevel="0" collapsed="false">
      <c r="A959" s="16"/>
      <c r="B959" s="12"/>
      <c r="C959" s="18" t="str">
        <f aca="false">IF(B959="","",IFERROR(INDEX(Inventario!$B$7:$B$46,MATCH(B959,Inventario!$A$7:$A$46,0)),"Clave no existe"))</f>
        <v/>
      </c>
      <c r="D959" s="18" t="str">
        <f aca="false">IF(B959="","",IFERROR(INDEX(Inventario!$C$7:$C$46,MATCH(B959,Inventario!$A$7:$A$46,0)),""))</f>
        <v/>
      </c>
      <c r="E959" s="19"/>
      <c r="F959" s="19"/>
      <c r="G959" s="20" t="str">
        <f aca="false">IF(OR(E959="",F959=""),IF(B959="","",IF(A959="","",8)),F959-E959)</f>
        <v/>
      </c>
      <c r="H959" s="14"/>
      <c r="I959" s="12"/>
      <c r="J959" s="14"/>
      <c r="K959" s="20" t="str">
        <f aca="false">IF(OR(J959="",N(G959)=0),"",J959/G959)</f>
        <v/>
      </c>
      <c r="L959" s="12"/>
      <c r="M959" s="12"/>
      <c r="N959" s="12"/>
    </row>
    <row r="960" customFormat="false" ht="15" hidden="false" customHeight="false" outlineLevel="0" collapsed="false">
      <c r="A960" s="16"/>
      <c r="B960" s="12"/>
      <c r="C960" s="18" t="str">
        <f aca="false">IF(B960="","",IFERROR(INDEX(Inventario!$B$7:$B$46,MATCH(B960,Inventario!$A$7:$A$46,0)),"Clave no existe"))</f>
        <v/>
      </c>
      <c r="D960" s="18" t="str">
        <f aca="false">IF(B960="","",IFERROR(INDEX(Inventario!$C$7:$C$46,MATCH(B960,Inventario!$A$7:$A$46,0)),""))</f>
        <v/>
      </c>
      <c r="E960" s="19"/>
      <c r="F960" s="19"/>
      <c r="G960" s="20" t="str">
        <f aca="false">IF(OR(E960="",F960=""),IF(B960="","",IF(A960="","",8)),F960-E960)</f>
        <v/>
      </c>
      <c r="H960" s="14"/>
      <c r="I960" s="12"/>
      <c r="J960" s="14"/>
      <c r="K960" s="20" t="str">
        <f aca="false">IF(OR(J960="",N(G960)=0),"",J960/G960)</f>
        <v/>
      </c>
      <c r="L960" s="12"/>
      <c r="M960" s="12"/>
      <c r="N960" s="12"/>
    </row>
    <row r="961" customFormat="false" ht="15" hidden="false" customHeight="false" outlineLevel="0" collapsed="false">
      <c r="A961" s="16"/>
      <c r="B961" s="12"/>
      <c r="C961" s="18" t="str">
        <f aca="false">IF(B961="","",IFERROR(INDEX(Inventario!$B$7:$B$46,MATCH(B961,Inventario!$A$7:$A$46,0)),"Clave no existe"))</f>
        <v/>
      </c>
      <c r="D961" s="18" t="str">
        <f aca="false">IF(B961="","",IFERROR(INDEX(Inventario!$C$7:$C$46,MATCH(B961,Inventario!$A$7:$A$46,0)),""))</f>
        <v/>
      </c>
      <c r="E961" s="19"/>
      <c r="F961" s="19"/>
      <c r="G961" s="20" t="str">
        <f aca="false">IF(OR(E961="",F961=""),IF(B961="","",IF(A961="","",8)),F961-E961)</f>
        <v/>
      </c>
      <c r="H961" s="14"/>
      <c r="I961" s="12"/>
      <c r="J961" s="14"/>
      <c r="K961" s="20" t="str">
        <f aca="false">IF(OR(J961="",N(G961)=0),"",J961/G961)</f>
        <v/>
      </c>
      <c r="L961" s="12"/>
      <c r="M961" s="12"/>
      <c r="N961" s="12"/>
    </row>
    <row r="962" customFormat="false" ht="15" hidden="false" customHeight="false" outlineLevel="0" collapsed="false">
      <c r="A962" s="16"/>
      <c r="B962" s="12"/>
      <c r="C962" s="18" t="str">
        <f aca="false">IF(B962="","",IFERROR(INDEX(Inventario!$B$7:$B$46,MATCH(B962,Inventario!$A$7:$A$46,0)),"Clave no existe"))</f>
        <v/>
      </c>
      <c r="D962" s="18" t="str">
        <f aca="false">IF(B962="","",IFERROR(INDEX(Inventario!$C$7:$C$46,MATCH(B962,Inventario!$A$7:$A$46,0)),""))</f>
        <v/>
      </c>
      <c r="E962" s="19"/>
      <c r="F962" s="19"/>
      <c r="G962" s="20" t="str">
        <f aca="false">IF(OR(E962="",F962=""),IF(B962="","",IF(A962="","",8)),F962-E962)</f>
        <v/>
      </c>
      <c r="H962" s="14"/>
      <c r="I962" s="12"/>
      <c r="J962" s="14"/>
      <c r="K962" s="20" t="str">
        <f aca="false">IF(OR(J962="",N(G962)=0),"",J962/G962)</f>
        <v/>
      </c>
      <c r="L962" s="12"/>
      <c r="M962" s="12"/>
      <c r="N962" s="12"/>
    </row>
    <row r="963" customFormat="false" ht="15" hidden="false" customHeight="false" outlineLevel="0" collapsed="false">
      <c r="A963" s="16"/>
      <c r="B963" s="12"/>
      <c r="C963" s="18" t="str">
        <f aca="false">IF(B963="","",IFERROR(INDEX(Inventario!$B$7:$B$46,MATCH(B963,Inventario!$A$7:$A$46,0)),"Clave no existe"))</f>
        <v/>
      </c>
      <c r="D963" s="18" t="str">
        <f aca="false">IF(B963="","",IFERROR(INDEX(Inventario!$C$7:$C$46,MATCH(B963,Inventario!$A$7:$A$46,0)),""))</f>
        <v/>
      </c>
      <c r="E963" s="19"/>
      <c r="F963" s="19"/>
      <c r="G963" s="20" t="str">
        <f aca="false">IF(OR(E963="",F963=""),IF(B963="","",IF(A963="","",8)),F963-E963)</f>
        <v/>
      </c>
      <c r="H963" s="14"/>
      <c r="I963" s="12"/>
      <c r="J963" s="14"/>
      <c r="K963" s="20" t="str">
        <f aca="false">IF(OR(J963="",N(G963)=0),"",J963/G963)</f>
        <v/>
      </c>
      <c r="L963" s="12"/>
      <c r="M963" s="12"/>
      <c r="N963" s="12"/>
    </row>
    <row r="964" customFormat="false" ht="15" hidden="false" customHeight="false" outlineLevel="0" collapsed="false">
      <c r="A964" s="16"/>
      <c r="B964" s="12"/>
      <c r="C964" s="18" t="str">
        <f aca="false">IF(B964="","",IFERROR(INDEX(Inventario!$B$7:$B$46,MATCH(B964,Inventario!$A$7:$A$46,0)),"Clave no existe"))</f>
        <v/>
      </c>
      <c r="D964" s="18" t="str">
        <f aca="false">IF(B964="","",IFERROR(INDEX(Inventario!$C$7:$C$46,MATCH(B964,Inventario!$A$7:$A$46,0)),""))</f>
        <v/>
      </c>
      <c r="E964" s="19"/>
      <c r="F964" s="19"/>
      <c r="G964" s="20" t="str">
        <f aca="false">IF(OR(E964="",F964=""),IF(B964="","",IF(A964="","",8)),F964-E964)</f>
        <v/>
      </c>
      <c r="H964" s="14"/>
      <c r="I964" s="12"/>
      <c r="J964" s="14"/>
      <c r="K964" s="20" t="str">
        <f aca="false">IF(OR(J964="",N(G964)=0),"",J964/G964)</f>
        <v/>
      </c>
      <c r="L964" s="12"/>
      <c r="M964" s="12"/>
      <c r="N964" s="12"/>
    </row>
    <row r="965" customFormat="false" ht="15" hidden="false" customHeight="false" outlineLevel="0" collapsed="false">
      <c r="A965" s="16"/>
      <c r="B965" s="12"/>
      <c r="C965" s="18" t="str">
        <f aca="false">IF(B965="","",IFERROR(INDEX(Inventario!$B$7:$B$46,MATCH(B965,Inventario!$A$7:$A$46,0)),"Clave no existe"))</f>
        <v/>
      </c>
      <c r="D965" s="18" t="str">
        <f aca="false">IF(B965="","",IFERROR(INDEX(Inventario!$C$7:$C$46,MATCH(B965,Inventario!$A$7:$A$46,0)),""))</f>
        <v/>
      </c>
      <c r="E965" s="19"/>
      <c r="F965" s="19"/>
      <c r="G965" s="20" t="str">
        <f aca="false">IF(OR(E965="",F965=""),IF(B965="","",IF(A965="","",8)),F965-E965)</f>
        <v/>
      </c>
      <c r="H965" s="14"/>
      <c r="I965" s="12"/>
      <c r="J965" s="14"/>
      <c r="K965" s="20" t="str">
        <f aca="false">IF(OR(J965="",N(G965)=0),"",J965/G965)</f>
        <v/>
      </c>
      <c r="L965" s="12"/>
      <c r="M965" s="12"/>
      <c r="N965" s="12"/>
    </row>
    <row r="966" customFormat="false" ht="15" hidden="false" customHeight="false" outlineLevel="0" collapsed="false">
      <c r="A966" s="16"/>
      <c r="B966" s="12"/>
      <c r="C966" s="18" t="str">
        <f aca="false">IF(B966="","",IFERROR(INDEX(Inventario!$B$7:$B$46,MATCH(B966,Inventario!$A$7:$A$46,0)),"Clave no existe"))</f>
        <v/>
      </c>
      <c r="D966" s="18" t="str">
        <f aca="false">IF(B966="","",IFERROR(INDEX(Inventario!$C$7:$C$46,MATCH(B966,Inventario!$A$7:$A$46,0)),""))</f>
        <v/>
      </c>
      <c r="E966" s="19"/>
      <c r="F966" s="19"/>
      <c r="G966" s="20" t="str">
        <f aca="false">IF(OR(E966="",F966=""),IF(B966="","",IF(A966="","",8)),F966-E966)</f>
        <v/>
      </c>
      <c r="H966" s="14"/>
      <c r="I966" s="12"/>
      <c r="J966" s="14"/>
      <c r="K966" s="20" t="str">
        <f aca="false">IF(OR(J966="",N(G966)=0),"",J966/G966)</f>
        <v/>
      </c>
      <c r="L966" s="12"/>
      <c r="M966" s="12"/>
      <c r="N966" s="12"/>
    </row>
    <row r="967" customFormat="false" ht="15" hidden="false" customHeight="false" outlineLevel="0" collapsed="false">
      <c r="A967" s="16"/>
      <c r="B967" s="12"/>
      <c r="C967" s="18" t="str">
        <f aca="false">IF(B967="","",IFERROR(INDEX(Inventario!$B$7:$B$46,MATCH(B967,Inventario!$A$7:$A$46,0)),"Clave no existe"))</f>
        <v/>
      </c>
      <c r="D967" s="18" t="str">
        <f aca="false">IF(B967="","",IFERROR(INDEX(Inventario!$C$7:$C$46,MATCH(B967,Inventario!$A$7:$A$46,0)),""))</f>
        <v/>
      </c>
      <c r="E967" s="19"/>
      <c r="F967" s="19"/>
      <c r="G967" s="20" t="str">
        <f aca="false">IF(OR(E967="",F967=""),IF(B967="","",IF(A967="","",8)),F967-E967)</f>
        <v/>
      </c>
      <c r="H967" s="14"/>
      <c r="I967" s="12"/>
      <c r="J967" s="14"/>
      <c r="K967" s="20" t="str">
        <f aca="false">IF(OR(J967="",N(G967)=0),"",J967/G967)</f>
        <v/>
      </c>
      <c r="L967" s="12"/>
      <c r="M967" s="12"/>
      <c r="N967" s="12"/>
    </row>
    <row r="968" customFormat="false" ht="15" hidden="false" customHeight="false" outlineLevel="0" collapsed="false">
      <c r="A968" s="16"/>
      <c r="B968" s="12"/>
      <c r="C968" s="18" t="str">
        <f aca="false">IF(B968="","",IFERROR(INDEX(Inventario!$B$7:$B$46,MATCH(B968,Inventario!$A$7:$A$46,0)),"Clave no existe"))</f>
        <v/>
      </c>
      <c r="D968" s="18" t="str">
        <f aca="false">IF(B968="","",IFERROR(INDEX(Inventario!$C$7:$C$46,MATCH(B968,Inventario!$A$7:$A$46,0)),""))</f>
        <v/>
      </c>
      <c r="E968" s="19"/>
      <c r="F968" s="19"/>
      <c r="G968" s="20" t="str">
        <f aca="false">IF(OR(E968="",F968=""),IF(B968="","",IF(A968="","",8)),F968-E968)</f>
        <v/>
      </c>
      <c r="H968" s="14"/>
      <c r="I968" s="12"/>
      <c r="J968" s="14"/>
      <c r="K968" s="20" t="str">
        <f aca="false">IF(OR(J968="",N(G968)=0),"",J968/G968)</f>
        <v/>
      </c>
      <c r="L968" s="12"/>
      <c r="M968" s="12"/>
      <c r="N968" s="12"/>
    </row>
    <row r="969" customFormat="false" ht="15" hidden="false" customHeight="false" outlineLevel="0" collapsed="false">
      <c r="A969" s="16"/>
      <c r="B969" s="12"/>
      <c r="C969" s="18" t="str">
        <f aca="false">IF(B969="","",IFERROR(INDEX(Inventario!$B$7:$B$46,MATCH(B969,Inventario!$A$7:$A$46,0)),"Clave no existe"))</f>
        <v/>
      </c>
      <c r="D969" s="18" t="str">
        <f aca="false">IF(B969="","",IFERROR(INDEX(Inventario!$C$7:$C$46,MATCH(B969,Inventario!$A$7:$A$46,0)),""))</f>
        <v/>
      </c>
      <c r="E969" s="19"/>
      <c r="F969" s="19"/>
      <c r="G969" s="20" t="str">
        <f aca="false">IF(OR(E969="",F969=""),IF(B969="","",IF(A969="","",8)),F969-E969)</f>
        <v/>
      </c>
      <c r="H969" s="14"/>
      <c r="I969" s="12"/>
      <c r="J969" s="14"/>
      <c r="K969" s="20" t="str">
        <f aca="false">IF(OR(J969="",N(G969)=0),"",J969/G969)</f>
        <v/>
      </c>
      <c r="L969" s="12"/>
      <c r="M969" s="12"/>
      <c r="N969" s="12"/>
    </row>
    <row r="970" customFormat="false" ht="15" hidden="false" customHeight="false" outlineLevel="0" collapsed="false">
      <c r="A970" s="16"/>
      <c r="B970" s="12"/>
      <c r="C970" s="18" t="str">
        <f aca="false">IF(B970="","",IFERROR(INDEX(Inventario!$B$7:$B$46,MATCH(B970,Inventario!$A$7:$A$46,0)),"Clave no existe"))</f>
        <v/>
      </c>
      <c r="D970" s="18" t="str">
        <f aca="false">IF(B970="","",IFERROR(INDEX(Inventario!$C$7:$C$46,MATCH(B970,Inventario!$A$7:$A$46,0)),""))</f>
        <v/>
      </c>
      <c r="E970" s="19"/>
      <c r="F970" s="19"/>
      <c r="G970" s="20" t="str">
        <f aca="false">IF(OR(E970="",F970=""),IF(B970="","",IF(A970="","",8)),F970-E970)</f>
        <v/>
      </c>
      <c r="H970" s="14"/>
      <c r="I970" s="12"/>
      <c r="J970" s="14"/>
      <c r="K970" s="20" t="str">
        <f aca="false">IF(OR(J970="",N(G970)=0),"",J970/G970)</f>
        <v/>
      </c>
      <c r="L970" s="12"/>
      <c r="M970" s="12"/>
      <c r="N970" s="12"/>
    </row>
    <row r="971" customFormat="false" ht="15" hidden="false" customHeight="false" outlineLevel="0" collapsed="false">
      <c r="A971" s="16"/>
      <c r="B971" s="12"/>
      <c r="C971" s="18" t="str">
        <f aca="false">IF(B971="","",IFERROR(INDEX(Inventario!$B$7:$B$46,MATCH(B971,Inventario!$A$7:$A$46,0)),"Clave no existe"))</f>
        <v/>
      </c>
      <c r="D971" s="18" t="str">
        <f aca="false">IF(B971="","",IFERROR(INDEX(Inventario!$C$7:$C$46,MATCH(B971,Inventario!$A$7:$A$46,0)),""))</f>
        <v/>
      </c>
      <c r="E971" s="19"/>
      <c r="F971" s="19"/>
      <c r="G971" s="20" t="str">
        <f aca="false">IF(OR(E971="",F971=""),IF(B971="","",IF(A971="","",8)),F971-E971)</f>
        <v/>
      </c>
      <c r="H971" s="14"/>
      <c r="I971" s="12"/>
      <c r="J971" s="14"/>
      <c r="K971" s="20" t="str">
        <f aca="false">IF(OR(J971="",N(G971)=0),"",J971/G971)</f>
        <v/>
      </c>
      <c r="L971" s="12"/>
      <c r="M971" s="12"/>
      <c r="N971" s="12"/>
    </row>
    <row r="972" customFormat="false" ht="15" hidden="false" customHeight="false" outlineLevel="0" collapsed="false">
      <c r="A972" s="16"/>
      <c r="B972" s="12"/>
      <c r="C972" s="18" t="str">
        <f aca="false">IF(B972="","",IFERROR(INDEX(Inventario!$B$7:$B$46,MATCH(B972,Inventario!$A$7:$A$46,0)),"Clave no existe"))</f>
        <v/>
      </c>
      <c r="D972" s="18" t="str">
        <f aca="false">IF(B972="","",IFERROR(INDEX(Inventario!$C$7:$C$46,MATCH(B972,Inventario!$A$7:$A$46,0)),""))</f>
        <v/>
      </c>
      <c r="E972" s="19"/>
      <c r="F972" s="19"/>
      <c r="G972" s="20" t="str">
        <f aca="false">IF(OR(E972="",F972=""),IF(B972="","",IF(A972="","",8)),F972-E972)</f>
        <v/>
      </c>
      <c r="H972" s="14"/>
      <c r="I972" s="12"/>
      <c r="J972" s="14"/>
      <c r="K972" s="20" t="str">
        <f aca="false">IF(OR(J972="",N(G972)=0),"",J972/G972)</f>
        <v/>
      </c>
      <c r="L972" s="12"/>
      <c r="M972" s="12"/>
      <c r="N972" s="12"/>
    </row>
    <row r="973" customFormat="false" ht="15" hidden="false" customHeight="false" outlineLevel="0" collapsed="false">
      <c r="A973" s="16"/>
      <c r="B973" s="12"/>
      <c r="C973" s="18" t="str">
        <f aca="false">IF(B973="","",IFERROR(INDEX(Inventario!$B$7:$B$46,MATCH(B973,Inventario!$A$7:$A$46,0)),"Clave no existe"))</f>
        <v/>
      </c>
      <c r="D973" s="18" t="str">
        <f aca="false">IF(B973="","",IFERROR(INDEX(Inventario!$C$7:$C$46,MATCH(B973,Inventario!$A$7:$A$46,0)),""))</f>
        <v/>
      </c>
      <c r="E973" s="19"/>
      <c r="F973" s="19"/>
      <c r="G973" s="20" t="str">
        <f aca="false">IF(OR(E973="",F973=""),IF(B973="","",IF(A973="","",8)),F973-E973)</f>
        <v/>
      </c>
      <c r="H973" s="14"/>
      <c r="I973" s="12"/>
      <c r="J973" s="14"/>
      <c r="K973" s="20" t="str">
        <f aca="false">IF(OR(J973="",N(G973)=0),"",J973/G973)</f>
        <v/>
      </c>
      <c r="L973" s="12"/>
      <c r="M973" s="12"/>
      <c r="N973" s="12"/>
    </row>
    <row r="974" customFormat="false" ht="15" hidden="false" customHeight="false" outlineLevel="0" collapsed="false">
      <c r="A974" s="16"/>
      <c r="B974" s="12"/>
      <c r="C974" s="18" t="str">
        <f aca="false">IF(B974="","",IFERROR(INDEX(Inventario!$B$7:$B$46,MATCH(B974,Inventario!$A$7:$A$46,0)),"Clave no existe"))</f>
        <v/>
      </c>
      <c r="D974" s="18" t="str">
        <f aca="false">IF(B974="","",IFERROR(INDEX(Inventario!$C$7:$C$46,MATCH(B974,Inventario!$A$7:$A$46,0)),""))</f>
        <v/>
      </c>
      <c r="E974" s="19"/>
      <c r="F974" s="19"/>
      <c r="G974" s="20" t="str">
        <f aca="false">IF(OR(E974="",F974=""),IF(B974="","",IF(A974="","",8)),F974-E974)</f>
        <v/>
      </c>
      <c r="H974" s="14"/>
      <c r="I974" s="12"/>
      <c r="J974" s="14"/>
      <c r="K974" s="20" t="str">
        <f aca="false">IF(OR(J974="",N(G974)=0),"",J974/G974)</f>
        <v/>
      </c>
      <c r="L974" s="12"/>
      <c r="M974" s="12"/>
      <c r="N974" s="12"/>
    </row>
    <row r="975" customFormat="false" ht="15" hidden="false" customHeight="false" outlineLevel="0" collapsed="false">
      <c r="A975" s="16"/>
      <c r="B975" s="12"/>
      <c r="C975" s="18" t="str">
        <f aca="false">IF(B975="","",IFERROR(INDEX(Inventario!$B$7:$B$46,MATCH(B975,Inventario!$A$7:$A$46,0)),"Clave no existe"))</f>
        <v/>
      </c>
      <c r="D975" s="18" t="str">
        <f aca="false">IF(B975="","",IFERROR(INDEX(Inventario!$C$7:$C$46,MATCH(B975,Inventario!$A$7:$A$46,0)),""))</f>
        <v/>
      </c>
      <c r="E975" s="19"/>
      <c r="F975" s="19"/>
      <c r="G975" s="20" t="str">
        <f aca="false">IF(OR(E975="",F975=""),IF(B975="","",IF(A975="","",8)),F975-E975)</f>
        <v/>
      </c>
      <c r="H975" s="14"/>
      <c r="I975" s="12"/>
      <c r="J975" s="14"/>
      <c r="K975" s="20" t="str">
        <f aca="false">IF(OR(J975="",N(G975)=0),"",J975/G975)</f>
        <v/>
      </c>
      <c r="L975" s="12"/>
      <c r="M975" s="12"/>
      <c r="N975" s="12"/>
    </row>
    <row r="976" customFormat="false" ht="15" hidden="false" customHeight="false" outlineLevel="0" collapsed="false">
      <c r="A976" s="16"/>
      <c r="B976" s="12"/>
      <c r="C976" s="18" t="str">
        <f aca="false">IF(B976="","",IFERROR(INDEX(Inventario!$B$7:$B$46,MATCH(B976,Inventario!$A$7:$A$46,0)),"Clave no existe"))</f>
        <v/>
      </c>
      <c r="D976" s="18" t="str">
        <f aca="false">IF(B976="","",IFERROR(INDEX(Inventario!$C$7:$C$46,MATCH(B976,Inventario!$A$7:$A$46,0)),""))</f>
        <v/>
      </c>
      <c r="E976" s="19"/>
      <c r="F976" s="19"/>
      <c r="G976" s="20" t="str">
        <f aca="false">IF(OR(E976="",F976=""),IF(B976="","",IF(A976="","",8)),F976-E976)</f>
        <v/>
      </c>
      <c r="H976" s="14"/>
      <c r="I976" s="12"/>
      <c r="J976" s="14"/>
      <c r="K976" s="20" t="str">
        <f aca="false">IF(OR(J976="",N(G976)=0),"",J976/G976)</f>
        <v/>
      </c>
      <c r="L976" s="12"/>
      <c r="M976" s="12"/>
      <c r="N976" s="12"/>
    </row>
    <row r="977" customFormat="false" ht="15" hidden="false" customHeight="false" outlineLevel="0" collapsed="false">
      <c r="A977" s="16"/>
      <c r="B977" s="12"/>
      <c r="C977" s="18" t="str">
        <f aca="false">IF(B977="","",IFERROR(INDEX(Inventario!$B$7:$B$46,MATCH(B977,Inventario!$A$7:$A$46,0)),"Clave no existe"))</f>
        <v/>
      </c>
      <c r="D977" s="18" t="str">
        <f aca="false">IF(B977="","",IFERROR(INDEX(Inventario!$C$7:$C$46,MATCH(B977,Inventario!$A$7:$A$46,0)),""))</f>
        <v/>
      </c>
      <c r="E977" s="19"/>
      <c r="F977" s="19"/>
      <c r="G977" s="20" t="str">
        <f aca="false">IF(OR(E977="",F977=""),IF(B977="","",IF(A977="","",8)),F977-E977)</f>
        <v/>
      </c>
      <c r="H977" s="14"/>
      <c r="I977" s="12"/>
      <c r="J977" s="14"/>
      <c r="K977" s="20" t="str">
        <f aca="false">IF(OR(J977="",N(G977)=0),"",J977/G977)</f>
        <v/>
      </c>
      <c r="L977" s="12"/>
      <c r="M977" s="12"/>
      <c r="N977" s="12"/>
    </row>
    <row r="978" customFormat="false" ht="15" hidden="false" customHeight="false" outlineLevel="0" collapsed="false">
      <c r="A978" s="16"/>
      <c r="B978" s="12"/>
      <c r="C978" s="18" t="str">
        <f aca="false">IF(B978="","",IFERROR(INDEX(Inventario!$B$7:$B$46,MATCH(B978,Inventario!$A$7:$A$46,0)),"Clave no existe"))</f>
        <v/>
      </c>
      <c r="D978" s="18" t="str">
        <f aca="false">IF(B978="","",IFERROR(INDEX(Inventario!$C$7:$C$46,MATCH(B978,Inventario!$A$7:$A$46,0)),""))</f>
        <v/>
      </c>
      <c r="E978" s="19"/>
      <c r="F978" s="19"/>
      <c r="G978" s="20" t="str">
        <f aca="false">IF(OR(E978="",F978=""),IF(B978="","",IF(A978="","",8)),F978-E978)</f>
        <v/>
      </c>
      <c r="H978" s="14"/>
      <c r="I978" s="12"/>
      <c r="J978" s="14"/>
      <c r="K978" s="20" t="str">
        <f aca="false">IF(OR(J978="",N(G978)=0),"",J978/G978)</f>
        <v/>
      </c>
      <c r="L978" s="12"/>
      <c r="M978" s="12"/>
      <c r="N978" s="12"/>
    </row>
    <row r="979" customFormat="false" ht="15" hidden="false" customHeight="false" outlineLevel="0" collapsed="false">
      <c r="A979" s="16"/>
      <c r="B979" s="12"/>
      <c r="C979" s="18" t="str">
        <f aca="false">IF(B979="","",IFERROR(INDEX(Inventario!$B$7:$B$46,MATCH(B979,Inventario!$A$7:$A$46,0)),"Clave no existe"))</f>
        <v/>
      </c>
      <c r="D979" s="18" t="str">
        <f aca="false">IF(B979="","",IFERROR(INDEX(Inventario!$C$7:$C$46,MATCH(B979,Inventario!$A$7:$A$46,0)),""))</f>
        <v/>
      </c>
      <c r="E979" s="19"/>
      <c r="F979" s="19"/>
      <c r="G979" s="20" t="str">
        <f aca="false">IF(OR(E979="",F979=""),IF(B979="","",IF(A979="","",8)),F979-E979)</f>
        <v/>
      </c>
      <c r="H979" s="14"/>
      <c r="I979" s="12"/>
      <c r="J979" s="14"/>
      <c r="K979" s="20" t="str">
        <f aca="false">IF(OR(J979="",N(G979)=0),"",J979/G979)</f>
        <v/>
      </c>
      <c r="L979" s="12"/>
      <c r="M979" s="12"/>
      <c r="N979" s="12"/>
    </row>
    <row r="980" customFormat="false" ht="15" hidden="false" customHeight="false" outlineLevel="0" collapsed="false">
      <c r="A980" s="16"/>
      <c r="B980" s="12"/>
      <c r="C980" s="18" t="str">
        <f aca="false">IF(B980="","",IFERROR(INDEX(Inventario!$B$7:$B$46,MATCH(B980,Inventario!$A$7:$A$46,0)),"Clave no existe"))</f>
        <v/>
      </c>
      <c r="D980" s="18" t="str">
        <f aca="false">IF(B980="","",IFERROR(INDEX(Inventario!$C$7:$C$46,MATCH(B980,Inventario!$A$7:$A$46,0)),""))</f>
        <v/>
      </c>
      <c r="E980" s="19"/>
      <c r="F980" s="19"/>
      <c r="G980" s="20" t="str">
        <f aca="false">IF(OR(E980="",F980=""),IF(B980="","",IF(A980="","",8)),F980-E980)</f>
        <v/>
      </c>
      <c r="H980" s="14"/>
      <c r="I980" s="12"/>
      <c r="J980" s="14"/>
      <c r="K980" s="20" t="str">
        <f aca="false">IF(OR(J980="",N(G980)=0),"",J980/G980)</f>
        <v/>
      </c>
      <c r="L980" s="12"/>
      <c r="M980" s="12"/>
      <c r="N980" s="12"/>
    </row>
    <row r="981" customFormat="false" ht="15" hidden="false" customHeight="false" outlineLevel="0" collapsed="false">
      <c r="A981" s="16"/>
      <c r="B981" s="12"/>
      <c r="C981" s="18" t="str">
        <f aca="false">IF(B981="","",IFERROR(INDEX(Inventario!$B$7:$B$46,MATCH(B981,Inventario!$A$7:$A$46,0)),"Clave no existe"))</f>
        <v/>
      </c>
      <c r="D981" s="18" t="str">
        <f aca="false">IF(B981="","",IFERROR(INDEX(Inventario!$C$7:$C$46,MATCH(B981,Inventario!$A$7:$A$46,0)),""))</f>
        <v/>
      </c>
      <c r="E981" s="19"/>
      <c r="F981" s="19"/>
      <c r="G981" s="20" t="str">
        <f aca="false">IF(OR(E981="",F981=""),IF(B981="","",IF(A981="","",8)),F981-E981)</f>
        <v/>
      </c>
      <c r="H981" s="14"/>
      <c r="I981" s="12"/>
      <c r="J981" s="14"/>
      <c r="K981" s="20" t="str">
        <f aca="false">IF(OR(J981="",N(G981)=0),"",J981/G981)</f>
        <v/>
      </c>
      <c r="L981" s="12"/>
      <c r="M981" s="12"/>
      <c r="N981" s="12"/>
    </row>
    <row r="982" customFormat="false" ht="15" hidden="false" customHeight="false" outlineLevel="0" collapsed="false">
      <c r="A982" s="16"/>
      <c r="B982" s="12"/>
      <c r="C982" s="18" t="str">
        <f aca="false">IF(B982="","",IFERROR(INDEX(Inventario!$B$7:$B$46,MATCH(B982,Inventario!$A$7:$A$46,0)),"Clave no existe"))</f>
        <v/>
      </c>
      <c r="D982" s="18" t="str">
        <f aca="false">IF(B982="","",IFERROR(INDEX(Inventario!$C$7:$C$46,MATCH(B982,Inventario!$A$7:$A$46,0)),""))</f>
        <v/>
      </c>
      <c r="E982" s="19"/>
      <c r="F982" s="19"/>
      <c r="G982" s="20" t="str">
        <f aca="false">IF(OR(E982="",F982=""),IF(B982="","",IF(A982="","",8)),F982-E982)</f>
        <v/>
      </c>
      <c r="H982" s="14"/>
      <c r="I982" s="12"/>
      <c r="J982" s="14"/>
      <c r="K982" s="20" t="str">
        <f aca="false">IF(OR(J982="",N(G982)=0),"",J982/G982)</f>
        <v/>
      </c>
      <c r="L982" s="12"/>
      <c r="M982" s="12"/>
      <c r="N982" s="12"/>
    </row>
    <row r="983" customFormat="false" ht="15" hidden="false" customHeight="false" outlineLevel="0" collapsed="false">
      <c r="A983" s="16"/>
      <c r="B983" s="12"/>
      <c r="C983" s="18" t="str">
        <f aca="false">IF(B983="","",IFERROR(INDEX(Inventario!$B$7:$B$46,MATCH(B983,Inventario!$A$7:$A$46,0)),"Clave no existe"))</f>
        <v/>
      </c>
      <c r="D983" s="18" t="str">
        <f aca="false">IF(B983="","",IFERROR(INDEX(Inventario!$C$7:$C$46,MATCH(B983,Inventario!$A$7:$A$46,0)),""))</f>
        <v/>
      </c>
      <c r="E983" s="19"/>
      <c r="F983" s="19"/>
      <c r="G983" s="20" t="str">
        <f aca="false">IF(OR(E983="",F983=""),IF(B983="","",IF(A983="","",8)),F983-E983)</f>
        <v/>
      </c>
      <c r="H983" s="14"/>
      <c r="I983" s="12"/>
      <c r="J983" s="14"/>
      <c r="K983" s="20" t="str">
        <f aca="false">IF(OR(J983="",N(G983)=0),"",J983/G983)</f>
        <v/>
      </c>
      <c r="L983" s="12"/>
      <c r="M983" s="12"/>
      <c r="N983" s="12"/>
    </row>
    <row r="984" customFormat="false" ht="15" hidden="false" customHeight="false" outlineLevel="0" collapsed="false">
      <c r="A984" s="16"/>
      <c r="B984" s="12"/>
      <c r="C984" s="18" t="str">
        <f aca="false">IF(B984="","",IFERROR(INDEX(Inventario!$B$7:$B$46,MATCH(B984,Inventario!$A$7:$A$46,0)),"Clave no existe"))</f>
        <v/>
      </c>
      <c r="D984" s="18" t="str">
        <f aca="false">IF(B984="","",IFERROR(INDEX(Inventario!$C$7:$C$46,MATCH(B984,Inventario!$A$7:$A$46,0)),""))</f>
        <v/>
      </c>
      <c r="E984" s="19"/>
      <c r="F984" s="19"/>
      <c r="G984" s="20" t="str">
        <f aca="false">IF(OR(E984="",F984=""),IF(B984="","",IF(A984="","",8)),F984-E984)</f>
        <v/>
      </c>
      <c r="H984" s="14"/>
      <c r="I984" s="12"/>
      <c r="J984" s="14"/>
      <c r="K984" s="20" t="str">
        <f aca="false">IF(OR(J984="",N(G984)=0),"",J984/G984)</f>
        <v/>
      </c>
      <c r="L984" s="12"/>
      <c r="M984" s="12"/>
      <c r="N984" s="12"/>
    </row>
    <row r="985" customFormat="false" ht="15" hidden="false" customHeight="false" outlineLevel="0" collapsed="false">
      <c r="A985" s="16"/>
      <c r="B985" s="12"/>
      <c r="C985" s="18" t="str">
        <f aca="false">IF(B985="","",IFERROR(INDEX(Inventario!$B$7:$B$46,MATCH(B985,Inventario!$A$7:$A$46,0)),"Clave no existe"))</f>
        <v/>
      </c>
      <c r="D985" s="18" t="str">
        <f aca="false">IF(B985="","",IFERROR(INDEX(Inventario!$C$7:$C$46,MATCH(B985,Inventario!$A$7:$A$46,0)),""))</f>
        <v/>
      </c>
      <c r="E985" s="19"/>
      <c r="F985" s="19"/>
      <c r="G985" s="20" t="str">
        <f aca="false">IF(OR(E985="",F985=""),IF(B985="","",IF(A985="","",8)),F985-E985)</f>
        <v/>
      </c>
      <c r="H985" s="14"/>
      <c r="I985" s="12"/>
      <c r="J985" s="14"/>
      <c r="K985" s="20" t="str">
        <f aca="false">IF(OR(J985="",N(G985)=0),"",J985/G985)</f>
        <v/>
      </c>
      <c r="L985" s="12"/>
      <c r="M985" s="12"/>
      <c r="N985" s="12"/>
    </row>
    <row r="986" customFormat="false" ht="15" hidden="false" customHeight="false" outlineLevel="0" collapsed="false">
      <c r="A986" s="16"/>
      <c r="B986" s="12"/>
      <c r="C986" s="18" t="str">
        <f aca="false">IF(B986="","",IFERROR(INDEX(Inventario!$B$7:$B$46,MATCH(B986,Inventario!$A$7:$A$46,0)),"Clave no existe"))</f>
        <v/>
      </c>
      <c r="D986" s="18" t="str">
        <f aca="false">IF(B986="","",IFERROR(INDEX(Inventario!$C$7:$C$46,MATCH(B986,Inventario!$A$7:$A$46,0)),""))</f>
        <v/>
      </c>
      <c r="E986" s="19"/>
      <c r="F986" s="19"/>
      <c r="G986" s="20" t="str">
        <f aca="false">IF(OR(E986="",F986=""),IF(B986="","",IF(A986="","",8)),F986-E986)</f>
        <v/>
      </c>
      <c r="H986" s="14"/>
      <c r="I986" s="12"/>
      <c r="J986" s="14"/>
      <c r="K986" s="20" t="str">
        <f aca="false">IF(OR(J986="",N(G986)=0),"",J986/G986)</f>
        <v/>
      </c>
      <c r="L986" s="12"/>
      <c r="M986" s="12"/>
      <c r="N986" s="12"/>
    </row>
    <row r="987" customFormat="false" ht="15" hidden="false" customHeight="false" outlineLevel="0" collapsed="false">
      <c r="A987" s="16"/>
      <c r="B987" s="12"/>
      <c r="C987" s="18" t="str">
        <f aca="false">IF(B987="","",IFERROR(INDEX(Inventario!$B$7:$B$46,MATCH(B987,Inventario!$A$7:$A$46,0)),"Clave no existe"))</f>
        <v/>
      </c>
      <c r="D987" s="18" t="str">
        <f aca="false">IF(B987="","",IFERROR(INDEX(Inventario!$C$7:$C$46,MATCH(B987,Inventario!$A$7:$A$46,0)),""))</f>
        <v/>
      </c>
      <c r="E987" s="19"/>
      <c r="F987" s="19"/>
      <c r="G987" s="20" t="str">
        <f aca="false">IF(OR(E987="",F987=""),IF(B987="","",IF(A987="","",8)),F987-E987)</f>
        <v/>
      </c>
      <c r="H987" s="14"/>
      <c r="I987" s="12"/>
      <c r="J987" s="14"/>
      <c r="K987" s="20" t="str">
        <f aca="false">IF(OR(J987="",N(G987)=0),"",J987/G987)</f>
        <v/>
      </c>
      <c r="L987" s="12"/>
      <c r="M987" s="12"/>
      <c r="N987" s="12"/>
    </row>
    <row r="988" customFormat="false" ht="15" hidden="false" customHeight="false" outlineLevel="0" collapsed="false">
      <c r="A988" s="16"/>
      <c r="B988" s="12"/>
      <c r="C988" s="18" t="str">
        <f aca="false">IF(B988="","",IFERROR(INDEX(Inventario!$B$7:$B$46,MATCH(B988,Inventario!$A$7:$A$46,0)),"Clave no existe"))</f>
        <v/>
      </c>
      <c r="D988" s="18" t="str">
        <f aca="false">IF(B988="","",IFERROR(INDEX(Inventario!$C$7:$C$46,MATCH(B988,Inventario!$A$7:$A$46,0)),""))</f>
        <v/>
      </c>
      <c r="E988" s="19"/>
      <c r="F988" s="19"/>
      <c r="G988" s="20" t="str">
        <f aca="false">IF(OR(E988="",F988=""),IF(B988="","",IF(A988="","",8)),F988-E988)</f>
        <v/>
      </c>
      <c r="H988" s="14"/>
      <c r="I988" s="12"/>
      <c r="J988" s="14"/>
      <c r="K988" s="20" t="str">
        <f aca="false">IF(OR(J988="",N(G988)=0),"",J988/G988)</f>
        <v/>
      </c>
      <c r="L988" s="12"/>
      <c r="M988" s="12"/>
      <c r="N988" s="12"/>
    </row>
    <row r="989" customFormat="false" ht="15" hidden="false" customHeight="false" outlineLevel="0" collapsed="false">
      <c r="A989" s="16"/>
      <c r="B989" s="12"/>
      <c r="C989" s="18" t="str">
        <f aca="false">IF(B989="","",IFERROR(INDEX(Inventario!$B$7:$B$46,MATCH(B989,Inventario!$A$7:$A$46,0)),"Clave no existe"))</f>
        <v/>
      </c>
      <c r="D989" s="18" t="str">
        <f aca="false">IF(B989="","",IFERROR(INDEX(Inventario!$C$7:$C$46,MATCH(B989,Inventario!$A$7:$A$46,0)),""))</f>
        <v/>
      </c>
      <c r="E989" s="19"/>
      <c r="F989" s="19"/>
      <c r="G989" s="20" t="str">
        <f aca="false">IF(OR(E989="",F989=""),IF(B989="","",IF(A989="","",8)),F989-E989)</f>
        <v/>
      </c>
      <c r="H989" s="14"/>
      <c r="I989" s="12"/>
      <c r="J989" s="14"/>
      <c r="K989" s="20" t="str">
        <f aca="false">IF(OR(J989="",N(G989)=0),"",J989/G989)</f>
        <v/>
      </c>
      <c r="L989" s="12"/>
      <c r="M989" s="12"/>
      <c r="N989" s="12"/>
    </row>
    <row r="990" customFormat="false" ht="15" hidden="false" customHeight="false" outlineLevel="0" collapsed="false">
      <c r="A990" s="16"/>
      <c r="B990" s="12"/>
      <c r="C990" s="18" t="str">
        <f aca="false">IF(B990="","",IFERROR(INDEX(Inventario!$B$7:$B$46,MATCH(B990,Inventario!$A$7:$A$46,0)),"Clave no existe"))</f>
        <v/>
      </c>
      <c r="D990" s="18" t="str">
        <f aca="false">IF(B990="","",IFERROR(INDEX(Inventario!$C$7:$C$46,MATCH(B990,Inventario!$A$7:$A$46,0)),""))</f>
        <v/>
      </c>
      <c r="E990" s="19"/>
      <c r="F990" s="19"/>
      <c r="G990" s="20" t="str">
        <f aca="false">IF(OR(E990="",F990=""),IF(B990="","",IF(A990="","",8)),F990-E990)</f>
        <v/>
      </c>
      <c r="H990" s="14"/>
      <c r="I990" s="12"/>
      <c r="J990" s="14"/>
      <c r="K990" s="20" t="str">
        <f aca="false">IF(OR(J990="",N(G990)=0),"",J990/G990)</f>
        <v/>
      </c>
      <c r="L990" s="12"/>
      <c r="M990" s="12"/>
      <c r="N990" s="12"/>
    </row>
    <row r="991" customFormat="false" ht="15" hidden="false" customHeight="false" outlineLevel="0" collapsed="false">
      <c r="A991" s="16"/>
      <c r="B991" s="12"/>
      <c r="C991" s="18" t="str">
        <f aca="false">IF(B991="","",IFERROR(INDEX(Inventario!$B$7:$B$46,MATCH(B991,Inventario!$A$7:$A$46,0)),"Clave no existe"))</f>
        <v/>
      </c>
      <c r="D991" s="18" t="str">
        <f aca="false">IF(B991="","",IFERROR(INDEX(Inventario!$C$7:$C$46,MATCH(B991,Inventario!$A$7:$A$46,0)),""))</f>
        <v/>
      </c>
      <c r="E991" s="19"/>
      <c r="F991" s="19"/>
      <c r="G991" s="20" t="str">
        <f aca="false">IF(OR(E991="",F991=""),IF(B991="","",IF(A991="","",8)),F991-E991)</f>
        <v/>
      </c>
      <c r="H991" s="14"/>
      <c r="I991" s="12"/>
      <c r="J991" s="14"/>
      <c r="K991" s="20" t="str">
        <f aca="false">IF(OR(J991="",N(G991)=0),"",J991/G991)</f>
        <v/>
      </c>
      <c r="L991" s="12"/>
      <c r="M991" s="12"/>
      <c r="N991" s="12"/>
    </row>
    <row r="992" customFormat="false" ht="15" hidden="false" customHeight="false" outlineLevel="0" collapsed="false">
      <c r="A992" s="16"/>
      <c r="B992" s="12"/>
      <c r="C992" s="18" t="str">
        <f aca="false">IF(B992="","",IFERROR(INDEX(Inventario!$B$7:$B$46,MATCH(B992,Inventario!$A$7:$A$46,0)),"Clave no existe"))</f>
        <v/>
      </c>
      <c r="D992" s="18" t="str">
        <f aca="false">IF(B992="","",IFERROR(INDEX(Inventario!$C$7:$C$46,MATCH(B992,Inventario!$A$7:$A$46,0)),""))</f>
        <v/>
      </c>
      <c r="E992" s="19"/>
      <c r="F992" s="19"/>
      <c r="G992" s="20" t="str">
        <f aca="false">IF(OR(E992="",F992=""),IF(B992="","",IF(A992="","",8)),F992-E992)</f>
        <v/>
      </c>
      <c r="H992" s="14"/>
      <c r="I992" s="12"/>
      <c r="J992" s="14"/>
      <c r="K992" s="20" t="str">
        <f aca="false">IF(OR(J992="",N(G992)=0),"",J992/G992)</f>
        <v/>
      </c>
      <c r="L992" s="12"/>
      <c r="M992" s="12"/>
      <c r="N992" s="12"/>
    </row>
    <row r="993" customFormat="false" ht="15" hidden="false" customHeight="false" outlineLevel="0" collapsed="false">
      <c r="A993" s="16"/>
      <c r="B993" s="12"/>
      <c r="C993" s="18" t="str">
        <f aca="false">IF(B993="","",IFERROR(INDEX(Inventario!$B$7:$B$46,MATCH(B993,Inventario!$A$7:$A$46,0)),"Clave no existe"))</f>
        <v/>
      </c>
      <c r="D993" s="18" t="str">
        <f aca="false">IF(B993="","",IFERROR(INDEX(Inventario!$C$7:$C$46,MATCH(B993,Inventario!$A$7:$A$46,0)),""))</f>
        <v/>
      </c>
      <c r="E993" s="19"/>
      <c r="F993" s="19"/>
      <c r="G993" s="20" t="str">
        <f aca="false">IF(OR(E993="",F993=""),IF(B993="","",IF(A993="","",8)),F993-E993)</f>
        <v/>
      </c>
      <c r="H993" s="14"/>
      <c r="I993" s="12"/>
      <c r="J993" s="14"/>
      <c r="K993" s="20" t="str">
        <f aca="false">IF(OR(J993="",N(G993)=0),"",J993/G993)</f>
        <v/>
      </c>
      <c r="L993" s="12"/>
      <c r="M993" s="12"/>
      <c r="N993" s="12"/>
    </row>
    <row r="994" customFormat="false" ht="15" hidden="false" customHeight="false" outlineLevel="0" collapsed="false">
      <c r="A994" s="16"/>
      <c r="B994" s="12"/>
      <c r="C994" s="18" t="str">
        <f aca="false">IF(B994="","",IFERROR(INDEX(Inventario!$B$7:$B$46,MATCH(B994,Inventario!$A$7:$A$46,0)),"Clave no existe"))</f>
        <v/>
      </c>
      <c r="D994" s="18" t="str">
        <f aca="false">IF(B994="","",IFERROR(INDEX(Inventario!$C$7:$C$46,MATCH(B994,Inventario!$A$7:$A$46,0)),""))</f>
        <v/>
      </c>
      <c r="E994" s="19"/>
      <c r="F994" s="19"/>
      <c r="G994" s="20" t="str">
        <f aca="false">IF(OR(E994="",F994=""),IF(B994="","",IF(A994="","",8)),F994-E994)</f>
        <v/>
      </c>
      <c r="H994" s="14"/>
      <c r="I994" s="12"/>
      <c r="J994" s="14"/>
      <c r="K994" s="20" t="str">
        <f aca="false">IF(OR(J994="",N(G994)=0),"",J994/G994)</f>
        <v/>
      </c>
      <c r="L994" s="12"/>
      <c r="M994" s="12"/>
      <c r="N994" s="12"/>
    </row>
    <row r="995" customFormat="false" ht="15" hidden="false" customHeight="false" outlineLevel="0" collapsed="false">
      <c r="A995" s="16"/>
      <c r="B995" s="12"/>
      <c r="C995" s="18" t="str">
        <f aca="false">IF(B995="","",IFERROR(INDEX(Inventario!$B$7:$B$46,MATCH(B995,Inventario!$A$7:$A$46,0)),"Clave no existe"))</f>
        <v/>
      </c>
      <c r="D995" s="18" t="str">
        <f aca="false">IF(B995="","",IFERROR(INDEX(Inventario!$C$7:$C$46,MATCH(B995,Inventario!$A$7:$A$46,0)),""))</f>
        <v/>
      </c>
      <c r="E995" s="19"/>
      <c r="F995" s="19"/>
      <c r="G995" s="20" t="str">
        <f aca="false">IF(OR(E995="",F995=""),IF(B995="","",IF(A995="","",8)),F995-E995)</f>
        <v/>
      </c>
      <c r="H995" s="14"/>
      <c r="I995" s="12"/>
      <c r="J995" s="14"/>
      <c r="K995" s="20" t="str">
        <f aca="false">IF(OR(J995="",N(G995)=0),"",J995/G995)</f>
        <v/>
      </c>
      <c r="L995" s="12"/>
      <c r="M995" s="12"/>
      <c r="N995" s="12"/>
    </row>
    <row r="996" customFormat="false" ht="15" hidden="false" customHeight="false" outlineLevel="0" collapsed="false">
      <c r="A996" s="16"/>
      <c r="B996" s="12"/>
      <c r="C996" s="18" t="str">
        <f aca="false">IF(B996="","",IFERROR(INDEX(Inventario!$B$7:$B$46,MATCH(B996,Inventario!$A$7:$A$46,0)),"Clave no existe"))</f>
        <v/>
      </c>
      <c r="D996" s="18" t="str">
        <f aca="false">IF(B996="","",IFERROR(INDEX(Inventario!$C$7:$C$46,MATCH(B996,Inventario!$A$7:$A$46,0)),""))</f>
        <v/>
      </c>
      <c r="E996" s="19"/>
      <c r="F996" s="19"/>
      <c r="G996" s="20" t="str">
        <f aca="false">IF(OR(E996="",F996=""),IF(B996="","",IF(A996="","",8)),F996-E996)</f>
        <v/>
      </c>
      <c r="H996" s="14"/>
      <c r="I996" s="12"/>
      <c r="J996" s="14"/>
      <c r="K996" s="20" t="str">
        <f aca="false">IF(OR(J996="",N(G996)=0),"",J996/G996)</f>
        <v/>
      </c>
      <c r="L996" s="12"/>
      <c r="M996" s="12"/>
      <c r="N996" s="12"/>
    </row>
    <row r="997" customFormat="false" ht="15" hidden="false" customHeight="false" outlineLevel="0" collapsed="false">
      <c r="A997" s="16"/>
      <c r="B997" s="12"/>
      <c r="C997" s="18" t="str">
        <f aca="false">IF(B997="","",IFERROR(INDEX(Inventario!$B$7:$B$46,MATCH(B997,Inventario!$A$7:$A$46,0)),"Clave no existe"))</f>
        <v/>
      </c>
      <c r="D997" s="18" t="str">
        <f aca="false">IF(B997="","",IFERROR(INDEX(Inventario!$C$7:$C$46,MATCH(B997,Inventario!$A$7:$A$46,0)),""))</f>
        <v/>
      </c>
      <c r="E997" s="19"/>
      <c r="F997" s="19"/>
      <c r="G997" s="20" t="str">
        <f aca="false">IF(OR(E997="",F997=""),IF(B997="","",IF(A997="","",8)),F997-E997)</f>
        <v/>
      </c>
      <c r="H997" s="14"/>
      <c r="I997" s="12"/>
      <c r="J997" s="14"/>
      <c r="K997" s="20" t="str">
        <f aca="false">IF(OR(J997="",N(G997)=0),"",J997/G997)</f>
        <v/>
      </c>
      <c r="L997" s="12"/>
      <c r="M997" s="12"/>
      <c r="N997" s="12"/>
    </row>
    <row r="998" customFormat="false" ht="15" hidden="false" customHeight="false" outlineLevel="0" collapsed="false">
      <c r="A998" s="16"/>
      <c r="B998" s="12"/>
      <c r="C998" s="18" t="str">
        <f aca="false">IF(B998="","",IFERROR(INDEX(Inventario!$B$7:$B$46,MATCH(B998,Inventario!$A$7:$A$46,0)),"Clave no existe"))</f>
        <v/>
      </c>
      <c r="D998" s="18" t="str">
        <f aca="false">IF(B998="","",IFERROR(INDEX(Inventario!$C$7:$C$46,MATCH(B998,Inventario!$A$7:$A$46,0)),""))</f>
        <v/>
      </c>
      <c r="E998" s="19"/>
      <c r="F998" s="19"/>
      <c r="G998" s="20" t="str">
        <f aca="false">IF(OR(E998="",F998=""),IF(B998="","",IF(A998="","",8)),F998-E998)</f>
        <v/>
      </c>
      <c r="H998" s="14"/>
      <c r="I998" s="12"/>
      <c r="J998" s="14"/>
      <c r="K998" s="20" t="str">
        <f aca="false">IF(OR(J998="",N(G998)=0),"",J998/G998)</f>
        <v/>
      </c>
      <c r="L998" s="12"/>
      <c r="M998" s="12"/>
      <c r="N998" s="12"/>
    </row>
    <row r="999" customFormat="false" ht="15" hidden="false" customHeight="false" outlineLevel="0" collapsed="false">
      <c r="A999" s="16"/>
      <c r="B999" s="12"/>
      <c r="C999" s="18" t="str">
        <f aca="false">IF(B999="","",IFERROR(INDEX(Inventario!$B$7:$B$46,MATCH(B999,Inventario!$A$7:$A$46,0)),"Clave no existe"))</f>
        <v/>
      </c>
      <c r="D999" s="18" t="str">
        <f aca="false">IF(B999="","",IFERROR(INDEX(Inventario!$C$7:$C$46,MATCH(B999,Inventario!$A$7:$A$46,0)),""))</f>
        <v/>
      </c>
      <c r="E999" s="19"/>
      <c r="F999" s="19"/>
      <c r="G999" s="20" t="str">
        <f aca="false">IF(OR(E999="",F999=""),IF(B999="","",IF(A999="","",8)),F999-E999)</f>
        <v/>
      </c>
      <c r="H999" s="14"/>
      <c r="I999" s="12"/>
      <c r="J999" s="14"/>
      <c r="K999" s="20" t="str">
        <f aca="false">IF(OR(J999="",N(G999)=0),"",J999/G999)</f>
        <v/>
      </c>
      <c r="L999" s="12"/>
      <c r="M999" s="12"/>
      <c r="N999" s="12"/>
    </row>
    <row r="1000" customFormat="false" ht="15" hidden="false" customHeight="false" outlineLevel="0" collapsed="false">
      <c r="A1000" s="16"/>
      <c r="B1000" s="12"/>
      <c r="C1000" s="18" t="str">
        <f aca="false">IF(B1000="","",IFERROR(INDEX(Inventario!$B$7:$B$46,MATCH(B1000,Inventario!$A$7:$A$46,0)),"Clave no existe"))</f>
        <v/>
      </c>
      <c r="D1000" s="18" t="str">
        <f aca="false">IF(B1000="","",IFERROR(INDEX(Inventario!$C$7:$C$46,MATCH(B1000,Inventario!$A$7:$A$46,0)),""))</f>
        <v/>
      </c>
      <c r="E1000" s="19"/>
      <c r="F1000" s="19"/>
      <c r="G1000" s="20" t="str">
        <f aca="false">IF(OR(E1000="",F1000=""),IF(B1000="","",IF(A1000="","",8)),F1000-E1000)</f>
        <v/>
      </c>
      <c r="H1000" s="14"/>
      <c r="I1000" s="12"/>
      <c r="J1000" s="14"/>
      <c r="K1000" s="20" t="str">
        <f aca="false">IF(OR(J1000="",N(G1000)=0),"",J1000/G1000)</f>
        <v/>
      </c>
      <c r="L1000" s="12"/>
      <c r="M1000" s="12"/>
      <c r="N1000" s="12"/>
    </row>
    <row r="1001" customFormat="false" ht="15" hidden="false" customHeight="false" outlineLevel="0" collapsed="false">
      <c r="A1001" s="16"/>
      <c r="B1001" s="12"/>
      <c r="C1001" s="18" t="str">
        <f aca="false">IF(B1001="","",IFERROR(INDEX(Inventario!$B$7:$B$46,MATCH(B1001,Inventario!$A$7:$A$46,0)),"Clave no existe"))</f>
        <v/>
      </c>
      <c r="D1001" s="18" t="str">
        <f aca="false">IF(B1001="","",IFERROR(INDEX(Inventario!$C$7:$C$46,MATCH(B1001,Inventario!$A$7:$A$46,0)),""))</f>
        <v/>
      </c>
      <c r="E1001" s="19"/>
      <c r="F1001" s="19"/>
      <c r="G1001" s="20" t="str">
        <f aca="false">IF(OR(E1001="",F1001=""),IF(B1001="","",IF(A1001="","",8)),F1001-E1001)</f>
        <v/>
      </c>
      <c r="H1001" s="14"/>
      <c r="I1001" s="12"/>
      <c r="J1001" s="14"/>
      <c r="K1001" s="20" t="str">
        <f aca="false">IF(OR(J1001="",N(G1001)=0),"",J1001/G1001)</f>
        <v/>
      </c>
      <c r="L1001" s="12"/>
      <c r="M1001" s="12"/>
      <c r="N1001" s="12"/>
    </row>
    <row r="1002" customFormat="false" ht="15" hidden="false" customHeight="false" outlineLevel="0" collapsed="false">
      <c r="A1002" s="16"/>
      <c r="B1002" s="12"/>
      <c r="C1002" s="18" t="str">
        <f aca="false">IF(B1002="","",IFERROR(INDEX(Inventario!$B$7:$B$46,MATCH(B1002,Inventario!$A$7:$A$46,0)),"Clave no existe"))</f>
        <v/>
      </c>
      <c r="D1002" s="18" t="str">
        <f aca="false">IF(B1002="","",IFERROR(INDEX(Inventario!$C$7:$C$46,MATCH(B1002,Inventario!$A$7:$A$46,0)),""))</f>
        <v/>
      </c>
      <c r="E1002" s="19"/>
      <c r="F1002" s="19"/>
      <c r="G1002" s="20" t="str">
        <f aca="false">IF(OR(E1002="",F1002=""),IF(B1002="","",IF(A1002="","",8)),F1002-E1002)</f>
        <v/>
      </c>
      <c r="H1002" s="14"/>
      <c r="I1002" s="12"/>
      <c r="J1002" s="14"/>
      <c r="K1002" s="20" t="str">
        <f aca="false">IF(OR(J1002="",N(G1002)=0),"",J1002/G1002)</f>
        <v/>
      </c>
      <c r="L1002" s="12"/>
      <c r="M1002" s="12"/>
      <c r="N1002" s="12"/>
    </row>
    <row r="1003" customFormat="false" ht="15" hidden="false" customHeight="false" outlineLevel="0" collapsed="false">
      <c r="A1003" s="16"/>
      <c r="B1003" s="12"/>
      <c r="C1003" s="18" t="str">
        <f aca="false">IF(B1003="","",IFERROR(INDEX(Inventario!$B$7:$B$46,MATCH(B1003,Inventario!$A$7:$A$46,0)),"Clave no existe"))</f>
        <v/>
      </c>
      <c r="D1003" s="18" t="str">
        <f aca="false">IF(B1003="","",IFERROR(INDEX(Inventario!$C$7:$C$46,MATCH(B1003,Inventario!$A$7:$A$46,0)),""))</f>
        <v/>
      </c>
      <c r="E1003" s="19"/>
      <c r="F1003" s="19"/>
      <c r="G1003" s="20" t="str">
        <f aca="false">IF(OR(E1003="",F1003=""),IF(B1003="","",IF(A1003="","",8)),F1003-E1003)</f>
        <v/>
      </c>
      <c r="H1003" s="14"/>
      <c r="I1003" s="12"/>
      <c r="J1003" s="14"/>
      <c r="K1003" s="20" t="str">
        <f aca="false">IF(OR(J1003="",N(G1003)=0),"",J1003/G1003)</f>
        <v/>
      </c>
      <c r="L1003" s="12"/>
      <c r="M1003" s="12"/>
      <c r="N1003" s="12"/>
    </row>
    <row r="1004" customFormat="false" ht="15" hidden="false" customHeight="false" outlineLevel="0" collapsed="false">
      <c r="A1004" s="16"/>
      <c r="B1004" s="12"/>
      <c r="C1004" s="18" t="str">
        <f aca="false">IF(B1004="","",IFERROR(INDEX(Inventario!$B$7:$B$46,MATCH(B1004,Inventario!$A$7:$A$46,0)),"Clave no existe"))</f>
        <v/>
      </c>
      <c r="D1004" s="18" t="str">
        <f aca="false">IF(B1004="","",IFERROR(INDEX(Inventario!$C$7:$C$46,MATCH(B1004,Inventario!$A$7:$A$46,0)),""))</f>
        <v/>
      </c>
      <c r="E1004" s="19"/>
      <c r="F1004" s="19"/>
      <c r="G1004" s="20" t="str">
        <f aca="false">IF(OR(E1004="",F1004=""),IF(B1004="","",IF(A1004="","",8)),F1004-E1004)</f>
        <v/>
      </c>
      <c r="H1004" s="14"/>
      <c r="I1004" s="12"/>
      <c r="J1004" s="14"/>
      <c r="K1004" s="20" t="str">
        <f aca="false">IF(OR(J1004="",N(G1004)=0),"",J1004/G1004)</f>
        <v/>
      </c>
      <c r="L1004" s="12"/>
      <c r="M1004" s="12"/>
      <c r="N1004" s="12"/>
    </row>
    <row r="1005" customFormat="false" ht="15" hidden="false" customHeight="false" outlineLevel="0" collapsed="false">
      <c r="A1005" s="16"/>
      <c r="B1005" s="12"/>
      <c r="C1005" s="18" t="str">
        <f aca="false">IF(B1005="","",IFERROR(INDEX(Inventario!$B$7:$B$46,MATCH(B1005,Inventario!$A$7:$A$46,0)),"Clave no existe"))</f>
        <v/>
      </c>
      <c r="D1005" s="18" t="str">
        <f aca="false">IF(B1005="","",IFERROR(INDEX(Inventario!$C$7:$C$46,MATCH(B1005,Inventario!$A$7:$A$46,0)),""))</f>
        <v/>
      </c>
      <c r="E1005" s="19"/>
      <c r="F1005" s="19"/>
      <c r="G1005" s="20" t="str">
        <f aca="false">IF(OR(E1005="",F1005=""),IF(B1005="","",IF(A1005="","",8)),F1005-E1005)</f>
        <v/>
      </c>
      <c r="H1005" s="14"/>
      <c r="I1005" s="12"/>
      <c r="J1005" s="14"/>
      <c r="K1005" s="20" t="str">
        <f aca="false">IF(OR(J1005="",N(G1005)=0),"",J1005/G1005)</f>
        <v/>
      </c>
      <c r="L1005" s="12"/>
      <c r="M1005" s="12"/>
      <c r="N1005" s="12"/>
    </row>
    <row r="1006" customFormat="false" ht="15" hidden="false" customHeight="false" outlineLevel="0" collapsed="false">
      <c r="A1006" s="16"/>
      <c r="B1006" s="12"/>
      <c r="C1006" s="18" t="str">
        <f aca="false">IF(B1006="","",IFERROR(INDEX(Inventario!$B$7:$B$46,MATCH(B1006,Inventario!$A$7:$A$46,0)),"Clave no existe"))</f>
        <v/>
      </c>
      <c r="D1006" s="18" t="str">
        <f aca="false">IF(B1006="","",IFERROR(INDEX(Inventario!$C$7:$C$46,MATCH(B1006,Inventario!$A$7:$A$46,0)),""))</f>
        <v/>
      </c>
      <c r="E1006" s="19"/>
      <c r="F1006" s="19"/>
      <c r="G1006" s="20" t="str">
        <f aca="false">IF(OR(E1006="",F1006=""),IF(B1006="","",IF(A1006="","",8)),F1006-E1006)</f>
        <v/>
      </c>
      <c r="H1006" s="14"/>
      <c r="I1006" s="12"/>
      <c r="J1006" s="14"/>
      <c r="K1006" s="20" t="str">
        <f aca="false">IF(OR(J1006="",N(G1006)=0),"",J1006/G1006)</f>
        <v/>
      </c>
      <c r="L1006" s="12"/>
      <c r="M1006" s="12"/>
      <c r="N1006" s="12"/>
    </row>
  </sheetData>
  <mergeCells count="2">
    <mergeCell ref="A1:N1"/>
    <mergeCell ref="A2:N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57</v>
      </c>
      <c r="B2" s="8"/>
      <c r="C2" s="8"/>
      <c r="D2" s="8"/>
      <c r="E2" s="8"/>
      <c r="F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15" hidden="false" customHeight="false" outlineLevel="0" collapsed="false">
      <c r="A6" s="9" t="s">
        <v>58</v>
      </c>
      <c r="B6" s="21" t="s">
        <v>30</v>
      </c>
      <c r="C6" s="21" t="s">
        <v>34</v>
      </c>
      <c r="D6" s="21"/>
      <c r="E6" s="21"/>
      <c r="F6" s="21"/>
    </row>
    <row r="7" customFormat="false" ht="15" hidden="false" customHeight="false" outlineLevel="0" collapsed="false">
      <c r="A7" s="9" t="s">
        <v>16</v>
      </c>
      <c r="B7" s="12" t="s">
        <v>59</v>
      </c>
      <c r="C7" s="12" t="s">
        <v>60</v>
      </c>
      <c r="D7" s="12"/>
      <c r="E7" s="12"/>
      <c r="F7" s="12"/>
    </row>
    <row r="8" customFormat="false" ht="15" hidden="false" customHeight="false" outlineLevel="0" collapsed="false">
      <c r="A8" s="10" t="s">
        <v>61</v>
      </c>
      <c r="B8" s="13" t="n">
        <v>38000</v>
      </c>
      <c r="C8" s="13" t="n">
        <v>14500</v>
      </c>
      <c r="D8" s="13"/>
      <c r="E8" s="13"/>
      <c r="F8" s="13"/>
    </row>
    <row r="9" customFormat="false" ht="15" hidden="false" customHeight="false" outlineLevel="0" collapsed="false">
      <c r="A9" s="10" t="s">
        <v>62</v>
      </c>
      <c r="B9" s="13" t="n">
        <v>0</v>
      </c>
      <c r="C9" s="13" t="n">
        <v>0</v>
      </c>
      <c r="D9" s="13"/>
      <c r="E9" s="13"/>
      <c r="F9" s="13"/>
    </row>
    <row r="10" customFormat="false" ht="15" hidden="false" customHeight="false" outlineLevel="0" collapsed="false">
      <c r="A10" s="10" t="s">
        <v>63</v>
      </c>
      <c r="B10" s="22" t="n">
        <v>0.15</v>
      </c>
      <c r="C10" s="22" t="n">
        <v>0.1</v>
      </c>
      <c r="D10" s="22"/>
      <c r="E10" s="22"/>
      <c r="F10" s="22"/>
    </row>
    <row r="11" customFormat="false" ht="15" hidden="false" customHeight="false" outlineLevel="0" collapsed="false">
      <c r="A11" s="10" t="s">
        <v>64</v>
      </c>
      <c r="B11" s="23" t="n">
        <v>6000</v>
      </c>
      <c r="C11" s="23" t="n">
        <v>3000</v>
      </c>
      <c r="D11" s="23"/>
      <c r="E11" s="23"/>
      <c r="F11" s="23"/>
    </row>
    <row r="12" customFormat="false" ht="15" hidden="false" customHeight="false" outlineLevel="0" collapsed="false">
      <c r="A12" s="10" t="s">
        <v>65</v>
      </c>
      <c r="B12" s="23" t="n">
        <v>1200</v>
      </c>
      <c r="C12" s="23" t="n">
        <v>1000</v>
      </c>
      <c r="D12" s="23"/>
      <c r="E12" s="23"/>
      <c r="F12" s="23"/>
    </row>
    <row r="13" customFormat="false" ht="15" hidden="false" customHeight="false" outlineLevel="0" collapsed="false">
      <c r="A13" s="10" t="s">
        <v>66</v>
      </c>
      <c r="B13" s="22" t="n">
        <v>0.14</v>
      </c>
      <c r="C13" s="22" t="n">
        <v>0.14</v>
      </c>
      <c r="D13" s="22"/>
      <c r="E13" s="22"/>
      <c r="F13" s="22"/>
    </row>
    <row r="14" customFormat="false" ht="15" hidden="false" customHeight="false" outlineLevel="0" collapsed="false">
      <c r="A14" s="10" t="s">
        <v>67</v>
      </c>
      <c r="B14" s="22" t="n">
        <v>0.03</v>
      </c>
      <c r="C14" s="22" t="n">
        <v>0.03</v>
      </c>
      <c r="D14" s="22"/>
      <c r="E14" s="22"/>
      <c r="F14" s="22"/>
    </row>
    <row r="15" customFormat="false" ht="15" hidden="false" customHeight="false" outlineLevel="0" collapsed="false">
      <c r="A15" s="10" t="s">
        <v>68</v>
      </c>
      <c r="B15" s="24" t="n">
        <v>0.8</v>
      </c>
      <c r="C15" s="24" t="n">
        <v>0.9</v>
      </c>
      <c r="D15" s="24"/>
      <c r="E15" s="24"/>
      <c r="F15" s="24"/>
    </row>
    <row r="16" customFormat="false" ht="15" hidden="false" customHeight="false" outlineLevel="0" collapsed="false">
      <c r="A16" s="10" t="s">
        <v>69</v>
      </c>
      <c r="B16" s="24" t="n">
        <v>0.9</v>
      </c>
      <c r="C16" s="24" t="n">
        <v>0.6</v>
      </c>
      <c r="D16" s="24"/>
      <c r="E16" s="24"/>
      <c r="F16" s="24"/>
    </row>
    <row r="17" customFormat="false" ht="15" hidden="false" customHeight="false" outlineLevel="0" collapsed="false">
      <c r="A17" s="10" t="s">
        <v>70</v>
      </c>
      <c r="B17" s="13" t="n">
        <v>22.5</v>
      </c>
      <c r="C17" s="13" t="n">
        <v>22.5</v>
      </c>
      <c r="D17" s="13"/>
      <c r="E17" s="13"/>
      <c r="F17" s="13"/>
    </row>
    <row r="18" customFormat="false" ht="15" hidden="false" customHeight="false" outlineLevel="0" collapsed="false">
      <c r="A18" s="10" t="s">
        <v>71</v>
      </c>
      <c r="B18" s="22" t="n">
        <v>0.15</v>
      </c>
      <c r="C18" s="22" t="n">
        <v>0.2</v>
      </c>
      <c r="D18" s="22"/>
      <c r="E18" s="22"/>
      <c r="F18" s="22"/>
    </row>
    <row r="19" customFormat="false" ht="15" hidden="false" customHeight="false" outlineLevel="0" collapsed="false">
      <c r="A19" s="10" t="s">
        <v>72</v>
      </c>
      <c r="B19" s="23" t="n">
        <v>2000</v>
      </c>
      <c r="C19" s="23" t="n">
        <v>2000</v>
      </c>
      <c r="D19" s="23"/>
      <c r="E19" s="23"/>
      <c r="F19" s="23"/>
    </row>
    <row r="20" customFormat="false" ht="15" hidden="false" customHeight="false" outlineLevel="0" collapsed="false">
      <c r="A20" s="10" t="s">
        <v>73</v>
      </c>
      <c r="B20" s="13" t="n">
        <v>0</v>
      </c>
      <c r="C20" s="13" t="n">
        <v>0</v>
      </c>
      <c r="D20" s="13"/>
      <c r="E20" s="13"/>
      <c r="F20" s="13"/>
    </row>
    <row r="21" customFormat="false" ht="15" hidden="false" customHeight="false" outlineLevel="0" collapsed="false">
      <c r="A21" s="10" t="s">
        <v>74</v>
      </c>
      <c r="B21" s="14" t="n">
        <v>8</v>
      </c>
      <c r="C21" s="14" t="n">
        <v>8</v>
      </c>
      <c r="D21" s="14"/>
      <c r="E21" s="14"/>
      <c r="F21" s="14"/>
    </row>
    <row r="22" customFormat="false" ht="15" hidden="false" customHeight="false" outlineLevel="0" collapsed="false">
      <c r="A22" s="10" t="s">
        <v>75</v>
      </c>
      <c r="B22" s="15" t="n">
        <f aca="false">IF(B$6="","",B8*B10)</f>
        <v>5700</v>
      </c>
      <c r="C22" s="15" t="n">
        <f aca="false">IF(C$6="","",C8*C10)</f>
        <v>1450</v>
      </c>
      <c r="D22" s="15" t="str">
        <f aca="false">IF(D$6="","",D8*D10)</f>
        <v/>
      </c>
      <c r="E22" s="15" t="str">
        <f aca="false">IF(E$6="","",E8*E10)</f>
        <v/>
      </c>
      <c r="F22" s="15" t="str">
        <f aca="false">IF(F$6="","",F8*F10)</f>
        <v/>
      </c>
    </row>
    <row r="23" customFormat="false" ht="15" hidden="false" customHeight="false" outlineLevel="0" collapsed="false">
      <c r="A23" s="10" t="s">
        <v>76</v>
      </c>
      <c r="B23" s="15" t="n">
        <f aca="false">IF(B$6="","",IF(N(B11)=0,0,(B8-B22)/B11))</f>
        <v>5.38333333333333</v>
      </c>
      <c r="C23" s="15" t="n">
        <f aca="false">IF(C$6="","",IF(N(C11)=0,0,(C8-C22)/C11))</f>
        <v>4.35</v>
      </c>
      <c r="D23" s="15" t="str">
        <f aca="false">IF(D$6="","",IF(N(D11)=0,0,(D8-D22)/D11))</f>
        <v/>
      </c>
      <c r="E23" s="15" t="str">
        <f aca="false">IF(E$6="","",IF(N(E11)=0,0,(E8-E22)/E11))</f>
        <v/>
      </c>
      <c r="F23" s="15" t="str">
        <f aca="false">IF(F$6="","",IF(N(F11)=0,0,(F8-F22)/F11))</f>
        <v/>
      </c>
    </row>
    <row r="24" customFormat="false" ht="15" hidden="false" customHeight="false" outlineLevel="0" collapsed="false">
      <c r="A24" s="10" t="s">
        <v>77</v>
      </c>
      <c r="B24" s="15" t="n">
        <f aca="false">IF(B$6="","",IF(N(B12)=0,0,(B8+B22)/(2*B12)*B13))</f>
        <v>2.54916666666667</v>
      </c>
      <c r="C24" s="15" t="n">
        <f aca="false">IF(C$6="","",IF(N(C12)=0,0,(C8+C22)/(2*C12)*C13))</f>
        <v>1.1165</v>
      </c>
      <c r="D24" s="15" t="str">
        <f aca="false">IF(D$6="","",IF(N(D12)=0,0,(D8+D22)/(2*D12)*D13))</f>
        <v/>
      </c>
      <c r="E24" s="15" t="str">
        <f aca="false">IF(E$6="","",IF(N(E12)=0,0,(E8+E22)/(2*E12)*E13))</f>
        <v/>
      </c>
      <c r="F24" s="15" t="str">
        <f aca="false">IF(F$6="","",IF(N(F12)=0,0,(F8+F22)/(2*F12)*F13))</f>
        <v/>
      </c>
    </row>
    <row r="25" customFormat="false" ht="15" hidden="false" customHeight="false" outlineLevel="0" collapsed="false">
      <c r="A25" s="10" t="s">
        <v>78</v>
      </c>
      <c r="B25" s="15" t="n">
        <f aca="false">IF(B$6="","",IF(N(B12)=0,0,(B8+B22)/(2*B12)*B14))</f>
        <v>0.54625</v>
      </c>
      <c r="C25" s="15" t="n">
        <f aca="false">IF(C$6="","",IF(N(C12)=0,0,(C8+C22)/(2*C12)*C14))</f>
        <v>0.23925</v>
      </c>
      <c r="D25" s="15" t="str">
        <f aca="false">IF(D$6="","",IF(N(D12)=0,0,(D8+D22)/(2*D12)*D14))</f>
        <v/>
      </c>
      <c r="E25" s="15" t="str">
        <f aca="false">IF(E$6="","",IF(N(E12)=0,0,(E8+E22)/(2*E12)*E14))</f>
        <v/>
      </c>
      <c r="F25" s="15" t="str">
        <f aca="false">IF(F$6="","",IF(N(F12)=0,0,(F8+F22)/(2*F12)*F14))</f>
        <v/>
      </c>
    </row>
    <row r="26" customFormat="false" ht="15" hidden="false" customHeight="false" outlineLevel="0" collapsed="false">
      <c r="A26" s="10" t="s">
        <v>79</v>
      </c>
      <c r="B26" s="15" t="n">
        <f aca="false">IF(B$6="","",B15*B23)</f>
        <v>4.30666666666667</v>
      </c>
      <c r="C26" s="15" t="n">
        <f aca="false">IF(C$6="","",C15*C23)</f>
        <v>3.915</v>
      </c>
      <c r="D26" s="15" t="str">
        <f aca="false">IF(D$6="","",D15*D23)</f>
        <v/>
      </c>
      <c r="E26" s="15" t="str">
        <f aca="false">IF(E$6="","",E15*E23)</f>
        <v/>
      </c>
      <c r="F26" s="15" t="str">
        <f aca="false">IF(F$6="","",F15*F23)</f>
        <v/>
      </c>
    </row>
    <row r="27" customFormat="false" ht="15" hidden="false" customHeight="false" outlineLevel="0" collapsed="false">
      <c r="A27" s="10" t="s">
        <v>80</v>
      </c>
      <c r="B27" s="15" t="n">
        <f aca="false">IF(B$6="","",B16*B17*(1+B18))</f>
        <v>23.2875</v>
      </c>
      <c r="C27" s="15" t="n">
        <f aca="false">IF(C$6="","",C16*C17*(1+C18))</f>
        <v>16.2</v>
      </c>
      <c r="D27" s="15" t="str">
        <f aca="false">IF(D$6="","",D16*D17*(1+D18))</f>
        <v/>
      </c>
      <c r="E27" s="15" t="str">
        <f aca="false">IF(E$6="","",E16*E17*(1+E18))</f>
        <v/>
      </c>
      <c r="F27" s="15" t="str">
        <f aca="false">IF(F$6="","",F16*F17*(1+F18))</f>
        <v/>
      </c>
    </row>
    <row r="28" customFormat="false" ht="15" hidden="false" customHeight="false" outlineLevel="0" collapsed="false">
      <c r="A28" s="10" t="s">
        <v>81</v>
      </c>
      <c r="B28" s="15" t="n">
        <f aca="false">IF(B$6="","",IF(N(B19)=0,0,B9/B19)+IF(N(B21)=0,0,B20/B21))</f>
        <v>0</v>
      </c>
      <c r="C28" s="15" t="n">
        <f aca="false">IF(C$6="","",IF(N(C19)=0,0,C9/C19)+IF(N(C21)=0,0,C20/C21))</f>
        <v>0</v>
      </c>
      <c r="D28" s="15" t="str">
        <f aca="false">IF(D$6="","",IF(N(D19)=0,0,D9/D19)+IF(N(D21)=0,0,D20/D21))</f>
        <v/>
      </c>
      <c r="E28" s="15" t="str">
        <f aca="false">IF(E$6="","",IF(N(E19)=0,0,E9/E19)+IF(N(E21)=0,0,E20/E21))</f>
        <v/>
      </c>
      <c r="F28" s="15" t="str">
        <f aca="false">IF(F$6="","",IF(N(F19)=0,0,F9/F19)+IF(N(F21)=0,0,F20/F21))</f>
        <v/>
      </c>
    </row>
    <row r="29" customFormat="false" ht="15" hidden="false" customHeight="false" outlineLevel="0" collapsed="false">
      <c r="A29" s="25" t="s">
        <v>82</v>
      </c>
      <c r="B29" s="26" t="n">
        <f aca="false">IF(B$6="","",SUM(B23:B28))</f>
        <v>36.0729166666667</v>
      </c>
      <c r="C29" s="26" t="n">
        <f aca="false">IF(C$6="","",SUM(C23:C28))</f>
        <v>25.82075</v>
      </c>
      <c r="D29" s="26" t="str">
        <f aca="false">IF(D$6="","",SUM(D23:D28))</f>
        <v/>
      </c>
      <c r="E29" s="26" t="str">
        <f aca="false">IF(E$6="","",SUM(E23:E28))</f>
        <v/>
      </c>
      <c r="F29" s="26" t="str">
        <f aca="false">IF(F$6="","",SUM(F23:F28))</f>
        <v/>
      </c>
    </row>
    <row r="31" customFormat="false" ht="15" hidden="false" customHeight="false" outlineLevel="0" collapsed="false">
      <c r="A31" s="27" t="s">
        <v>83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4" min="13" style="0" width="13"/>
    <col collapsed="false" customWidth="true" hidden="false" outlineLevel="0" max="15" min="15" style="0" width="18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false" outlineLevel="0" collapsed="false">
      <c r="A2" s="8" t="s">
        <v>84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15</v>
      </c>
      <c r="B6" s="11" t="s">
        <v>16</v>
      </c>
      <c r="C6" s="11" t="s">
        <v>85</v>
      </c>
      <c r="D6" s="11" t="s">
        <v>86</v>
      </c>
      <c r="E6" s="11" t="s">
        <v>87</v>
      </c>
      <c r="F6" s="11" t="s">
        <v>23</v>
      </c>
      <c r="G6" s="11" t="s">
        <v>88</v>
      </c>
      <c r="H6" s="11" t="s">
        <v>43</v>
      </c>
      <c r="I6" s="11" t="s">
        <v>89</v>
      </c>
      <c r="J6" s="11" t="s">
        <v>90</v>
      </c>
      <c r="K6" s="11" t="s">
        <v>91</v>
      </c>
      <c r="L6" s="11" t="s">
        <v>92</v>
      </c>
      <c r="M6" s="11" t="s">
        <v>93</v>
      </c>
      <c r="N6" s="11" t="s">
        <v>94</v>
      </c>
      <c r="O6" s="11" t="s">
        <v>95</v>
      </c>
    </row>
    <row r="7" customFormat="false" ht="15" hidden="false" customHeight="false" outlineLevel="0" collapsed="false">
      <c r="A7" s="12" t="s">
        <v>36</v>
      </c>
      <c r="B7" s="18" t="n">
        <f aca="false">IF(A7="","",INDEX(Inventario!$B$7:$B$46,MATCH(A7,Inventario!$A$7:$A$46,0)))</f>
        <v>0</v>
      </c>
      <c r="C7" s="18" t="str">
        <f aca="false">IF(A7="","",INDEX(Inventario!$G$7:$G$46,MATCH(A7,Inventario!$A$7:$A$46,0)))</f>
        <v>Arrendador</v>
      </c>
      <c r="D7" s="16" t="n">
        <v>46314</v>
      </c>
      <c r="E7" s="16" t="n">
        <v>46327</v>
      </c>
      <c r="F7" s="18" t="str">
        <f aca="false">IF(A7="","",INDEX(Inventario!$I$7:$I$46,MATCH(A7,Inventario!$A$7:$A$46,0)))</f>
        <v>hora</v>
      </c>
      <c r="G7" s="28" t="n">
        <f aca="false">IF(A7="",0,SUMPRODUCT(('Uso diario'!$B$7:$B$1006=A7)*('Uso diario'!$A$7:$A$1006&gt;=D7)*('Uso diario'!$A$7:$A$1006&lt;=E7)*('Uso diario'!$G$7:$G$1006&gt;0)))</f>
        <v>2</v>
      </c>
      <c r="H7" s="20" t="n">
        <f aca="false">IF(A7="",0,SUMIFS('Uso diario'!$G$7:$G$1006,'Uso diario'!$B$7:$B$1006,A7,'Uso diario'!$A$7:$A$1006,"&gt;="&amp;D7,'Uso diario'!$A$7:$A$1006,"&lt;="&amp;E7))</f>
        <v>14</v>
      </c>
      <c r="I7" s="20" t="n">
        <f aca="false">IF(A7="","",G7*INDEX(Inventario!$J$7:$J$46,MATCH(A7,Inventario!$A$7:$A$46,0)))</f>
        <v>16</v>
      </c>
      <c r="J7" s="20" t="n">
        <f aca="false">IF(A7="","",IF(F7="hora",MAX(H7,I7),MAX(G7,I7)))</f>
        <v>16</v>
      </c>
      <c r="K7" s="15" t="n">
        <f aca="false">IF(A7="","",INDEX(Inventario!$H$7:$H$46,MATCH(A7,Inventario!$A$7:$A$46,0)))</f>
        <v>0</v>
      </c>
      <c r="L7" s="13" t="n">
        <v>0</v>
      </c>
      <c r="M7" s="15" t="n">
        <f aca="false">IF(A7="","",J7*K7+N(L7))</f>
        <v>0</v>
      </c>
      <c r="N7" s="13"/>
      <c r="O7" s="18" t="str">
        <f aca="false">IF(OR(A7="",N7=""),"",IF(ABS(N7-M7)&lt;1,"Cuadra",IF(N7&gt;M7,"Cobro de más: $"&amp;TEXT(N7-M7,"#,##0.00"),"Cobro de menos: $"&amp;TEXT(M7-N7,"#,##0.00"))))</f>
        <v/>
      </c>
    </row>
    <row r="8" customFormat="false" ht="15" hidden="false" customHeight="false" outlineLevel="0" collapsed="false">
      <c r="A8" s="12"/>
      <c r="B8" s="18" t="str">
        <f aca="false">IF(A8="","",INDEX(Inventario!$B$7:$B$46,MATCH(A8,Inventario!$A$7:$A$46,0)))</f>
        <v/>
      </c>
      <c r="C8" s="18" t="str">
        <f aca="false">IF(A8="","",INDEX(Inventario!$G$7:$G$46,MATCH(A8,Inventario!$A$7:$A$46,0)))</f>
        <v/>
      </c>
      <c r="D8" s="16"/>
      <c r="E8" s="16"/>
      <c r="F8" s="18" t="str">
        <f aca="false">IF(A8="","",INDEX(Inventario!$I$7:$I$46,MATCH(A8,Inventario!$A$7:$A$46,0)))</f>
        <v/>
      </c>
      <c r="G8" s="28" t="n">
        <f aca="false">IF(A8="",0,SUMPRODUCT(('Uso diario'!$B$7:$B$1006=A8)*('Uso diario'!$A$7:$A$1006&gt;=D8)*('Uso diario'!$A$7:$A$1006&lt;=E8)*('Uso diario'!$G$7:$G$1006&gt;0)))</f>
        <v>0</v>
      </c>
      <c r="H8" s="20" t="n">
        <f aca="false">IF(A8="",0,SUMIFS('Uso diario'!$G$7:$G$1006,'Uso diario'!$B$7:$B$1006,A8,'Uso diario'!$A$7:$A$1006,"&gt;="&amp;D8,'Uso diario'!$A$7:$A$1006,"&lt;="&amp;E8))</f>
        <v>0</v>
      </c>
      <c r="I8" s="20" t="str">
        <f aca="false">IF(A8="","",G8*INDEX(Inventario!$J$7:$J$46,MATCH(A8,Inventario!$A$7:$A$46,0)))</f>
        <v/>
      </c>
      <c r="J8" s="20" t="str">
        <f aca="false">IF(A8="","",IF(F8="hora",MAX(H8,I8),MAX(G8,I8)))</f>
        <v/>
      </c>
      <c r="K8" s="15" t="str">
        <f aca="false">IF(A8="","",INDEX(Inventario!$H$7:$H$46,MATCH(A8,Inventario!$A$7:$A$46,0)))</f>
        <v/>
      </c>
      <c r="L8" s="13"/>
      <c r="M8" s="15" t="str">
        <f aca="false">IF(A8="","",J8*K8+N(L8))</f>
        <v/>
      </c>
      <c r="N8" s="13"/>
      <c r="O8" s="18" t="str">
        <f aca="false">IF(OR(A8="",N8=""),"",IF(ABS(N8-M8)&lt;1,"Cuadra",IF(N8&gt;M8,"Cobro de más: $"&amp;TEXT(N8-M8,"#,##0.00"),"Cobro de menos: $"&amp;TEXT(M8-N8,"#,##0.00"))))</f>
        <v/>
      </c>
    </row>
    <row r="9" customFormat="false" ht="15" hidden="false" customHeight="false" outlineLevel="0" collapsed="false">
      <c r="A9" s="12"/>
      <c r="B9" s="18" t="str">
        <f aca="false">IF(A9="","",INDEX(Inventario!$B$7:$B$46,MATCH(A9,Inventario!$A$7:$A$46,0)))</f>
        <v/>
      </c>
      <c r="C9" s="18" t="str">
        <f aca="false">IF(A9="","",INDEX(Inventario!$G$7:$G$46,MATCH(A9,Inventario!$A$7:$A$46,0)))</f>
        <v/>
      </c>
      <c r="D9" s="16"/>
      <c r="E9" s="16"/>
      <c r="F9" s="18" t="str">
        <f aca="false">IF(A9="","",INDEX(Inventario!$I$7:$I$46,MATCH(A9,Inventario!$A$7:$A$46,0)))</f>
        <v/>
      </c>
      <c r="G9" s="28" t="n">
        <f aca="false">IF(A9="",0,SUMPRODUCT(('Uso diario'!$B$7:$B$1006=A9)*('Uso diario'!$A$7:$A$1006&gt;=D9)*('Uso diario'!$A$7:$A$1006&lt;=E9)*('Uso diario'!$G$7:$G$1006&gt;0)))</f>
        <v>0</v>
      </c>
      <c r="H9" s="20" t="n">
        <f aca="false">IF(A9="",0,SUMIFS('Uso diario'!$G$7:$G$1006,'Uso diario'!$B$7:$B$1006,A9,'Uso diario'!$A$7:$A$1006,"&gt;="&amp;D9,'Uso diario'!$A$7:$A$1006,"&lt;="&amp;E9))</f>
        <v>0</v>
      </c>
      <c r="I9" s="20" t="str">
        <f aca="false">IF(A9="","",G9*INDEX(Inventario!$J$7:$J$46,MATCH(A9,Inventario!$A$7:$A$46,0)))</f>
        <v/>
      </c>
      <c r="J9" s="20" t="str">
        <f aca="false">IF(A9="","",IF(F9="hora",MAX(H9,I9),MAX(G9,I9)))</f>
        <v/>
      </c>
      <c r="K9" s="15" t="str">
        <f aca="false">IF(A9="","",INDEX(Inventario!$H$7:$H$46,MATCH(A9,Inventario!$A$7:$A$46,0)))</f>
        <v/>
      </c>
      <c r="L9" s="13"/>
      <c r="M9" s="15" t="str">
        <f aca="false">IF(A9="","",J9*K9+N(L9))</f>
        <v/>
      </c>
      <c r="N9" s="13"/>
      <c r="O9" s="18" t="str">
        <f aca="false">IF(OR(A9="",N9=""),"",IF(ABS(N9-M9)&lt;1,"Cuadra",IF(N9&gt;M9,"Cobro de más: $"&amp;TEXT(N9-M9,"#,##0.00"),"Cobro de menos: $"&amp;TEXT(M9-N9,"#,##0.00"))))</f>
        <v/>
      </c>
    </row>
    <row r="10" customFormat="false" ht="15" hidden="false" customHeight="false" outlineLevel="0" collapsed="false">
      <c r="A10" s="12"/>
      <c r="B10" s="18" t="str">
        <f aca="false">IF(A10="","",INDEX(Inventario!$B$7:$B$46,MATCH(A10,Inventario!$A$7:$A$46,0)))</f>
        <v/>
      </c>
      <c r="C10" s="18" t="str">
        <f aca="false">IF(A10="","",INDEX(Inventario!$G$7:$G$46,MATCH(A10,Inventario!$A$7:$A$46,0)))</f>
        <v/>
      </c>
      <c r="D10" s="16"/>
      <c r="E10" s="16"/>
      <c r="F10" s="18" t="str">
        <f aca="false">IF(A10="","",INDEX(Inventario!$I$7:$I$46,MATCH(A10,Inventario!$A$7:$A$46,0)))</f>
        <v/>
      </c>
      <c r="G10" s="28" t="n">
        <f aca="false">IF(A10="",0,SUMPRODUCT(('Uso diario'!$B$7:$B$1006=A10)*('Uso diario'!$A$7:$A$1006&gt;=D10)*('Uso diario'!$A$7:$A$1006&lt;=E10)*('Uso diario'!$G$7:$G$1006&gt;0)))</f>
        <v>0</v>
      </c>
      <c r="H10" s="20" t="n">
        <f aca="false">IF(A10="",0,SUMIFS('Uso diario'!$G$7:$G$1006,'Uso diario'!$B$7:$B$1006,A10,'Uso diario'!$A$7:$A$1006,"&gt;="&amp;D10,'Uso diario'!$A$7:$A$1006,"&lt;="&amp;E10))</f>
        <v>0</v>
      </c>
      <c r="I10" s="20" t="str">
        <f aca="false">IF(A10="","",G10*INDEX(Inventario!$J$7:$J$46,MATCH(A10,Inventario!$A$7:$A$46,0)))</f>
        <v/>
      </c>
      <c r="J10" s="20" t="str">
        <f aca="false">IF(A10="","",IF(F10="hora",MAX(H10,I10),MAX(G10,I10)))</f>
        <v/>
      </c>
      <c r="K10" s="15" t="str">
        <f aca="false">IF(A10="","",INDEX(Inventario!$H$7:$H$46,MATCH(A10,Inventario!$A$7:$A$46,0)))</f>
        <v/>
      </c>
      <c r="L10" s="13"/>
      <c r="M10" s="15" t="str">
        <f aca="false">IF(A10="","",J10*K10+N(L10))</f>
        <v/>
      </c>
      <c r="N10" s="13"/>
      <c r="O10" s="18" t="str">
        <f aca="false">IF(OR(A10="",N10=""),"",IF(ABS(N10-M10)&lt;1,"Cuadra",IF(N10&gt;M10,"Cobro de más: $"&amp;TEXT(N10-M10,"#,##0.00"),"Cobro de menos: $"&amp;TEXT(M10-N10,"#,##0.00"))))</f>
        <v/>
      </c>
    </row>
    <row r="11" customFormat="false" ht="15" hidden="false" customHeight="false" outlineLevel="0" collapsed="false">
      <c r="A11" s="12"/>
      <c r="B11" s="18" t="str">
        <f aca="false">IF(A11="","",INDEX(Inventario!$B$7:$B$46,MATCH(A11,Inventario!$A$7:$A$46,0)))</f>
        <v/>
      </c>
      <c r="C11" s="18" t="str">
        <f aca="false">IF(A11="","",INDEX(Inventario!$G$7:$G$46,MATCH(A11,Inventario!$A$7:$A$46,0)))</f>
        <v/>
      </c>
      <c r="D11" s="16"/>
      <c r="E11" s="16"/>
      <c r="F11" s="18" t="str">
        <f aca="false">IF(A11="","",INDEX(Inventario!$I$7:$I$46,MATCH(A11,Inventario!$A$7:$A$46,0)))</f>
        <v/>
      </c>
      <c r="G11" s="28" t="n">
        <f aca="false">IF(A11="",0,SUMPRODUCT(('Uso diario'!$B$7:$B$1006=A11)*('Uso diario'!$A$7:$A$1006&gt;=D11)*('Uso diario'!$A$7:$A$1006&lt;=E11)*('Uso diario'!$G$7:$G$1006&gt;0)))</f>
        <v>0</v>
      </c>
      <c r="H11" s="20" t="n">
        <f aca="false">IF(A11="",0,SUMIFS('Uso diario'!$G$7:$G$1006,'Uso diario'!$B$7:$B$1006,A11,'Uso diario'!$A$7:$A$1006,"&gt;="&amp;D11,'Uso diario'!$A$7:$A$1006,"&lt;="&amp;E11))</f>
        <v>0</v>
      </c>
      <c r="I11" s="20" t="str">
        <f aca="false">IF(A11="","",G11*INDEX(Inventario!$J$7:$J$46,MATCH(A11,Inventario!$A$7:$A$46,0)))</f>
        <v/>
      </c>
      <c r="J11" s="20" t="str">
        <f aca="false">IF(A11="","",IF(F11="hora",MAX(H11,I11),MAX(G11,I11)))</f>
        <v/>
      </c>
      <c r="K11" s="15" t="str">
        <f aca="false">IF(A11="","",INDEX(Inventario!$H$7:$H$46,MATCH(A11,Inventario!$A$7:$A$46,0)))</f>
        <v/>
      </c>
      <c r="L11" s="13"/>
      <c r="M11" s="15" t="str">
        <f aca="false">IF(A11="","",J11*K11+N(L11))</f>
        <v/>
      </c>
      <c r="N11" s="13"/>
      <c r="O11" s="18" t="str">
        <f aca="false">IF(OR(A11="",N11=""),"",IF(ABS(N11-M11)&lt;1,"Cuadra",IF(N11&gt;M11,"Cobro de más: $"&amp;TEXT(N11-M11,"#,##0.00"),"Cobro de menos: $"&amp;TEXT(M11-N11,"#,##0.00"))))</f>
        <v/>
      </c>
    </row>
    <row r="12" customFormat="false" ht="15" hidden="false" customHeight="false" outlineLevel="0" collapsed="false">
      <c r="A12" s="12"/>
      <c r="B12" s="18" t="str">
        <f aca="false">IF(A12="","",INDEX(Inventario!$B$7:$B$46,MATCH(A12,Inventario!$A$7:$A$46,0)))</f>
        <v/>
      </c>
      <c r="C12" s="18" t="str">
        <f aca="false">IF(A12="","",INDEX(Inventario!$G$7:$G$46,MATCH(A12,Inventario!$A$7:$A$46,0)))</f>
        <v/>
      </c>
      <c r="D12" s="16"/>
      <c r="E12" s="16"/>
      <c r="F12" s="18" t="str">
        <f aca="false">IF(A12="","",INDEX(Inventario!$I$7:$I$46,MATCH(A12,Inventario!$A$7:$A$46,0)))</f>
        <v/>
      </c>
      <c r="G12" s="28" t="n">
        <f aca="false">IF(A12="",0,SUMPRODUCT(('Uso diario'!$B$7:$B$1006=A12)*('Uso diario'!$A$7:$A$1006&gt;=D12)*('Uso diario'!$A$7:$A$1006&lt;=E12)*('Uso diario'!$G$7:$G$1006&gt;0)))</f>
        <v>0</v>
      </c>
      <c r="H12" s="20" t="n">
        <f aca="false">IF(A12="",0,SUMIFS('Uso diario'!$G$7:$G$1006,'Uso diario'!$B$7:$B$1006,A12,'Uso diario'!$A$7:$A$1006,"&gt;="&amp;D12,'Uso diario'!$A$7:$A$1006,"&lt;="&amp;E12))</f>
        <v>0</v>
      </c>
      <c r="I12" s="20" t="str">
        <f aca="false">IF(A12="","",G12*INDEX(Inventario!$J$7:$J$46,MATCH(A12,Inventario!$A$7:$A$46,0)))</f>
        <v/>
      </c>
      <c r="J12" s="20" t="str">
        <f aca="false">IF(A12="","",IF(F12="hora",MAX(H12,I12),MAX(G12,I12)))</f>
        <v/>
      </c>
      <c r="K12" s="15" t="str">
        <f aca="false">IF(A12="","",INDEX(Inventario!$H$7:$H$46,MATCH(A12,Inventario!$A$7:$A$46,0)))</f>
        <v/>
      </c>
      <c r="L12" s="13"/>
      <c r="M12" s="15" t="str">
        <f aca="false">IF(A12="","",J12*K12+N(L12))</f>
        <v/>
      </c>
      <c r="N12" s="13"/>
      <c r="O12" s="18" t="str">
        <f aca="false">IF(OR(A12="",N12=""),"",IF(ABS(N12-M12)&lt;1,"Cuadra",IF(N12&gt;M12,"Cobro de más: $"&amp;TEXT(N12-M12,"#,##0.00"),"Cobro de menos: $"&amp;TEXT(M12-N12,"#,##0.00"))))</f>
        <v/>
      </c>
    </row>
    <row r="13" customFormat="false" ht="15" hidden="false" customHeight="false" outlineLevel="0" collapsed="false">
      <c r="A13" s="12"/>
      <c r="B13" s="18" t="str">
        <f aca="false">IF(A13="","",INDEX(Inventario!$B$7:$B$46,MATCH(A13,Inventario!$A$7:$A$46,0)))</f>
        <v/>
      </c>
      <c r="C13" s="18" t="str">
        <f aca="false">IF(A13="","",INDEX(Inventario!$G$7:$G$46,MATCH(A13,Inventario!$A$7:$A$46,0)))</f>
        <v/>
      </c>
      <c r="D13" s="16"/>
      <c r="E13" s="16"/>
      <c r="F13" s="18" t="str">
        <f aca="false">IF(A13="","",INDEX(Inventario!$I$7:$I$46,MATCH(A13,Inventario!$A$7:$A$46,0)))</f>
        <v/>
      </c>
      <c r="G13" s="28" t="n">
        <f aca="false">IF(A13="",0,SUMPRODUCT(('Uso diario'!$B$7:$B$1006=A13)*('Uso diario'!$A$7:$A$1006&gt;=D13)*('Uso diario'!$A$7:$A$1006&lt;=E13)*('Uso diario'!$G$7:$G$1006&gt;0)))</f>
        <v>0</v>
      </c>
      <c r="H13" s="20" t="n">
        <f aca="false">IF(A13="",0,SUMIFS('Uso diario'!$G$7:$G$1006,'Uso diario'!$B$7:$B$1006,A13,'Uso diario'!$A$7:$A$1006,"&gt;="&amp;D13,'Uso diario'!$A$7:$A$1006,"&lt;="&amp;E13))</f>
        <v>0</v>
      </c>
      <c r="I13" s="20" t="str">
        <f aca="false">IF(A13="","",G13*INDEX(Inventario!$J$7:$J$46,MATCH(A13,Inventario!$A$7:$A$46,0)))</f>
        <v/>
      </c>
      <c r="J13" s="20" t="str">
        <f aca="false">IF(A13="","",IF(F13="hora",MAX(H13,I13),MAX(G13,I13)))</f>
        <v/>
      </c>
      <c r="K13" s="15" t="str">
        <f aca="false">IF(A13="","",INDEX(Inventario!$H$7:$H$46,MATCH(A13,Inventario!$A$7:$A$46,0)))</f>
        <v/>
      </c>
      <c r="L13" s="13"/>
      <c r="M13" s="15" t="str">
        <f aca="false">IF(A13="","",J13*K13+N(L13))</f>
        <v/>
      </c>
      <c r="N13" s="13"/>
      <c r="O13" s="18" t="str">
        <f aca="false">IF(OR(A13="",N13=""),"",IF(ABS(N13-M13)&lt;1,"Cuadra",IF(N13&gt;M13,"Cobro de más: $"&amp;TEXT(N13-M13,"#,##0.00"),"Cobro de menos: $"&amp;TEXT(M13-N13,"#,##0.00"))))</f>
        <v/>
      </c>
    </row>
    <row r="14" customFormat="false" ht="15" hidden="false" customHeight="false" outlineLevel="0" collapsed="false">
      <c r="A14" s="12"/>
      <c r="B14" s="18" t="str">
        <f aca="false">IF(A14="","",INDEX(Inventario!$B$7:$B$46,MATCH(A14,Inventario!$A$7:$A$46,0)))</f>
        <v/>
      </c>
      <c r="C14" s="18" t="str">
        <f aca="false">IF(A14="","",INDEX(Inventario!$G$7:$G$46,MATCH(A14,Inventario!$A$7:$A$46,0)))</f>
        <v/>
      </c>
      <c r="D14" s="16"/>
      <c r="E14" s="16"/>
      <c r="F14" s="18" t="str">
        <f aca="false">IF(A14="","",INDEX(Inventario!$I$7:$I$46,MATCH(A14,Inventario!$A$7:$A$46,0)))</f>
        <v/>
      </c>
      <c r="G14" s="28" t="n">
        <f aca="false">IF(A14="",0,SUMPRODUCT(('Uso diario'!$B$7:$B$1006=A14)*('Uso diario'!$A$7:$A$1006&gt;=D14)*('Uso diario'!$A$7:$A$1006&lt;=E14)*('Uso diario'!$G$7:$G$1006&gt;0)))</f>
        <v>0</v>
      </c>
      <c r="H14" s="20" t="n">
        <f aca="false">IF(A14="",0,SUMIFS('Uso diario'!$G$7:$G$1006,'Uso diario'!$B$7:$B$1006,A14,'Uso diario'!$A$7:$A$1006,"&gt;="&amp;D14,'Uso diario'!$A$7:$A$1006,"&lt;="&amp;E14))</f>
        <v>0</v>
      </c>
      <c r="I14" s="20" t="str">
        <f aca="false">IF(A14="","",G14*INDEX(Inventario!$J$7:$J$46,MATCH(A14,Inventario!$A$7:$A$46,0)))</f>
        <v/>
      </c>
      <c r="J14" s="20" t="str">
        <f aca="false">IF(A14="","",IF(F14="hora",MAX(H14,I14),MAX(G14,I14)))</f>
        <v/>
      </c>
      <c r="K14" s="15" t="str">
        <f aca="false">IF(A14="","",INDEX(Inventario!$H$7:$H$46,MATCH(A14,Inventario!$A$7:$A$46,0)))</f>
        <v/>
      </c>
      <c r="L14" s="13"/>
      <c r="M14" s="15" t="str">
        <f aca="false">IF(A14="","",J14*K14+N(L14))</f>
        <v/>
      </c>
      <c r="N14" s="13"/>
      <c r="O14" s="18" t="str">
        <f aca="false">IF(OR(A14="",N14=""),"",IF(ABS(N14-M14)&lt;1,"Cuadra",IF(N14&gt;M14,"Cobro de más: $"&amp;TEXT(N14-M14,"#,##0.00"),"Cobro de menos: $"&amp;TEXT(M14-N14,"#,##0.00"))))</f>
        <v/>
      </c>
    </row>
    <row r="15" customFormat="false" ht="15" hidden="false" customHeight="false" outlineLevel="0" collapsed="false">
      <c r="A15" s="12"/>
      <c r="B15" s="18" t="str">
        <f aca="false">IF(A15="","",INDEX(Inventario!$B$7:$B$46,MATCH(A15,Inventario!$A$7:$A$46,0)))</f>
        <v/>
      </c>
      <c r="C15" s="18" t="str">
        <f aca="false">IF(A15="","",INDEX(Inventario!$G$7:$G$46,MATCH(A15,Inventario!$A$7:$A$46,0)))</f>
        <v/>
      </c>
      <c r="D15" s="16"/>
      <c r="E15" s="16"/>
      <c r="F15" s="18" t="str">
        <f aca="false">IF(A15="","",INDEX(Inventario!$I$7:$I$46,MATCH(A15,Inventario!$A$7:$A$46,0)))</f>
        <v/>
      </c>
      <c r="G15" s="28" t="n">
        <f aca="false">IF(A15="",0,SUMPRODUCT(('Uso diario'!$B$7:$B$1006=A15)*('Uso diario'!$A$7:$A$1006&gt;=D15)*('Uso diario'!$A$7:$A$1006&lt;=E15)*('Uso diario'!$G$7:$G$1006&gt;0)))</f>
        <v>0</v>
      </c>
      <c r="H15" s="20" t="n">
        <f aca="false">IF(A15="",0,SUMIFS('Uso diario'!$G$7:$G$1006,'Uso diario'!$B$7:$B$1006,A15,'Uso diario'!$A$7:$A$1006,"&gt;="&amp;D15,'Uso diario'!$A$7:$A$1006,"&lt;="&amp;E15))</f>
        <v>0</v>
      </c>
      <c r="I15" s="20" t="str">
        <f aca="false">IF(A15="","",G15*INDEX(Inventario!$J$7:$J$46,MATCH(A15,Inventario!$A$7:$A$46,0)))</f>
        <v/>
      </c>
      <c r="J15" s="20" t="str">
        <f aca="false">IF(A15="","",IF(F15="hora",MAX(H15,I15),MAX(G15,I15)))</f>
        <v/>
      </c>
      <c r="K15" s="15" t="str">
        <f aca="false">IF(A15="","",INDEX(Inventario!$H$7:$H$46,MATCH(A15,Inventario!$A$7:$A$46,0)))</f>
        <v/>
      </c>
      <c r="L15" s="13"/>
      <c r="M15" s="15" t="str">
        <f aca="false">IF(A15="","",J15*K15+N(L15))</f>
        <v/>
      </c>
      <c r="N15" s="13"/>
      <c r="O15" s="18" t="str">
        <f aca="false">IF(OR(A15="",N15=""),"",IF(ABS(N15-M15)&lt;1,"Cuadra",IF(N15&gt;M15,"Cobro de más: $"&amp;TEXT(N15-M15,"#,##0.00"),"Cobro de menos: $"&amp;TEXT(M15-N15,"#,##0.00"))))</f>
        <v/>
      </c>
    </row>
    <row r="16" customFormat="false" ht="15" hidden="false" customHeight="false" outlineLevel="0" collapsed="false">
      <c r="A16" s="12"/>
      <c r="B16" s="18" t="str">
        <f aca="false">IF(A16="","",INDEX(Inventario!$B$7:$B$46,MATCH(A16,Inventario!$A$7:$A$46,0)))</f>
        <v/>
      </c>
      <c r="C16" s="18" t="str">
        <f aca="false">IF(A16="","",INDEX(Inventario!$G$7:$G$46,MATCH(A16,Inventario!$A$7:$A$46,0)))</f>
        <v/>
      </c>
      <c r="D16" s="16"/>
      <c r="E16" s="16"/>
      <c r="F16" s="18" t="str">
        <f aca="false">IF(A16="","",INDEX(Inventario!$I$7:$I$46,MATCH(A16,Inventario!$A$7:$A$46,0)))</f>
        <v/>
      </c>
      <c r="G16" s="28" t="n">
        <f aca="false">IF(A16="",0,SUMPRODUCT(('Uso diario'!$B$7:$B$1006=A16)*('Uso diario'!$A$7:$A$1006&gt;=D16)*('Uso diario'!$A$7:$A$1006&lt;=E16)*('Uso diario'!$G$7:$G$1006&gt;0)))</f>
        <v>0</v>
      </c>
      <c r="H16" s="20" t="n">
        <f aca="false">IF(A16="",0,SUMIFS('Uso diario'!$G$7:$G$1006,'Uso diario'!$B$7:$B$1006,A16,'Uso diario'!$A$7:$A$1006,"&gt;="&amp;D16,'Uso diario'!$A$7:$A$1006,"&lt;="&amp;E16))</f>
        <v>0</v>
      </c>
      <c r="I16" s="20" t="str">
        <f aca="false">IF(A16="","",G16*INDEX(Inventario!$J$7:$J$46,MATCH(A16,Inventario!$A$7:$A$46,0)))</f>
        <v/>
      </c>
      <c r="J16" s="20" t="str">
        <f aca="false">IF(A16="","",IF(F16="hora",MAX(H16,I16),MAX(G16,I16)))</f>
        <v/>
      </c>
      <c r="K16" s="15" t="str">
        <f aca="false">IF(A16="","",INDEX(Inventario!$H$7:$H$46,MATCH(A16,Inventario!$A$7:$A$46,0)))</f>
        <v/>
      </c>
      <c r="L16" s="13"/>
      <c r="M16" s="15" t="str">
        <f aca="false">IF(A16="","",J16*K16+N(L16))</f>
        <v/>
      </c>
      <c r="N16" s="13"/>
      <c r="O16" s="18" t="str">
        <f aca="false">IF(OR(A16="",N16=""),"",IF(ABS(N16-M16)&lt;1,"Cuadra",IF(N16&gt;M16,"Cobro de más: $"&amp;TEXT(N16-M16,"#,##0.00"),"Cobro de menos: $"&amp;TEXT(M16-N16,"#,##0.00"))))</f>
        <v/>
      </c>
    </row>
    <row r="17" customFormat="false" ht="15" hidden="false" customHeight="false" outlineLevel="0" collapsed="false">
      <c r="A17" s="12"/>
      <c r="B17" s="18" t="str">
        <f aca="false">IF(A17="","",INDEX(Inventario!$B$7:$B$46,MATCH(A17,Inventario!$A$7:$A$46,0)))</f>
        <v/>
      </c>
      <c r="C17" s="18" t="str">
        <f aca="false">IF(A17="","",INDEX(Inventario!$G$7:$G$46,MATCH(A17,Inventario!$A$7:$A$46,0)))</f>
        <v/>
      </c>
      <c r="D17" s="16"/>
      <c r="E17" s="16"/>
      <c r="F17" s="18" t="str">
        <f aca="false">IF(A17="","",INDEX(Inventario!$I$7:$I$46,MATCH(A17,Inventario!$A$7:$A$46,0)))</f>
        <v/>
      </c>
      <c r="G17" s="28" t="n">
        <f aca="false">IF(A17="",0,SUMPRODUCT(('Uso diario'!$B$7:$B$1006=A17)*('Uso diario'!$A$7:$A$1006&gt;=D17)*('Uso diario'!$A$7:$A$1006&lt;=E17)*('Uso diario'!$G$7:$G$1006&gt;0)))</f>
        <v>0</v>
      </c>
      <c r="H17" s="20" t="n">
        <f aca="false">IF(A17="",0,SUMIFS('Uso diario'!$G$7:$G$1006,'Uso diario'!$B$7:$B$1006,A17,'Uso diario'!$A$7:$A$1006,"&gt;="&amp;D17,'Uso diario'!$A$7:$A$1006,"&lt;="&amp;E17))</f>
        <v>0</v>
      </c>
      <c r="I17" s="20" t="str">
        <f aca="false">IF(A17="","",G17*INDEX(Inventario!$J$7:$J$46,MATCH(A17,Inventario!$A$7:$A$46,0)))</f>
        <v/>
      </c>
      <c r="J17" s="20" t="str">
        <f aca="false">IF(A17="","",IF(F17="hora",MAX(H17,I17),MAX(G17,I17)))</f>
        <v/>
      </c>
      <c r="K17" s="15" t="str">
        <f aca="false">IF(A17="","",INDEX(Inventario!$H$7:$H$46,MATCH(A17,Inventario!$A$7:$A$46,0)))</f>
        <v/>
      </c>
      <c r="L17" s="13"/>
      <c r="M17" s="15" t="str">
        <f aca="false">IF(A17="","",J17*K17+N(L17))</f>
        <v/>
      </c>
      <c r="N17" s="13"/>
      <c r="O17" s="18" t="str">
        <f aca="false">IF(OR(A17="",N17=""),"",IF(ABS(N17-M17)&lt;1,"Cuadra",IF(N17&gt;M17,"Cobro de más: $"&amp;TEXT(N17-M17,"#,##0.00"),"Cobro de menos: $"&amp;TEXT(M17-N17,"#,##0.00"))))</f>
        <v/>
      </c>
    </row>
    <row r="18" customFormat="false" ht="15" hidden="false" customHeight="false" outlineLevel="0" collapsed="false">
      <c r="A18" s="12"/>
      <c r="B18" s="18" t="str">
        <f aca="false">IF(A18="","",INDEX(Inventario!$B$7:$B$46,MATCH(A18,Inventario!$A$7:$A$46,0)))</f>
        <v/>
      </c>
      <c r="C18" s="18" t="str">
        <f aca="false">IF(A18="","",INDEX(Inventario!$G$7:$G$46,MATCH(A18,Inventario!$A$7:$A$46,0)))</f>
        <v/>
      </c>
      <c r="D18" s="16"/>
      <c r="E18" s="16"/>
      <c r="F18" s="18" t="str">
        <f aca="false">IF(A18="","",INDEX(Inventario!$I$7:$I$46,MATCH(A18,Inventario!$A$7:$A$46,0)))</f>
        <v/>
      </c>
      <c r="G18" s="28" t="n">
        <f aca="false">IF(A18="",0,SUMPRODUCT(('Uso diario'!$B$7:$B$1006=A18)*('Uso diario'!$A$7:$A$1006&gt;=D18)*('Uso diario'!$A$7:$A$1006&lt;=E18)*('Uso diario'!$G$7:$G$1006&gt;0)))</f>
        <v>0</v>
      </c>
      <c r="H18" s="20" t="n">
        <f aca="false">IF(A18="",0,SUMIFS('Uso diario'!$G$7:$G$1006,'Uso diario'!$B$7:$B$1006,A18,'Uso diario'!$A$7:$A$1006,"&gt;="&amp;D18,'Uso diario'!$A$7:$A$1006,"&lt;="&amp;E18))</f>
        <v>0</v>
      </c>
      <c r="I18" s="20" t="str">
        <f aca="false">IF(A18="","",G18*INDEX(Inventario!$J$7:$J$46,MATCH(A18,Inventario!$A$7:$A$46,0)))</f>
        <v/>
      </c>
      <c r="J18" s="20" t="str">
        <f aca="false">IF(A18="","",IF(F18="hora",MAX(H18,I18),MAX(G18,I18)))</f>
        <v/>
      </c>
      <c r="K18" s="15" t="str">
        <f aca="false">IF(A18="","",INDEX(Inventario!$H$7:$H$46,MATCH(A18,Inventario!$A$7:$A$46,0)))</f>
        <v/>
      </c>
      <c r="L18" s="13"/>
      <c r="M18" s="15" t="str">
        <f aca="false">IF(A18="","",J18*K18+N(L18))</f>
        <v/>
      </c>
      <c r="N18" s="13"/>
      <c r="O18" s="18" t="str">
        <f aca="false">IF(OR(A18="",N18=""),"",IF(ABS(N18-M18)&lt;1,"Cuadra",IF(N18&gt;M18,"Cobro de más: $"&amp;TEXT(N18-M18,"#,##0.00"),"Cobro de menos: $"&amp;TEXT(M18-N18,"#,##0.00"))))</f>
        <v/>
      </c>
    </row>
    <row r="19" customFormat="false" ht="15" hidden="false" customHeight="false" outlineLevel="0" collapsed="false">
      <c r="A19" s="12"/>
      <c r="B19" s="18" t="str">
        <f aca="false">IF(A19="","",INDEX(Inventario!$B$7:$B$46,MATCH(A19,Inventario!$A$7:$A$46,0)))</f>
        <v/>
      </c>
      <c r="C19" s="18" t="str">
        <f aca="false">IF(A19="","",INDEX(Inventario!$G$7:$G$46,MATCH(A19,Inventario!$A$7:$A$46,0)))</f>
        <v/>
      </c>
      <c r="D19" s="16"/>
      <c r="E19" s="16"/>
      <c r="F19" s="18" t="str">
        <f aca="false">IF(A19="","",INDEX(Inventario!$I$7:$I$46,MATCH(A19,Inventario!$A$7:$A$46,0)))</f>
        <v/>
      </c>
      <c r="G19" s="28" t="n">
        <f aca="false">IF(A19="",0,SUMPRODUCT(('Uso diario'!$B$7:$B$1006=A19)*('Uso diario'!$A$7:$A$1006&gt;=D19)*('Uso diario'!$A$7:$A$1006&lt;=E19)*('Uso diario'!$G$7:$G$1006&gt;0)))</f>
        <v>0</v>
      </c>
      <c r="H19" s="20" t="n">
        <f aca="false">IF(A19="",0,SUMIFS('Uso diario'!$G$7:$G$1006,'Uso diario'!$B$7:$B$1006,A19,'Uso diario'!$A$7:$A$1006,"&gt;="&amp;D19,'Uso diario'!$A$7:$A$1006,"&lt;="&amp;E19))</f>
        <v>0</v>
      </c>
      <c r="I19" s="20" t="str">
        <f aca="false">IF(A19="","",G19*INDEX(Inventario!$J$7:$J$46,MATCH(A19,Inventario!$A$7:$A$46,0)))</f>
        <v/>
      </c>
      <c r="J19" s="20" t="str">
        <f aca="false">IF(A19="","",IF(F19="hora",MAX(H19,I19),MAX(G19,I19)))</f>
        <v/>
      </c>
      <c r="K19" s="15" t="str">
        <f aca="false">IF(A19="","",INDEX(Inventario!$H$7:$H$46,MATCH(A19,Inventario!$A$7:$A$46,0)))</f>
        <v/>
      </c>
      <c r="L19" s="13"/>
      <c r="M19" s="15" t="str">
        <f aca="false">IF(A19="","",J19*K19+N(L19))</f>
        <v/>
      </c>
      <c r="N19" s="13"/>
      <c r="O19" s="18" t="str">
        <f aca="false">IF(OR(A19="",N19=""),"",IF(ABS(N19-M19)&lt;1,"Cuadra",IF(N19&gt;M19,"Cobro de más: $"&amp;TEXT(N19-M19,"#,##0.00"),"Cobro de menos: $"&amp;TEXT(M19-N19,"#,##0.00"))))</f>
        <v/>
      </c>
    </row>
    <row r="20" customFormat="false" ht="15" hidden="false" customHeight="false" outlineLevel="0" collapsed="false">
      <c r="A20" s="12"/>
      <c r="B20" s="18" t="str">
        <f aca="false">IF(A20="","",INDEX(Inventario!$B$7:$B$46,MATCH(A20,Inventario!$A$7:$A$46,0)))</f>
        <v/>
      </c>
      <c r="C20" s="18" t="str">
        <f aca="false">IF(A20="","",INDEX(Inventario!$G$7:$G$46,MATCH(A20,Inventario!$A$7:$A$46,0)))</f>
        <v/>
      </c>
      <c r="D20" s="16"/>
      <c r="E20" s="16"/>
      <c r="F20" s="18" t="str">
        <f aca="false">IF(A20="","",INDEX(Inventario!$I$7:$I$46,MATCH(A20,Inventario!$A$7:$A$46,0)))</f>
        <v/>
      </c>
      <c r="G20" s="28" t="n">
        <f aca="false">IF(A20="",0,SUMPRODUCT(('Uso diario'!$B$7:$B$1006=A20)*('Uso diario'!$A$7:$A$1006&gt;=D20)*('Uso diario'!$A$7:$A$1006&lt;=E20)*('Uso diario'!$G$7:$G$1006&gt;0)))</f>
        <v>0</v>
      </c>
      <c r="H20" s="20" t="n">
        <f aca="false">IF(A20="",0,SUMIFS('Uso diario'!$G$7:$G$1006,'Uso diario'!$B$7:$B$1006,A20,'Uso diario'!$A$7:$A$1006,"&gt;="&amp;D20,'Uso diario'!$A$7:$A$1006,"&lt;="&amp;E20))</f>
        <v>0</v>
      </c>
      <c r="I20" s="20" t="str">
        <f aca="false">IF(A20="","",G20*INDEX(Inventario!$J$7:$J$46,MATCH(A20,Inventario!$A$7:$A$46,0)))</f>
        <v/>
      </c>
      <c r="J20" s="20" t="str">
        <f aca="false">IF(A20="","",IF(F20="hora",MAX(H20,I20),MAX(G20,I20)))</f>
        <v/>
      </c>
      <c r="K20" s="15" t="str">
        <f aca="false">IF(A20="","",INDEX(Inventario!$H$7:$H$46,MATCH(A20,Inventario!$A$7:$A$46,0)))</f>
        <v/>
      </c>
      <c r="L20" s="13"/>
      <c r="M20" s="15" t="str">
        <f aca="false">IF(A20="","",J20*K20+N(L20))</f>
        <v/>
      </c>
      <c r="N20" s="13"/>
      <c r="O20" s="18" t="str">
        <f aca="false">IF(OR(A20="",N20=""),"",IF(ABS(N20-M20)&lt;1,"Cuadra",IF(N20&gt;M20,"Cobro de más: $"&amp;TEXT(N20-M20,"#,##0.00"),"Cobro de menos: $"&amp;TEXT(M20-N20,"#,##0.00"))))</f>
        <v/>
      </c>
    </row>
    <row r="21" customFormat="false" ht="15" hidden="false" customHeight="false" outlineLevel="0" collapsed="false">
      <c r="A21" s="12"/>
      <c r="B21" s="18" t="str">
        <f aca="false">IF(A21="","",INDEX(Inventario!$B$7:$B$46,MATCH(A21,Inventario!$A$7:$A$46,0)))</f>
        <v/>
      </c>
      <c r="C21" s="18" t="str">
        <f aca="false">IF(A21="","",INDEX(Inventario!$G$7:$G$46,MATCH(A21,Inventario!$A$7:$A$46,0)))</f>
        <v/>
      </c>
      <c r="D21" s="16"/>
      <c r="E21" s="16"/>
      <c r="F21" s="18" t="str">
        <f aca="false">IF(A21="","",INDEX(Inventario!$I$7:$I$46,MATCH(A21,Inventario!$A$7:$A$46,0)))</f>
        <v/>
      </c>
      <c r="G21" s="28" t="n">
        <f aca="false">IF(A21="",0,SUMPRODUCT(('Uso diario'!$B$7:$B$1006=A21)*('Uso diario'!$A$7:$A$1006&gt;=D21)*('Uso diario'!$A$7:$A$1006&lt;=E21)*('Uso diario'!$G$7:$G$1006&gt;0)))</f>
        <v>0</v>
      </c>
      <c r="H21" s="20" t="n">
        <f aca="false">IF(A21="",0,SUMIFS('Uso diario'!$G$7:$G$1006,'Uso diario'!$B$7:$B$1006,A21,'Uso diario'!$A$7:$A$1006,"&gt;="&amp;D21,'Uso diario'!$A$7:$A$1006,"&lt;="&amp;E21))</f>
        <v>0</v>
      </c>
      <c r="I21" s="20" t="str">
        <f aca="false">IF(A21="","",G21*INDEX(Inventario!$J$7:$J$46,MATCH(A21,Inventario!$A$7:$A$46,0)))</f>
        <v/>
      </c>
      <c r="J21" s="20" t="str">
        <f aca="false">IF(A21="","",IF(F21="hora",MAX(H21,I21),MAX(G21,I21)))</f>
        <v/>
      </c>
      <c r="K21" s="15" t="str">
        <f aca="false">IF(A21="","",INDEX(Inventario!$H$7:$H$46,MATCH(A21,Inventario!$A$7:$A$46,0)))</f>
        <v/>
      </c>
      <c r="L21" s="13"/>
      <c r="M21" s="15" t="str">
        <f aca="false">IF(A21="","",J21*K21+N(L21))</f>
        <v/>
      </c>
      <c r="N21" s="13"/>
      <c r="O21" s="18" t="str">
        <f aca="false">IF(OR(A21="",N21=""),"",IF(ABS(N21-M21)&lt;1,"Cuadra",IF(N21&gt;M21,"Cobro de más: $"&amp;TEXT(N21-M21,"#,##0.00"),"Cobro de menos: $"&amp;TEXT(M21-N21,"#,##0.00"))))</f>
        <v/>
      </c>
    </row>
    <row r="22" customFormat="false" ht="15" hidden="false" customHeight="false" outlineLevel="0" collapsed="false">
      <c r="A22" s="12"/>
      <c r="B22" s="18" t="str">
        <f aca="false">IF(A22="","",INDEX(Inventario!$B$7:$B$46,MATCH(A22,Inventario!$A$7:$A$46,0)))</f>
        <v/>
      </c>
      <c r="C22" s="18" t="str">
        <f aca="false">IF(A22="","",INDEX(Inventario!$G$7:$G$46,MATCH(A22,Inventario!$A$7:$A$46,0)))</f>
        <v/>
      </c>
      <c r="D22" s="16"/>
      <c r="E22" s="16"/>
      <c r="F22" s="18" t="str">
        <f aca="false">IF(A22="","",INDEX(Inventario!$I$7:$I$46,MATCH(A22,Inventario!$A$7:$A$46,0)))</f>
        <v/>
      </c>
      <c r="G22" s="28" t="n">
        <f aca="false">IF(A22="",0,SUMPRODUCT(('Uso diario'!$B$7:$B$1006=A22)*('Uso diario'!$A$7:$A$1006&gt;=D22)*('Uso diario'!$A$7:$A$1006&lt;=E22)*('Uso diario'!$G$7:$G$1006&gt;0)))</f>
        <v>0</v>
      </c>
      <c r="H22" s="20" t="n">
        <f aca="false">IF(A22="",0,SUMIFS('Uso diario'!$G$7:$G$1006,'Uso diario'!$B$7:$B$1006,A22,'Uso diario'!$A$7:$A$1006,"&gt;="&amp;D22,'Uso diario'!$A$7:$A$1006,"&lt;="&amp;E22))</f>
        <v>0</v>
      </c>
      <c r="I22" s="20" t="str">
        <f aca="false">IF(A22="","",G22*INDEX(Inventario!$J$7:$J$46,MATCH(A22,Inventario!$A$7:$A$46,0)))</f>
        <v/>
      </c>
      <c r="J22" s="20" t="str">
        <f aca="false">IF(A22="","",IF(F22="hora",MAX(H22,I22),MAX(G22,I22)))</f>
        <v/>
      </c>
      <c r="K22" s="15" t="str">
        <f aca="false">IF(A22="","",INDEX(Inventario!$H$7:$H$46,MATCH(A22,Inventario!$A$7:$A$46,0)))</f>
        <v/>
      </c>
      <c r="L22" s="13"/>
      <c r="M22" s="15" t="str">
        <f aca="false">IF(A22="","",J22*K22+N(L22))</f>
        <v/>
      </c>
      <c r="N22" s="13"/>
      <c r="O22" s="18" t="str">
        <f aca="false">IF(OR(A22="",N22=""),"",IF(ABS(N22-M22)&lt;1,"Cuadra",IF(N22&gt;M22,"Cobro de más: $"&amp;TEXT(N22-M22,"#,##0.00"),"Cobro de menos: $"&amp;TEXT(M22-N22,"#,##0.00"))))</f>
        <v/>
      </c>
    </row>
    <row r="23" customFormat="false" ht="15" hidden="false" customHeight="false" outlineLevel="0" collapsed="false">
      <c r="A23" s="12"/>
      <c r="B23" s="18" t="str">
        <f aca="false">IF(A23="","",INDEX(Inventario!$B$7:$B$46,MATCH(A23,Inventario!$A$7:$A$46,0)))</f>
        <v/>
      </c>
      <c r="C23" s="18" t="str">
        <f aca="false">IF(A23="","",INDEX(Inventario!$G$7:$G$46,MATCH(A23,Inventario!$A$7:$A$46,0)))</f>
        <v/>
      </c>
      <c r="D23" s="16"/>
      <c r="E23" s="16"/>
      <c r="F23" s="18" t="str">
        <f aca="false">IF(A23="","",INDEX(Inventario!$I$7:$I$46,MATCH(A23,Inventario!$A$7:$A$46,0)))</f>
        <v/>
      </c>
      <c r="G23" s="28" t="n">
        <f aca="false">IF(A23="",0,SUMPRODUCT(('Uso diario'!$B$7:$B$1006=A23)*('Uso diario'!$A$7:$A$1006&gt;=D23)*('Uso diario'!$A$7:$A$1006&lt;=E23)*('Uso diario'!$G$7:$G$1006&gt;0)))</f>
        <v>0</v>
      </c>
      <c r="H23" s="20" t="n">
        <f aca="false">IF(A23="",0,SUMIFS('Uso diario'!$G$7:$G$1006,'Uso diario'!$B$7:$B$1006,A23,'Uso diario'!$A$7:$A$1006,"&gt;="&amp;D23,'Uso diario'!$A$7:$A$1006,"&lt;="&amp;E23))</f>
        <v>0</v>
      </c>
      <c r="I23" s="20" t="str">
        <f aca="false">IF(A23="","",G23*INDEX(Inventario!$J$7:$J$46,MATCH(A23,Inventario!$A$7:$A$46,0)))</f>
        <v/>
      </c>
      <c r="J23" s="20" t="str">
        <f aca="false">IF(A23="","",IF(F23="hora",MAX(H23,I23),MAX(G23,I23)))</f>
        <v/>
      </c>
      <c r="K23" s="15" t="str">
        <f aca="false">IF(A23="","",INDEX(Inventario!$H$7:$H$46,MATCH(A23,Inventario!$A$7:$A$46,0)))</f>
        <v/>
      </c>
      <c r="L23" s="13"/>
      <c r="M23" s="15" t="str">
        <f aca="false">IF(A23="","",J23*K23+N(L23))</f>
        <v/>
      </c>
      <c r="N23" s="13"/>
      <c r="O23" s="18" t="str">
        <f aca="false">IF(OR(A23="",N23=""),"",IF(ABS(N23-M23)&lt;1,"Cuadra",IF(N23&gt;M23,"Cobro de más: $"&amp;TEXT(N23-M23,"#,##0.00"),"Cobro de menos: $"&amp;TEXT(M23-N23,"#,##0.00"))))</f>
        <v/>
      </c>
    </row>
    <row r="24" customFormat="false" ht="15" hidden="false" customHeight="false" outlineLevel="0" collapsed="false">
      <c r="A24" s="12"/>
      <c r="B24" s="18" t="str">
        <f aca="false">IF(A24="","",INDEX(Inventario!$B$7:$B$46,MATCH(A24,Inventario!$A$7:$A$46,0)))</f>
        <v/>
      </c>
      <c r="C24" s="18" t="str">
        <f aca="false">IF(A24="","",INDEX(Inventario!$G$7:$G$46,MATCH(A24,Inventario!$A$7:$A$46,0)))</f>
        <v/>
      </c>
      <c r="D24" s="16"/>
      <c r="E24" s="16"/>
      <c r="F24" s="18" t="str">
        <f aca="false">IF(A24="","",INDEX(Inventario!$I$7:$I$46,MATCH(A24,Inventario!$A$7:$A$46,0)))</f>
        <v/>
      </c>
      <c r="G24" s="28" t="n">
        <f aca="false">IF(A24="",0,SUMPRODUCT(('Uso diario'!$B$7:$B$1006=A24)*('Uso diario'!$A$7:$A$1006&gt;=D24)*('Uso diario'!$A$7:$A$1006&lt;=E24)*('Uso diario'!$G$7:$G$1006&gt;0)))</f>
        <v>0</v>
      </c>
      <c r="H24" s="20" t="n">
        <f aca="false">IF(A24="",0,SUMIFS('Uso diario'!$G$7:$G$1006,'Uso diario'!$B$7:$B$1006,A24,'Uso diario'!$A$7:$A$1006,"&gt;="&amp;D24,'Uso diario'!$A$7:$A$1006,"&lt;="&amp;E24))</f>
        <v>0</v>
      </c>
      <c r="I24" s="20" t="str">
        <f aca="false">IF(A24="","",G24*INDEX(Inventario!$J$7:$J$46,MATCH(A24,Inventario!$A$7:$A$46,0)))</f>
        <v/>
      </c>
      <c r="J24" s="20" t="str">
        <f aca="false">IF(A24="","",IF(F24="hora",MAX(H24,I24),MAX(G24,I24)))</f>
        <v/>
      </c>
      <c r="K24" s="15" t="str">
        <f aca="false">IF(A24="","",INDEX(Inventario!$H$7:$H$46,MATCH(A24,Inventario!$A$7:$A$46,0)))</f>
        <v/>
      </c>
      <c r="L24" s="13"/>
      <c r="M24" s="15" t="str">
        <f aca="false">IF(A24="","",J24*K24+N(L24))</f>
        <v/>
      </c>
      <c r="N24" s="13"/>
      <c r="O24" s="18" t="str">
        <f aca="false">IF(OR(A24="",N24=""),"",IF(ABS(N24-M24)&lt;1,"Cuadra",IF(N24&gt;M24,"Cobro de más: $"&amp;TEXT(N24-M24,"#,##0.00"),"Cobro de menos: $"&amp;TEXT(M24-N24,"#,##0.00"))))</f>
        <v/>
      </c>
    </row>
    <row r="25" customFormat="false" ht="15" hidden="false" customHeight="false" outlineLevel="0" collapsed="false">
      <c r="A25" s="12"/>
      <c r="B25" s="18" t="str">
        <f aca="false">IF(A25="","",INDEX(Inventario!$B$7:$B$46,MATCH(A25,Inventario!$A$7:$A$46,0)))</f>
        <v/>
      </c>
      <c r="C25" s="18" t="str">
        <f aca="false">IF(A25="","",INDEX(Inventario!$G$7:$G$46,MATCH(A25,Inventario!$A$7:$A$46,0)))</f>
        <v/>
      </c>
      <c r="D25" s="16"/>
      <c r="E25" s="16"/>
      <c r="F25" s="18" t="str">
        <f aca="false">IF(A25="","",INDEX(Inventario!$I$7:$I$46,MATCH(A25,Inventario!$A$7:$A$46,0)))</f>
        <v/>
      </c>
      <c r="G25" s="28" t="n">
        <f aca="false">IF(A25="",0,SUMPRODUCT(('Uso diario'!$B$7:$B$1006=A25)*('Uso diario'!$A$7:$A$1006&gt;=D25)*('Uso diario'!$A$7:$A$1006&lt;=E25)*('Uso diario'!$G$7:$G$1006&gt;0)))</f>
        <v>0</v>
      </c>
      <c r="H25" s="20" t="n">
        <f aca="false">IF(A25="",0,SUMIFS('Uso diario'!$G$7:$G$1006,'Uso diario'!$B$7:$B$1006,A25,'Uso diario'!$A$7:$A$1006,"&gt;="&amp;D25,'Uso diario'!$A$7:$A$1006,"&lt;="&amp;E25))</f>
        <v>0</v>
      </c>
      <c r="I25" s="20" t="str">
        <f aca="false">IF(A25="","",G25*INDEX(Inventario!$J$7:$J$46,MATCH(A25,Inventario!$A$7:$A$46,0)))</f>
        <v/>
      </c>
      <c r="J25" s="20" t="str">
        <f aca="false">IF(A25="","",IF(F25="hora",MAX(H25,I25),MAX(G25,I25)))</f>
        <v/>
      </c>
      <c r="K25" s="15" t="str">
        <f aca="false">IF(A25="","",INDEX(Inventario!$H$7:$H$46,MATCH(A25,Inventario!$A$7:$A$46,0)))</f>
        <v/>
      </c>
      <c r="L25" s="13"/>
      <c r="M25" s="15" t="str">
        <f aca="false">IF(A25="","",J25*K25+N(L25))</f>
        <v/>
      </c>
      <c r="N25" s="13"/>
      <c r="O25" s="18" t="str">
        <f aca="false">IF(OR(A25="",N25=""),"",IF(ABS(N25-M25)&lt;1,"Cuadra",IF(N25&gt;M25,"Cobro de más: $"&amp;TEXT(N25-M25,"#,##0.00"),"Cobro de menos: $"&amp;TEXT(M25-N25,"#,##0.00"))))</f>
        <v/>
      </c>
    </row>
    <row r="26" customFormat="false" ht="15" hidden="false" customHeight="false" outlineLevel="0" collapsed="false">
      <c r="A26" s="12"/>
      <c r="B26" s="18" t="str">
        <f aca="false">IF(A26="","",INDEX(Inventario!$B$7:$B$46,MATCH(A26,Inventario!$A$7:$A$46,0)))</f>
        <v/>
      </c>
      <c r="C26" s="18" t="str">
        <f aca="false">IF(A26="","",INDEX(Inventario!$G$7:$G$46,MATCH(A26,Inventario!$A$7:$A$46,0)))</f>
        <v/>
      </c>
      <c r="D26" s="16"/>
      <c r="E26" s="16"/>
      <c r="F26" s="18" t="str">
        <f aca="false">IF(A26="","",INDEX(Inventario!$I$7:$I$46,MATCH(A26,Inventario!$A$7:$A$46,0)))</f>
        <v/>
      </c>
      <c r="G26" s="28" t="n">
        <f aca="false">IF(A26="",0,SUMPRODUCT(('Uso diario'!$B$7:$B$1006=A26)*('Uso diario'!$A$7:$A$1006&gt;=D26)*('Uso diario'!$A$7:$A$1006&lt;=E26)*('Uso diario'!$G$7:$G$1006&gt;0)))</f>
        <v>0</v>
      </c>
      <c r="H26" s="20" t="n">
        <f aca="false">IF(A26="",0,SUMIFS('Uso diario'!$G$7:$G$1006,'Uso diario'!$B$7:$B$1006,A26,'Uso diario'!$A$7:$A$1006,"&gt;="&amp;D26,'Uso diario'!$A$7:$A$1006,"&lt;="&amp;E26))</f>
        <v>0</v>
      </c>
      <c r="I26" s="20" t="str">
        <f aca="false">IF(A26="","",G26*INDEX(Inventario!$J$7:$J$46,MATCH(A26,Inventario!$A$7:$A$46,0)))</f>
        <v/>
      </c>
      <c r="J26" s="20" t="str">
        <f aca="false">IF(A26="","",IF(F26="hora",MAX(H26,I26),MAX(G26,I26)))</f>
        <v/>
      </c>
      <c r="K26" s="15" t="str">
        <f aca="false">IF(A26="","",INDEX(Inventario!$H$7:$H$46,MATCH(A26,Inventario!$A$7:$A$46,0)))</f>
        <v/>
      </c>
      <c r="L26" s="13"/>
      <c r="M26" s="15" t="str">
        <f aca="false">IF(A26="","",J26*K26+N(L26))</f>
        <v/>
      </c>
      <c r="N26" s="13"/>
      <c r="O26" s="18" t="str">
        <f aca="false">IF(OR(A26="",N26=""),"",IF(ABS(N26-M26)&lt;1,"Cuadra",IF(N26&gt;M26,"Cobro de más: $"&amp;TEXT(N26-M26,"#,##0.00"),"Cobro de menos: $"&amp;TEXT(M26-N26,"#,##0.00"))))</f>
        <v/>
      </c>
    </row>
    <row r="27" customFormat="false" ht="15" hidden="false" customHeight="false" outlineLevel="0" collapsed="false">
      <c r="A27" s="12"/>
      <c r="B27" s="18" t="str">
        <f aca="false">IF(A27="","",INDEX(Inventario!$B$7:$B$46,MATCH(A27,Inventario!$A$7:$A$46,0)))</f>
        <v/>
      </c>
      <c r="C27" s="18" t="str">
        <f aca="false">IF(A27="","",INDEX(Inventario!$G$7:$G$46,MATCH(A27,Inventario!$A$7:$A$46,0)))</f>
        <v/>
      </c>
      <c r="D27" s="16"/>
      <c r="E27" s="16"/>
      <c r="F27" s="18" t="str">
        <f aca="false">IF(A27="","",INDEX(Inventario!$I$7:$I$46,MATCH(A27,Inventario!$A$7:$A$46,0)))</f>
        <v/>
      </c>
      <c r="G27" s="28" t="n">
        <f aca="false">IF(A27="",0,SUMPRODUCT(('Uso diario'!$B$7:$B$1006=A27)*('Uso diario'!$A$7:$A$1006&gt;=D27)*('Uso diario'!$A$7:$A$1006&lt;=E27)*('Uso diario'!$G$7:$G$1006&gt;0)))</f>
        <v>0</v>
      </c>
      <c r="H27" s="20" t="n">
        <f aca="false">IF(A27="",0,SUMIFS('Uso diario'!$G$7:$G$1006,'Uso diario'!$B$7:$B$1006,A27,'Uso diario'!$A$7:$A$1006,"&gt;="&amp;D27,'Uso diario'!$A$7:$A$1006,"&lt;="&amp;E27))</f>
        <v>0</v>
      </c>
      <c r="I27" s="20" t="str">
        <f aca="false">IF(A27="","",G27*INDEX(Inventario!$J$7:$J$46,MATCH(A27,Inventario!$A$7:$A$46,0)))</f>
        <v/>
      </c>
      <c r="J27" s="20" t="str">
        <f aca="false">IF(A27="","",IF(F27="hora",MAX(H27,I27),MAX(G27,I27)))</f>
        <v/>
      </c>
      <c r="K27" s="15" t="str">
        <f aca="false">IF(A27="","",INDEX(Inventario!$H$7:$H$46,MATCH(A27,Inventario!$A$7:$A$46,0)))</f>
        <v/>
      </c>
      <c r="L27" s="13"/>
      <c r="M27" s="15" t="str">
        <f aca="false">IF(A27="","",J27*K27+N(L27))</f>
        <v/>
      </c>
      <c r="N27" s="13"/>
      <c r="O27" s="18" t="str">
        <f aca="false">IF(OR(A27="",N27=""),"",IF(ABS(N27-M27)&lt;1,"Cuadra",IF(N27&gt;M27,"Cobro de más: $"&amp;TEXT(N27-M27,"#,##0.00"),"Cobro de menos: $"&amp;TEXT(M27-N27,"#,##0.00"))))</f>
        <v/>
      </c>
    </row>
    <row r="28" customFormat="false" ht="15" hidden="false" customHeight="false" outlineLevel="0" collapsed="false">
      <c r="A28" s="12"/>
      <c r="B28" s="18" t="str">
        <f aca="false">IF(A28="","",INDEX(Inventario!$B$7:$B$46,MATCH(A28,Inventario!$A$7:$A$46,0)))</f>
        <v/>
      </c>
      <c r="C28" s="18" t="str">
        <f aca="false">IF(A28="","",INDEX(Inventario!$G$7:$G$46,MATCH(A28,Inventario!$A$7:$A$46,0)))</f>
        <v/>
      </c>
      <c r="D28" s="16"/>
      <c r="E28" s="16"/>
      <c r="F28" s="18" t="str">
        <f aca="false">IF(A28="","",INDEX(Inventario!$I$7:$I$46,MATCH(A28,Inventario!$A$7:$A$46,0)))</f>
        <v/>
      </c>
      <c r="G28" s="28" t="n">
        <f aca="false">IF(A28="",0,SUMPRODUCT(('Uso diario'!$B$7:$B$1006=A28)*('Uso diario'!$A$7:$A$1006&gt;=D28)*('Uso diario'!$A$7:$A$1006&lt;=E28)*('Uso diario'!$G$7:$G$1006&gt;0)))</f>
        <v>0</v>
      </c>
      <c r="H28" s="20" t="n">
        <f aca="false">IF(A28="",0,SUMIFS('Uso diario'!$G$7:$G$1006,'Uso diario'!$B$7:$B$1006,A28,'Uso diario'!$A$7:$A$1006,"&gt;="&amp;D28,'Uso diario'!$A$7:$A$1006,"&lt;="&amp;E28))</f>
        <v>0</v>
      </c>
      <c r="I28" s="20" t="str">
        <f aca="false">IF(A28="","",G28*INDEX(Inventario!$J$7:$J$46,MATCH(A28,Inventario!$A$7:$A$46,0)))</f>
        <v/>
      </c>
      <c r="J28" s="20" t="str">
        <f aca="false">IF(A28="","",IF(F28="hora",MAX(H28,I28),MAX(G28,I28)))</f>
        <v/>
      </c>
      <c r="K28" s="15" t="str">
        <f aca="false">IF(A28="","",INDEX(Inventario!$H$7:$H$46,MATCH(A28,Inventario!$A$7:$A$46,0)))</f>
        <v/>
      </c>
      <c r="L28" s="13"/>
      <c r="M28" s="15" t="str">
        <f aca="false">IF(A28="","",J28*K28+N(L28))</f>
        <v/>
      </c>
      <c r="N28" s="13"/>
      <c r="O28" s="18" t="str">
        <f aca="false">IF(OR(A28="",N28=""),"",IF(ABS(N28-M28)&lt;1,"Cuadra",IF(N28&gt;M28,"Cobro de más: $"&amp;TEXT(N28-M28,"#,##0.00"),"Cobro de menos: $"&amp;TEXT(M28-N28,"#,##0.00"))))</f>
        <v/>
      </c>
    </row>
    <row r="29" customFormat="false" ht="15" hidden="false" customHeight="false" outlineLevel="0" collapsed="false">
      <c r="A29" s="12"/>
      <c r="B29" s="18" t="str">
        <f aca="false">IF(A29="","",INDEX(Inventario!$B$7:$B$46,MATCH(A29,Inventario!$A$7:$A$46,0)))</f>
        <v/>
      </c>
      <c r="C29" s="18" t="str">
        <f aca="false">IF(A29="","",INDEX(Inventario!$G$7:$G$46,MATCH(A29,Inventario!$A$7:$A$46,0)))</f>
        <v/>
      </c>
      <c r="D29" s="16"/>
      <c r="E29" s="16"/>
      <c r="F29" s="18" t="str">
        <f aca="false">IF(A29="","",INDEX(Inventario!$I$7:$I$46,MATCH(A29,Inventario!$A$7:$A$46,0)))</f>
        <v/>
      </c>
      <c r="G29" s="28" t="n">
        <f aca="false">IF(A29="",0,SUMPRODUCT(('Uso diario'!$B$7:$B$1006=A29)*('Uso diario'!$A$7:$A$1006&gt;=D29)*('Uso diario'!$A$7:$A$1006&lt;=E29)*('Uso diario'!$G$7:$G$1006&gt;0)))</f>
        <v>0</v>
      </c>
      <c r="H29" s="20" t="n">
        <f aca="false">IF(A29="",0,SUMIFS('Uso diario'!$G$7:$G$1006,'Uso diario'!$B$7:$B$1006,A29,'Uso diario'!$A$7:$A$1006,"&gt;="&amp;D29,'Uso diario'!$A$7:$A$1006,"&lt;="&amp;E29))</f>
        <v>0</v>
      </c>
      <c r="I29" s="20" t="str">
        <f aca="false">IF(A29="","",G29*INDEX(Inventario!$J$7:$J$46,MATCH(A29,Inventario!$A$7:$A$46,0)))</f>
        <v/>
      </c>
      <c r="J29" s="20" t="str">
        <f aca="false">IF(A29="","",IF(F29="hora",MAX(H29,I29),MAX(G29,I29)))</f>
        <v/>
      </c>
      <c r="K29" s="15" t="str">
        <f aca="false">IF(A29="","",INDEX(Inventario!$H$7:$H$46,MATCH(A29,Inventario!$A$7:$A$46,0)))</f>
        <v/>
      </c>
      <c r="L29" s="13"/>
      <c r="M29" s="15" t="str">
        <f aca="false">IF(A29="","",J29*K29+N(L29))</f>
        <v/>
      </c>
      <c r="N29" s="13"/>
      <c r="O29" s="18" t="str">
        <f aca="false">IF(OR(A29="",N29=""),"",IF(ABS(N29-M29)&lt;1,"Cuadra",IF(N29&gt;M29,"Cobro de más: $"&amp;TEXT(N29-M29,"#,##0.00"),"Cobro de menos: $"&amp;TEXT(M29-N29,"#,##0.00"))))</f>
        <v/>
      </c>
    </row>
    <row r="30" customFormat="false" ht="15" hidden="false" customHeight="false" outlineLevel="0" collapsed="false">
      <c r="A30" s="12"/>
      <c r="B30" s="18" t="str">
        <f aca="false">IF(A30="","",INDEX(Inventario!$B$7:$B$46,MATCH(A30,Inventario!$A$7:$A$46,0)))</f>
        <v/>
      </c>
      <c r="C30" s="18" t="str">
        <f aca="false">IF(A30="","",INDEX(Inventario!$G$7:$G$46,MATCH(A30,Inventario!$A$7:$A$46,0)))</f>
        <v/>
      </c>
      <c r="D30" s="16"/>
      <c r="E30" s="16"/>
      <c r="F30" s="18" t="str">
        <f aca="false">IF(A30="","",INDEX(Inventario!$I$7:$I$46,MATCH(A30,Inventario!$A$7:$A$46,0)))</f>
        <v/>
      </c>
      <c r="G30" s="28" t="n">
        <f aca="false">IF(A30="",0,SUMPRODUCT(('Uso diario'!$B$7:$B$1006=A30)*('Uso diario'!$A$7:$A$1006&gt;=D30)*('Uso diario'!$A$7:$A$1006&lt;=E30)*('Uso diario'!$G$7:$G$1006&gt;0)))</f>
        <v>0</v>
      </c>
      <c r="H30" s="20" t="n">
        <f aca="false">IF(A30="",0,SUMIFS('Uso diario'!$G$7:$G$1006,'Uso diario'!$B$7:$B$1006,A30,'Uso diario'!$A$7:$A$1006,"&gt;="&amp;D30,'Uso diario'!$A$7:$A$1006,"&lt;="&amp;E30))</f>
        <v>0</v>
      </c>
      <c r="I30" s="20" t="str">
        <f aca="false">IF(A30="","",G30*INDEX(Inventario!$J$7:$J$46,MATCH(A30,Inventario!$A$7:$A$46,0)))</f>
        <v/>
      </c>
      <c r="J30" s="20" t="str">
        <f aca="false">IF(A30="","",IF(F30="hora",MAX(H30,I30),MAX(G30,I30)))</f>
        <v/>
      </c>
      <c r="K30" s="15" t="str">
        <f aca="false">IF(A30="","",INDEX(Inventario!$H$7:$H$46,MATCH(A30,Inventario!$A$7:$A$46,0)))</f>
        <v/>
      </c>
      <c r="L30" s="13"/>
      <c r="M30" s="15" t="str">
        <f aca="false">IF(A30="","",J30*K30+N(L30))</f>
        <v/>
      </c>
      <c r="N30" s="13"/>
      <c r="O30" s="18" t="str">
        <f aca="false">IF(OR(A30="",N30=""),"",IF(ABS(N30-M30)&lt;1,"Cuadra",IF(N30&gt;M30,"Cobro de más: $"&amp;TEXT(N30-M30,"#,##0.00"),"Cobro de menos: $"&amp;TEXT(M30-N30,"#,##0.00"))))</f>
        <v/>
      </c>
    </row>
    <row r="31" customFormat="false" ht="15" hidden="false" customHeight="false" outlineLevel="0" collapsed="false">
      <c r="A31" s="12"/>
      <c r="B31" s="18" t="str">
        <f aca="false">IF(A31="","",INDEX(Inventario!$B$7:$B$46,MATCH(A31,Inventario!$A$7:$A$46,0)))</f>
        <v/>
      </c>
      <c r="C31" s="18" t="str">
        <f aca="false">IF(A31="","",INDEX(Inventario!$G$7:$G$46,MATCH(A31,Inventario!$A$7:$A$46,0)))</f>
        <v/>
      </c>
      <c r="D31" s="16"/>
      <c r="E31" s="16"/>
      <c r="F31" s="18" t="str">
        <f aca="false">IF(A31="","",INDEX(Inventario!$I$7:$I$46,MATCH(A31,Inventario!$A$7:$A$46,0)))</f>
        <v/>
      </c>
      <c r="G31" s="28" t="n">
        <f aca="false">IF(A31="",0,SUMPRODUCT(('Uso diario'!$B$7:$B$1006=A31)*('Uso diario'!$A$7:$A$1006&gt;=D31)*('Uso diario'!$A$7:$A$1006&lt;=E31)*('Uso diario'!$G$7:$G$1006&gt;0)))</f>
        <v>0</v>
      </c>
      <c r="H31" s="20" t="n">
        <f aca="false">IF(A31="",0,SUMIFS('Uso diario'!$G$7:$G$1006,'Uso diario'!$B$7:$B$1006,A31,'Uso diario'!$A$7:$A$1006,"&gt;="&amp;D31,'Uso diario'!$A$7:$A$1006,"&lt;="&amp;E31))</f>
        <v>0</v>
      </c>
      <c r="I31" s="20" t="str">
        <f aca="false">IF(A31="","",G31*INDEX(Inventario!$J$7:$J$46,MATCH(A31,Inventario!$A$7:$A$46,0)))</f>
        <v/>
      </c>
      <c r="J31" s="20" t="str">
        <f aca="false">IF(A31="","",IF(F31="hora",MAX(H31,I31),MAX(G31,I31)))</f>
        <v/>
      </c>
      <c r="K31" s="15" t="str">
        <f aca="false">IF(A31="","",INDEX(Inventario!$H$7:$H$46,MATCH(A31,Inventario!$A$7:$A$46,0)))</f>
        <v/>
      </c>
      <c r="L31" s="13"/>
      <c r="M31" s="15" t="str">
        <f aca="false">IF(A31="","",J31*K31+N(L31))</f>
        <v/>
      </c>
      <c r="N31" s="13"/>
      <c r="O31" s="18" t="str">
        <f aca="false">IF(OR(A31="",N31=""),"",IF(ABS(N31-M31)&lt;1,"Cuadra",IF(N31&gt;M31,"Cobro de más: $"&amp;TEXT(N31-M31,"#,##0.00"),"Cobro de menos: $"&amp;TEXT(M31-N31,"#,##0.00"))))</f>
        <v/>
      </c>
    </row>
    <row r="32" customFormat="false" ht="15" hidden="false" customHeight="false" outlineLevel="0" collapsed="false">
      <c r="A32" s="12"/>
      <c r="B32" s="18" t="str">
        <f aca="false">IF(A32="","",INDEX(Inventario!$B$7:$B$46,MATCH(A32,Inventario!$A$7:$A$46,0)))</f>
        <v/>
      </c>
      <c r="C32" s="18" t="str">
        <f aca="false">IF(A32="","",INDEX(Inventario!$G$7:$G$46,MATCH(A32,Inventario!$A$7:$A$46,0)))</f>
        <v/>
      </c>
      <c r="D32" s="16"/>
      <c r="E32" s="16"/>
      <c r="F32" s="18" t="str">
        <f aca="false">IF(A32="","",INDEX(Inventario!$I$7:$I$46,MATCH(A32,Inventario!$A$7:$A$46,0)))</f>
        <v/>
      </c>
      <c r="G32" s="28" t="n">
        <f aca="false">IF(A32="",0,SUMPRODUCT(('Uso diario'!$B$7:$B$1006=A32)*('Uso diario'!$A$7:$A$1006&gt;=D32)*('Uso diario'!$A$7:$A$1006&lt;=E32)*('Uso diario'!$G$7:$G$1006&gt;0)))</f>
        <v>0</v>
      </c>
      <c r="H32" s="20" t="n">
        <f aca="false">IF(A32="",0,SUMIFS('Uso diario'!$G$7:$G$1006,'Uso diario'!$B$7:$B$1006,A32,'Uso diario'!$A$7:$A$1006,"&gt;="&amp;D32,'Uso diario'!$A$7:$A$1006,"&lt;="&amp;E32))</f>
        <v>0</v>
      </c>
      <c r="I32" s="20" t="str">
        <f aca="false">IF(A32="","",G32*INDEX(Inventario!$J$7:$J$46,MATCH(A32,Inventario!$A$7:$A$46,0)))</f>
        <v/>
      </c>
      <c r="J32" s="20" t="str">
        <f aca="false">IF(A32="","",IF(F32="hora",MAX(H32,I32),MAX(G32,I32)))</f>
        <v/>
      </c>
      <c r="K32" s="15" t="str">
        <f aca="false">IF(A32="","",INDEX(Inventario!$H$7:$H$46,MATCH(A32,Inventario!$A$7:$A$46,0)))</f>
        <v/>
      </c>
      <c r="L32" s="13"/>
      <c r="M32" s="15" t="str">
        <f aca="false">IF(A32="","",J32*K32+N(L32))</f>
        <v/>
      </c>
      <c r="N32" s="13"/>
      <c r="O32" s="18" t="str">
        <f aca="false">IF(OR(A32="",N32=""),"",IF(ABS(N32-M32)&lt;1,"Cuadra",IF(N32&gt;M32,"Cobro de más: $"&amp;TEXT(N32-M32,"#,##0.00"),"Cobro de menos: $"&amp;TEXT(M32-N32,"#,##0.00"))))</f>
        <v/>
      </c>
    </row>
    <row r="33" customFormat="false" ht="15" hidden="false" customHeight="false" outlineLevel="0" collapsed="false">
      <c r="A33" s="12"/>
      <c r="B33" s="18" t="str">
        <f aca="false">IF(A33="","",INDEX(Inventario!$B$7:$B$46,MATCH(A33,Inventario!$A$7:$A$46,0)))</f>
        <v/>
      </c>
      <c r="C33" s="18" t="str">
        <f aca="false">IF(A33="","",INDEX(Inventario!$G$7:$G$46,MATCH(A33,Inventario!$A$7:$A$46,0)))</f>
        <v/>
      </c>
      <c r="D33" s="16"/>
      <c r="E33" s="16"/>
      <c r="F33" s="18" t="str">
        <f aca="false">IF(A33="","",INDEX(Inventario!$I$7:$I$46,MATCH(A33,Inventario!$A$7:$A$46,0)))</f>
        <v/>
      </c>
      <c r="G33" s="28" t="n">
        <f aca="false">IF(A33="",0,SUMPRODUCT(('Uso diario'!$B$7:$B$1006=A33)*('Uso diario'!$A$7:$A$1006&gt;=D33)*('Uso diario'!$A$7:$A$1006&lt;=E33)*('Uso diario'!$G$7:$G$1006&gt;0)))</f>
        <v>0</v>
      </c>
      <c r="H33" s="20" t="n">
        <f aca="false">IF(A33="",0,SUMIFS('Uso diario'!$G$7:$G$1006,'Uso diario'!$B$7:$B$1006,A33,'Uso diario'!$A$7:$A$1006,"&gt;="&amp;D33,'Uso diario'!$A$7:$A$1006,"&lt;="&amp;E33))</f>
        <v>0</v>
      </c>
      <c r="I33" s="20" t="str">
        <f aca="false">IF(A33="","",G33*INDEX(Inventario!$J$7:$J$46,MATCH(A33,Inventario!$A$7:$A$46,0)))</f>
        <v/>
      </c>
      <c r="J33" s="20" t="str">
        <f aca="false">IF(A33="","",IF(F33="hora",MAX(H33,I33),MAX(G33,I33)))</f>
        <v/>
      </c>
      <c r="K33" s="15" t="str">
        <f aca="false">IF(A33="","",INDEX(Inventario!$H$7:$H$46,MATCH(A33,Inventario!$A$7:$A$46,0)))</f>
        <v/>
      </c>
      <c r="L33" s="13"/>
      <c r="M33" s="15" t="str">
        <f aca="false">IF(A33="","",J33*K33+N(L33))</f>
        <v/>
      </c>
      <c r="N33" s="13"/>
      <c r="O33" s="18" t="str">
        <f aca="false">IF(OR(A33="",N33=""),"",IF(ABS(N33-M33)&lt;1,"Cuadra",IF(N33&gt;M33,"Cobro de más: $"&amp;TEXT(N33-M33,"#,##0.00"),"Cobro de menos: $"&amp;TEXT(M33-N33,"#,##0.00"))))</f>
        <v/>
      </c>
    </row>
    <row r="34" customFormat="false" ht="15" hidden="false" customHeight="false" outlineLevel="0" collapsed="false">
      <c r="A34" s="12"/>
      <c r="B34" s="18" t="str">
        <f aca="false">IF(A34="","",INDEX(Inventario!$B$7:$B$46,MATCH(A34,Inventario!$A$7:$A$46,0)))</f>
        <v/>
      </c>
      <c r="C34" s="18" t="str">
        <f aca="false">IF(A34="","",INDEX(Inventario!$G$7:$G$46,MATCH(A34,Inventario!$A$7:$A$46,0)))</f>
        <v/>
      </c>
      <c r="D34" s="16"/>
      <c r="E34" s="16"/>
      <c r="F34" s="18" t="str">
        <f aca="false">IF(A34="","",INDEX(Inventario!$I$7:$I$46,MATCH(A34,Inventario!$A$7:$A$46,0)))</f>
        <v/>
      </c>
      <c r="G34" s="28" t="n">
        <f aca="false">IF(A34="",0,SUMPRODUCT(('Uso diario'!$B$7:$B$1006=A34)*('Uso diario'!$A$7:$A$1006&gt;=D34)*('Uso diario'!$A$7:$A$1006&lt;=E34)*('Uso diario'!$G$7:$G$1006&gt;0)))</f>
        <v>0</v>
      </c>
      <c r="H34" s="20" t="n">
        <f aca="false">IF(A34="",0,SUMIFS('Uso diario'!$G$7:$G$1006,'Uso diario'!$B$7:$B$1006,A34,'Uso diario'!$A$7:$A$1006,"&gt;="&amp;D34,'Uso diario'!$A$7:$A$1006,"&lt;="&amp;E34))</f>
        <v>0</v>
      </c>
      <c r="I34" s="20" t="str">
        <f aca="false">IF(A34="","",G34*INDEX(Inventario!$J$7:$J$46,MATCH(A34,Inventario!$A$7:$A$46,0)))</f>
        <v/>
      </c>
      <c r="J34" s="20" t="str">
        <f aca="false">IF(A34="","",IF(F34="hora",MAX(H34,I34),MAX(G34,I34)))</f>
        <v/>
      </c>
      <c r="K34" s="15" t="str">
        <f aca="false">IF(A34="","",INDEX(Inventario!$H$7:$H$46,MATCH(A34,Inventario!$A$7:$A$46,0)))</f>
        <v/>
      </c>
      <c r="L34" s="13"/>
      <c r="M34" s="15" t="str">
        <f aca="false">IF(A34="","",J34*K34+N(L34))</f>
        <v/>
      </c>
      <c r="N34" s="13"/>
      <c r="O34" s="18" t="str">
        <f aca="false">IF(OR(A34="",N34=""),"",IF(ABS(N34-M34)&lt;1,"Cuadra",IF(N34&gt;M34,"Cobro de más: $"&amp;TEXT(N34-M34,"#,##0.00"),"Cobro de menos: $"&amp;TEXT(M34-N34,"#,##0.00"))))</f>
        <v/>
      </c>
    </row>
    <row r="35" customFormat="false" ht="15" hidden="false" customHeight="false" outlineLevel="0" collapsed="false">
      <c r="A35" s="12"/>
      <c r="B35" s="18" t="str">
        <f aca="false">IF(A35="","",INDEX(Inventario!$B$7:$B$46,MATCH(A35,Inventario!$A$7:$A$46,0)))</f>
        <v/>
      </c>
      <c r="C35" s="18" t="str">
        <f aca="false">IF(A35="","",INDEX(Inventario!$G$7:$G$46,MATCH(A35,Inventario!$A$7:$A$46,0)))</f>
        <v/>
      </c>
      <c r="D35" s="16"/>
      <c r="E35" s="16"/>
      <c r="F35" s="18" t="str">
        <f aca="false">IF(A35="","",INDEX(Inventario!$I$7:$I$46,MATCH(A35,Inventario!$A$7:$A$46,0)))</f>
        <v/>
      </c>
      <c r="G35" s="28" t="n">
        <f aca="false">IF(A35="",0,SUMPRODUCT(('Uso diario'!$B$7:$B$1006=A35)*('Uso diario'!$A$7:$A$1006&gt;=D35)*('Uso diario'!$A$7:$A$1006&lt;=E35)*('Uso diario'!$G$7:$G$1006&gt;0)))</f>
        <v>0</v>
      </c>
      <c r="H35" s="20" t="n">
        <f aca="false">IF(A35="",0,SUMIFS('Uso diario'!$G$7:$G$1006,'Uso diario'!$B$7:$B$1006,A35,'Uso diario'!$A$7:$A$1006,"&gt;="&amp;D35,'Uso diario'!$A$7:$A$1006,"&lt;="&amp;E35))</f>
        <v>0</v>
      </c>
      <c r="I35" s="20" t="str">
        <f aca="false">IF(A35="","",G35*INDEX(Inventario!$J$7:$J$46,MATCH(A35,Inventario!$A$7:$A$46,0)))</f>
        <v/>
      </c>
      <c r="J35" s="20" t="str">
        <f aca="false">IF(A35="","",IF(F35="hora",MAX(H35,I35),MAX(G35,I35)))</f>
        <v/>
      </c>
      <c r="K35" s="15" t="str">
        <f aca="false">IF(A35="","",INDEX(Inventario!$H$7:$H$46,MATCH(A35,Inventario!$A$7:$A$46,0)))</f>
        <v/>
      </c>
      <c r="L35" s="13"/>
      <c r="M35" s="15" t="str">
        <f aca="false">IF(A35="","",J35*K35+N(L35))</f>
        <v/>
      </c>
      <c r="N35" s="13"/>
      <c r="O35" s="18" t="str">
        <f aca="false">IF(OR(A35="",N35=""),"",IF(ABS(N35-M35)&lt;1,"Cuadra",IF(N35&gt;M35,"Cobro de más: $"&amp;TEXT(N35-M35,"#,##0.00"),"Cobro de menos: $"&amp;TEXT(M35-N35,"#,##0.00"))))</f>
        <v/>
      </c>
    </row>
    <row r="36" customFormat="false" ht="15" hidden="false" customHeight="false" outlineLevel="0" collapsed="false">
      <c r="A36" s="12"/>
      <c r="B36" s="18" t="str">
        <f aca="false">IF(A36="","",INDEX(Inventario!$B$7:$B$46,MATCH(A36,Inventario!$A$7:$A$46,0)))</f>
        <v/>
      </c>
      <c r="C36" s="18" t="str">
        <f aca="false">IF(A36="","",INDEX(Inventario!$G$7:$G$46,MATCH(A36,Inventario!$A$7:$A$46,0)))</f>
        <v/>
      </c>
      <c r="D36" s="16"/>
      <c r="E36" s="16"/>
      <c r="F36" s="18" t="str">
        <f aca="false">IF(A36="","",INDEX(Inventario!$I$7:$I$46,MATCH(A36,Inventario!$A$7:$A$46,0)))</f>
        <v/>
      </c>
      <c r="G36" s="28" t="n">
        <f aca="false">IF(A36="",0,SUMPRODUCT(('Uso diario'!$B$7:$B$1006=A36)*('Uso diario'!$A$7:$A$1006&gt;=D36)*('Uso diario'!$A$7:$A$1006&lt;=E36)*('Uso diario'!$G$7:$G$1006&gt;0)))</f>
        <v>0</v>
      </c>
      <c r="H36" s="20" t="n">
        <f aca="false">IF(A36="",0,SUMIFS('Uso diario'!$G$7:$G$1006,'Uso diario'!$B$7:$B$1006,A36,'Uso diario'!$A$7:$A$1006,"&gt;="&amp;D36,'Uso diario'!$A$7:$A$1006,"&lt;="&amp;E36))</f>
        <v>0</v>
      </c>
      <c r="I36" s="20" t="str">
        <f aca="false">IF(A36="","",G36*INDEX(Inventario!$J$7:$J$46,MATCH(A36,Inventario!$A$7:$A$46,0)))</f>
        <v/>
      </c>
      <c r="J36" s="20" t="str">
        <f aca="false">IF(A36="","",IF(F36="hora",MAX(H36,I36),MAX(G36,I36)))</f>
        <v/>
      </c>
      <c r="K36" s="15" t="str">
        <f aca="false">IF(A36="","",INDEX(Inventario!$H$7:$H$46,MATCH(A36,Inventario!$A$7:$A$46,0)))</f>
        <v/>
      </c>
      <c r="L36" s="13"/>
      <c r="M36" s="15" t="str">
        <f aca="false">IF(A36="","",J36*K36+N(L36))</f>
        <v/>
      </c>
      <c r="N36" s="13"/>
      <c r="O36" s="18" t="str">
        <f aca="false">IF(OR(A36="",N36=""),"",IF(ABS(N36-M36)&lt;1,"Cuadra",IF(N36&gt;M36,"Cobro de más: $"&amp;TEXT(N36-M36,"#,##0.00"),"Cobro de menos: $"&amp;TEXT(M36-N36,"#,##0.00"))))</f>
        <v/>
      </c>
    </row>
    <row r="38" customFormat="false" ht="15" hidden="false" customHeight="false" outlineLevel="0" collapsed="false">
      <c r="A38" s="27" t="s">
        <v>96</v>
      </c>
    </row>
  </sheetData>
  <mergeCells count="2">
    <mergeCell ref="A1:O1"/>
    <mergeCell ref="A2:O2"/>
  </mergeCells>
  <conditionalFormatting sqref="O7:O36">
    <cfRule type="expression" priority="2" aboveAverage="0" equalAverage="0" bottom="0" percent="0" rank="0" text="" dxfId="0">
      <formula>LEFT(O7,5)="Cobro"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97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15</v>
      </c>
      <c r="B6" s="11" t="s">
        <v>16</v>
      </c>
      <c r="C6" s="11" t="s">
        <v>98</v>
      </c>
      <c r="D6" s="11" t="s">
        <v>99</v>
      </c>
      <c r="E6" s="11" t="s">
        <v>100</v>
      </c>
      <c r="F6" s="11" t="s">
        <v>101</v>
      </c>
      <c r="G6" s="11" t="s">
        <v>28</v>
      </c>
      <c r="H6" s="11" t="s">
        <v>102</v>
      </c>
      <c r="I6" s="11" t="s">
        <v>29</v>
      </c>
    </row>
    <row r="7" customFormat="false" ht="15" hidden="false" customHeight="false" outlineLevel="0" collapsed="false">
      <c r="A7" s="12" t="s">
        <v>36</v>
      </c>
      <c r="B7" s="18" t="n">
        <f aca="false">IF(A7="","",IFERROR(INDEX(Inventario!$B$7:$B$46,MATCH(A7,Inventario!$A$7:$A$46,0)),""))</f>
        <v>0</v>
      </c>
      <c r="C7" s="12" t="s">
        <v>103</v>
      </c>
      <c r="D7" s="23" t="n">
        <v>250</v>
      </c>
      <c r="E7" s="19" t="n">
        <v>1100</v>
      </c>
      <c r="F7" s="17" t="n">
        <f aca="false">IF(A7="","",E7+D7)</f>
        <v>1350</v>
      </c>
      <c r="G7" s="17" t="n">
        <f aca="false">IF(A7="","",IFERROR(INDEX(Inventario!$N$7:$N$46,MATCH(A7,Inventario!$A$7:$A$46,0)),0))</f>
        <v>1264</v>
      </c>
      <c r="H7" s="17" t="n">
        <f aca="false">IF(A7="","",F7-G7)</f>
        <v>86</v>
      </c>
      <c r="I7" s="18" t="str">
        <f aca="false">IF(A7="","",IF(N(G7)=0,"Sin lectura",IF(H7&lt;=0,"VENCIDO",IF(H7&lt;=0.1*D7,"Programar","OK"))))</f>
        <v>OK</v>
      </c>
    </row>
    <row r="8" customFormat="false" ht="15" hidden="false" customHeight="false" outlineLevel="0" collapsed="false">
      <c r="A8" s="12" t="s">
        <v>36</v>
      </c>
      <c r="B8" s="18" t="n">
        <f aca="false">IF(A8="","",IFERROR(INDEX(Inventario!$B$7:$B$46,MATCH(A8,Inventario!$A$7:$A$46,0)),""))</f>
        <v>0</v>
      </c>
      <c r="C8" s="12" t="s">
        <v>104</v>
      </c>
      <c r="D8" s="23" t="n">
        <v>50</v>
      </c>
      <c r="E8" s="19" t="n">
        <v>1250</v>
      </c>
      <c r="F8" s="17" t="n">
        <f aca="false">IF(A8="","",E8+D8)</f>
        <v>1300</v>
      </c>
      <c r="G8" s="17" t="n">
        <f aca="false">IF(A8="","",IFERROR(INDEX(Inventario!$N$7:$N$46,MATCH(A8,Inventario!$A$7:$A$46,0)),0))</f>
        <v>1264</v>
      </c>
      <c r="H8" s="17" t="n">
        <f aca="false">IF(A8="","",F8-G8)</f>
        <v>36</v>
      </c>
      <c r="I8" s="18" t="str">
        <f aca="false">IF(A8="","",IF(N(G8)=0,"Sin lectura",IF(H8&lt;=0,"VENCIDO",IF(H8&lt;=0.1*D8,"Programar","OK"))))</f>
        <v>OK</v>
      </c>
    </row>
    <row r="9" customFormat="false" ht="15" hidden="false" customHeight="false" outlineLevel="0" collapsed="false">
      <c r="A9" s="12" t="s">
        <v>30</v>
      </c>
      <c r="B9" s="18" t="str">
        <f aca="false">IF(A9="","",IFERROR(INDEX(Inventario!$B$7:$B$46,MATCH(A9,Inventario!$A$7:$A$46,0)),""))</f>
        <v>Revolvedora de 1 saco</v>
      </c>
      <c r="C9" s="12" t="s">
        <v>105</v>
      </c>
      <c r="D9" s="23" t="n">
        <v>100</v>
      </c>
      <c r="E9" s="19" t="n">
        <v>0</v>
      </c>
      <c r="F9" s="17" t="n">
        <f aca="false">IF(A9="","",E9+D9)</f>
        <v>100</v>
      </c>
      <c r="G9" s="17" t="n">
        <f aca="false">IF(A9="","",IFERROR(INDEX(Inventario!$N$7:$N$46,MATCH(A9,Inventario!$A$7:$A$46,0)),0))</f>
        <v>0</v>
      </c>
      <c r="H9" s="17" t="n">
        <f aca="false">IF(A9="","",F9-G9)</f>
        <v>100</v>
      </c>
      <c r="I9" s="18" t="str">
        <f aca="false">IF(A9="","",IF(N(G9)=0,"Sin lectura",IF(H9&lt;=0,"VENCIDO",IF(H9&lt;=0.1*D9,"Programar","OK"))))</f>
        <v>Sin lectura</v>
      </c>
    </row>
    <row r="10" customFormat="false" ht="15" hidden="false" customHeight="false" outlineLevel="0" collapsed="false">
      <c r="A10" s="12"/>
      <c r="B10" s="18" t="str">
        <f aca="false">IF(A10="","",IFERROR(INDEX(Inventario!$B$7:$B$46,MATCH(A10,Inventario!$A$7:$A$46,0)),""))</f>
        <v/>
      </c>
      <c r="C10" s="12"/>
      <c r="D10" s="23"/>
      <c r="E10" s="19"/>
      <c r="F10" s="17" t="str">
        <f aca="false">IF(A10="","",E10+D10)</f>
        <v/>
      </c>
      <c r="G10" s="17" t="str">
        <f aca="false">IF(A10="","",IFERROR(INDEX(Inventario!$N$7:$N$46,MATCH(A10,Inventario!$A$7:$A$46,0)),0))</f>
        <v/>
      </c>
      <c r="H10" s="17" t="str">
        <f aca="false">IF(A10="","",F10-G10)</f>
        <v/>
      </c>
      <c r="I10" s="18" t="str">
        <f aca="false">IF(A10="","",IF(N(G10)=0,"Sin lectura",IF(H10&lt;=0,"VENCIDO",IF(H10&lt;=0.1*D10,"Programar","OK"))))</f>
        <v/>
      </c>
    </row>
    <row r="11" customFormat="false" ht="15" hidden="false" customHeight="false" outlineLevel="0" collapsed="false">
      <c r="A11" s="12"/>
      <c r="B11" s="18" t="str">
        <f aca="false">IF(A11="","",IFERROR(INDEX(Inventario!$B$7:$B$46,MATCH(A11,Inventario!$A$7:$A$46,0)),""))</f>
        <v/>
      </c>
      <c r="C11" s="12"/>
      <c r="D11" s="23"/>
      <c r="E11" s="19"/>
      <c r="F11" s="17" t="str">
        <f aca="false">IF(A11="","",E11+D11)</f>
        <v/>
      </c>
      <c r="G11" s="17" t="str">
        <f aca="false">IF(A11="","",IFERROR(INDEX(Inventario!$N$7:$N$46,MATCH(A11,Inventario!$A$7:$A$46,0)),0))</f>
        <v/>
      </c>
      <c r="H11" s="17" t="str">
        <f aca="false">IF(A11="","",F11-G11)</f>
        <v/>
      </c>
      <c r="I11" s="18" t="str">
        <f aca="false">IF(A11="","",IF(N(G11)=0,"Sin lectura",IF(H11&lt;=0,"VENCIDO",IF(H11&lt;=0.1*D11,"Programar","OK"))))</f>
        <v/>
      </c>
    </row>
    <row r="12" customFormat="false" ht="15" hidden="false" customHeight="false" outlineLevel="0" collapsed="false">
      <c r="A12" s="12"/>
      <c r="B12" s="18" t="str">
        <f aca="false">IF(A12="","",IFERROR(INDEX(Inventario!$B$7:$B$46,MATCH(A12,Inventario!$A$7:$A$46,0)),""))</f>
        <v/>
      </c>
      <c r="C12" s="12"/>
      <c r="D12" s="23"/>
      <c r="E12" s="19"/>
      <c r="F12" s="17" t="str">
        <f aca="false">IF(A12="","",E12+D12)</f>
        <v/>
      </c>
      <c r="G12" s="17" t="str">
        <f aca="false">IF(A12="","",IFERROR(INDEX(Inventario!$N$7:$N$46,MATCH(A12,Inventario!$A$7:$A$46,0)),0))</f>
        <v/>
      </c>
      <c r="H12" s="17" t="str">
        <f aca="false">IF(A12="","",F12-G12)</f>
        <v/>
      </c>
      <c r="I12" s="18" t="str">
        <f aca="false">IF(A12="","",IF(N(G12)=0,"Sin lectura",IF(H12&lt;=0,"VENCIDO",IF(H12&lt;=0.1*D12,"Programar","OK"))))</f>
        <v/>
      </c>
    </row>
    <row r="13" customFormat="false" ht="15" hidden="false" customHeight="false" outlineLevel="0" collapsed="false">
      <c r="A13" s="12"/>
      <c r="B13" s="18" t="str">
        <f aca="false">IF(A13="","",IFERROR(INDEX(Inventario!$B$7:$B$46,MATCH(A13,Inventario!$A$7:$A$46,0)),""))</f>
        <v/>
      </c>
      <c r="C13" s="12"/>
      <c r="D13" s="23"/>
      <c r="E13" s="19"/>
      <c r="F13" s="17" t="str">
        <f aca="false">IF(A13="","",E13+D13)</f>
        <v/>
      </c>
      <c r="G13" s="17" t="str">
        <f aca="false">IF(A13="","",IFERROR(INDEX(Inventario!$N$7:$N$46,MATCH(A13,Inventario!$A$7:$A$46,0)),0))</f>
        <v/>
      </c>
      <c r="H13" s="17" t="str">
        <f aca="false">IF(A13="","",F13-G13)</f>
        <v/>
      </c>
      <c r="I13" s="18" t="str">
        <f aca="false">IF(A13="","",IF(N(G13)=0,"Sin lectura",IF(H13&lt;=0,"VENCIDO",IF(H13&lt;=0.1*D13,"Programar","OK"))))</f>
        <v/>
      </c>
    </row>
    <row r="14" customFormat="false" ht="15" hidden="false" customHeight="false" outlineLevel="0" collapsed="false">
      <c r="A14" s="12"/>
      <c r="B14" s="18" t="str">
        <f aca="false">IF(A14="","",IFERROR(INDEX(Inventario!$B$7:$B$46,MATCH(A14,Inventario!$A$7:$A$46,0)),""))</f>
        <v/>
      </c>
      <c r="C14" s="12"/>
      <c r="D14" s="23"/>
      <c r="E14" s="19"/>
      <c r="F14" s="17" t="str">
        <f aca="false">IF(A14="","",E14+D14)</f>
        <v/>
      </c>
      <c r="G14" s="17" t="str">
        <f aca="false">IF(A14="","",IFERROR(INDEX(Inventario!$N$7:$N$46,MATCH(A14,Inventario!$A$7:$A$46,0)),0))</f>
        <v/>
      </c>
      <c r="H14" s="17" t="str">
        <f aca="false">IF(A14="","",F14-G14)</f>
        <v/>
      </c>
      <c r="I14" s="18" t="str">
        <f aca="false">IF(A14="","",IF(N(G14)=0,"Sin lectura",IF(H14&lt;=0,"VENCIDO",IF(H14&lt;=0.1*D14,"Programar","OK"))))</f>
        <v/>
      </c>
    </row>
    <row r="15" customFormat="false" ht="15" hidden="false" customHeight="false" outlineLevel="0" collapsed="false">
      <c r="A15" s="12"/>
      <c r="B15" s="18" t="str">
        <f aca="false">IF(A15="","",IFERROR(INDEX(Inventario!$B$7:$B$46,MATCH(A15,Inventario!$A$7:$A$46,0)),""))</f>
        <v/>
      </c>
      <c r="C15" s="12"/>
      <c r="D15" s="23"/>
      <c r="E15" s="19"/>
      <c r="F15" s="17" t="str">
        <f aca="false">IF(A15="","",E15+D15)</f>
        <v/>
      </c>
      <c r="G15" s="17" t="str">
        <f aca="false">IF(A15="","",IFERROR(INDEX(Inventario!$N$7:$N$46,MATCH(A15,Inventario!$A$7:$A$46,0)),0))</f>
        <v/>
      </c>
      <c r="H15" s="17" t="str">
        <f aca="false">IF(A15="","",F15-G15)</f>
        <v/>
      </c>
      <c r="I15" s="18" t="str">
        <f aca="false">IF(A15="","",IF(N(G15)=0,"Sin lectura",IF(H15&lt;=0,"VENCIDO",IF(H15&lt;=0.1*D15,"Programar","OK"))))</f>
        <v/>
      </c>
    </row>
    <row r="16" customFormat="false" ht="15" hidden="false" customHeight="false" outlineLevel="0" collapsed="false">
      <c r="A16" s="12"/>
      <c r="B16" s="18" t="str">
        <f aca="false">IF(A16="","",IFERROR(INDEX(Inventario!$B$7:$B$46,MATCH(A16,Inventario!$A$7:$A$46,0)),""))</f>
        <v/>
      </c>
      <c r="C16" s="12"/>
      <c r="D16" s="23"/>
      <c r="E16" s="19"/>
      <c r="F16" s="17" t="str">
        <f aca="false">IF(A16="","",E16+D16)</f>
        <v/>
      </c>
      <c r="G16" s="17" t="str">
        <f aca="false">IF(A16="","",IFERROR(INDEX(Inventario!$N$7:$N$46,MATCH(A16,Inventario!$A$7:$A$46,0)),0))</f>
        <v/>
      </c>
      <c r="H16" s="17" t="str">
        <f aca="false">IF(A16="","",F16-G16)</f>
        <v/>
      </c>
      <c r="I16" s="18" t="str">
        <f aca="false">IF(A16="","",IF(N(G16)=0,"Sin lectura",IF(H16&lt;=0,"VENCIDO",IF(H16&lt;=0.1*D16,"Programar","OK"))))</f>
        <v/>
      </c>
    </row>
    <row r="17" customFormat="false" ht="15" hidden="false" customHeight="false" outlineLevel="0" collapsed="false">
      <c r="A17" s="12"/>
      <c r="B17" s="18" t="str">
        <f aca="false">IF(A17="","",IFERROR(INDEX(Inventario!$B$7:$B$46,MATCH(A17,Inventario!$A$7:$A$46,0)),""))</f>
        <v/>
      </c>
      <c r="C17" s="12"/>
      <c r="D17" s="23"/>
      <c r="E17" s="19"/>
      <c r="F17" s="17" t="str">
        <f aca="false">IF(A17="","",E17+D17)</f>
        <v/>
      </c>
      <c r="G17" s="17" t="str">
        <f aca="false">IF(A17="","",IFERROR(INDEX(Inventario!$N$7:$N$46,MATCH(A17,Inventario!$A$7:$A$46,0)),0))</f>
        <v/>
      </c>
      <c r="H17" s="17" t="str">
        <f aca="false">IF(A17="","",F17-G17)</f>
        <v/>
      </c>
      <c r="I17" s="18" t="str">
        <f aca="false">IF(A17="","",IF(N(G17)=0,"Sin lectura",IF(H17&lt;=0,"VENCIDO",IF(H17&lt;=0.1*D17,"Programar","OK"))))</f>
        <v/>
      </c>
    </row>
    <row r="18" customFormat="false" ht="15" hidden="false" customHeight="false" outlineLevel="0" collapsed="false">
      <c r="A18" s="12"/>
      <c r="B18" s="18" t="str">
        <f aca="false">IF(A18="","",IFERROR(INDEX(Inventario!$B$7:$B$46,MATCH(A18,Inventario!$A$7:$A$46,0)),""))</f>
        <v/>
      </c>
      <c r="C18" s="12"/>
      <c r="D18" s="23"/>
      <c r="E18" s="19"/>
      <c r="F18" s="17" t="str">
        <f aca="false">IF(A18="","",E18+D18)</f>
        <v/>
      </c>
      <c r="G18" s="17" t="str">
        <f aca="false">IF(A18="","",IFERROR(INDEX(Inventario!$N$7:$N$46,MATCH(A18,Inventario!$A$7:$A$46,0)),0))</f>
        <v/>
      </c>
      <c r="H18" s="17" t="str">
        <f aca="false">IF(A18="","",F18-G18)</f>
        <v/>
      </c>
      <c r="I18" s="18" t="str">
        <f aca="false">IF(A18="","",IF(N(G18)=0,"Sin lectura",IF(H18&lt;=0,"VENCIDO",IF(H18&lt;=0.1*D18,"Programar","OK"))))</f>
        <v/>
      </c>
    </row>
    <row r="19" customFormat="false" ht="15" hidden="false" customHeight="false" outlineLevel="0" collapsed="false">
      <c r="A19" s="12"/>
      <c r="B19" s="18" t="str">
        <f aca="false">IF(A19="","",IFERROR(INDEX(Inventario!$B$7:$B$46,MATCH(A19,Inventario!$A$7:$A$46,0)),""))</f>
        <v/>
      </c>
      <c r="C19" s="12"/>
      <c r="D19" s="23"/>
      <c r="E19" s="19"/>
      <c r="F19" s="17" t="str">
        <f aca="false">IF(A19="","",E19+D19)</f>
        <v/>
      </c>
      <c r="G19" s="17" t="str">
        <f aca="false">IF(A19="","",IFERROR(INDEX(Inventario!$N$7:$N$46,MATCH(A19,Inventario!$A$7:$A$46,0)),0))</f>
        <v/>
      </c>
      <c r="H19" s="17" t="str">
        <f aca="false">IF(A19="","",F19-G19)</f>
        <v/>
      </c>
      <c r="I19" s="18" t="str">
        <f aca="false">IF(A19="","",IF(N(G19)=0,"Sin lectura",IF(H19&lt;=0,"VENCIDO",IF(H19&lt;=0.1*D19,"Programar","OK"))))</f>
        <v/>
      </c>
    </row>
    <row r="20" customFormat="false" ht="15" hidden="false" customHeight="false" outlineLevel="0" collapsed="false">
      <c r="A20" s="12"/>
      <c r="B20" s="18" t="str">
        <f aca="false">IF(A20="","",IFERROR(INDEX(Inventario!$B$7:$B$46,MATCH(A20,Inventario!$A$7:$A$46,0)),""))</f>
        <v/>
      </c>
      <c r="C20" s="12"/>
      <c r="D20" s="23"/>
      <c r="E20" s="19"/>
      <c r="F20" s="17" t="str">
        <f aca="false">IF(A20="","",E20+D20)</f>
        <v/>
      </c>
      <c r="G20" s="17" t="str">
        <f aca="false">IF(A20="","",IFERROR(INDEX(Inventario!$N$7:$N$46,MATCH(A20,Inventario!$A$7:$A$46,0)),0))</f>
        <v/>
      </c>
      <c r="H20" s="17" t="str">
        <f aca="false">IF(A20="","",F20-G20)</f>
        <v/>
      </c>
      <c r="I20" s="18" t="str">
        <f aca="false">IF(A20="","",IF(N(G20)=0,"Sin lectura",IF(H20&lt;=0,"VENCIDO",IF(H20&lt;=0.1*D20,"Programar","OK"))))</f>
        <v/>
      </c>
    </row>
    <row r="21" customFormat="false" ht="15" hidden="false" customHeight="false" outlineLevel="0" collapsed="false">
      <c r="A21" s="12"/>
      <c r="B21" s="18" t="str">
        <f aca="false">IF(A21="","",IFERROR(INDEX(Inventario!$B$7:$B$46,MATCH(A21,Inventario!$A$7:$A$46,0)),""))</f>
        <v/>
      </c>
      <c r="C21" s="12"/>
      <c r="D21" s="23"/>
      <c r="E21" s="19"/>
      <c r="F21" s="17" t="str">
        <f aca="false">IF(A21="","",E21+D21)</f>
        <v/>
      </c>
      <c r="G21" s="17" t="str">
        <f aca="false">IF(A21="","",IFERROR(INDEX(Inventario!$N$7:$N$46,MATCH(A21,Inventario!$A$7:$A$46,0)),0))</f>
        <v/>
      </c>
      <c r="H21" s="17" t="str">
        <f aca="false">IF(A21="","",F21-G21)</f>
        <v/>
      </c>
      <c r="I21" s="18" t="str">
        <f aca="false">IF(A21="","",IF(N(G21)=0,"Sin lectura",IF(H21&lt;=0,"VENCIDO",IF(H21&lt;=0.1*D21,"Programar","OK"))))</f>
        <v/>
      </c>
    </row>
    <row r="22" customFormat="false" ht="15" hidden="false" customHeight="false" outlineLevel="0" collapsed="false">
      <c r="A22" s="12"/>
      <c r="B22" s="18" t="str">
        <f aca="false">IF(A22="","",IFERROR(INDEX(Inventario!$B$7:$B$46,MATCH(A22,Inventario!$A$7:$A$46,0)),""))</f>
        <v/>
      </c>
      <c r="C22" s="12"/>
      <c r="D22" s="23"/>
      <c r="E22" s="19"/>
      <c r="F22" s="17" t="str">
        <f aca="false">IF(A22="","",E22+D22)</f>
        <v/>
      </c>
      <c r="G22" s="17" t="str">
        <f aca="false">IF(A22="","",IFERROR(INDEX(Inventario!$N$7:$N$46,MATCH(A22,Inventario!$A$7:$A$46,0)),0))</f>
        <v/>
      </c>
      <c r="H22" s="17" t="str">
        <f aca="false">IF(A22="","",F22-G22)</f>
        <v/>
      </c>
      <c r="I22" s="18" t="str">
        <f aca="false">IF(A22="","",IF(N(G22)=0,"Sin lectura",IF(H22&lt;=0,"VENCIDO",IF(H22&lt;=0.1*D22,"Programar","OK"))))</f>
        <v/>
      </c>
    </row>
    <row r="23" customFormat="false" ht="15" hidden="false" customHeight="false" outlineLevel="0" collapsed="false">
      <c r="A23" s="12"/>
      <c r="B23" s="18" t="str">
        <f aca="false">IF(A23="","",IFERROR(INDEX(Inventario!$B$7:$B$46,MATCH(A23,Inventario!$A$7:$A$46,0)),""))</f>
        <v/>
      </c>
      <c r="C23" s="12"/>
      <c r="D23" s="23"/>
      <c r="E23" s="19"/>
      <c r="F23" s="17" t="str">
        <f aca="false">IF(A23="","",E23+D23)</f>
        <v/>
      </c>
      <c r="G23" s="17" t="str">
        <f aca="false">IF(A23="","",IFERROR(INDEX(Inventario!$N$7:$N$46,MATCH(A23,Inventario!$A$7:$A$46,0)),0))</f>
        <v/>
      </c>
      <c r="H23" s="17" t="str">
        <f aca="false">IF(A23="","",F23-G23)</f>
        <v/>
      </c>
      <c r="I23" s="18" t="str">
        <f aca="false">IF(A23="","",IF(N(G23)=0,"Sin lectura",IF(H23&lt;=0,"VENCIDO",IF(H23&lt;=0.1*D23,"Programar","OK"))))</f>
        <v/>
      </c>
    </row>
    <row r="24" customFormat="false" ht="15" hidden="false" customHeight="false" outlineLevel="0" collapsed="false">
      <c r="A24" s="12"/>
      <c r="B24" s="18" t="str">
        <f aca="false">IF(A24="","",IFERROR(INDEX(Inventario!$B$7:$B$46,MATCH(A24,Inventario!$A$7:$A$46,0)),""))</f>
        <v/>
      </c>
      <c r="C24" s="12"/>
      <c r="D24" s="23"/>
      <c r="E24" s="19"/>
      <c r="F24" s="17" t="str">
        <f aca="false">IF(A24="","",E24+D24)</f>
        <v/>
      </c>
      <c r="G24" s="17" t="str">
        <f aca="false">IF(A24="","",IFERROR(INDEX(Inventario!$N$7:$N$46,MATCH(A24,Inventario!$A$7:$A$46,0)),0))</f>
        <v/>
      </c>
      <c r="H24" s="17" t="str">
        <f aca="false">IF(A24="","",F24-G24)</f>
        <v/>
      </c>
      <c r="I24" s="18" t="str">
        <f aca="false">IF(A24="","",IF(N(G24)=0,"Sin lectura",IF(H24&lt;=0,"VENCIDO",IF(H24&lt;=0.1*D24,"Programar","OK"))))</f>
        <v/>
      </c>
    </row>
    <row r="25" customFormat="false" ht="15" hidden="false" customHeight="false" outlineLevel="0" collapsed="false">
      <c r="A25" s="12"/>
      <c r="B25" s="18" t="str">
        <f aca="false">IF(A25="","",IFERROR(INDEX(Inventario!$B$7:$B$46,MATCH(A25,Inventario!$A$7:$A$46,0)),""))</f>
        <v/>
      </c>
      <c r="C25" s="12"/>
      <c r="D25" s="23"/>
      <c r="E25" s="19"/>
      <c r="F25" s="17" t="str">
        <f aca="false">IF(A25="","",E25+D25)</f>
        <v/>
      </c>
      <c r="G25" s="17" t="str">
        <f aca="false">IF(A25="","",IFERROR(INDEX(Inventario!$N$7:$N$46,MATCH(A25,Inventario!$A$7:$A$46,0)),0))</f>
        <v/>
      </c>
      <c r="H25" s="17" t="str">
        <f aca="false">IF(A25="","",F25-G25)</f>
        <v/>
      </c>
      <c r="I25" s="18" t="str">
        <f aca="false">IF(A25="","",IF(N(G25)=0,"Sin lectura",IF(H25&lt;=0,"VENCIDO",IF(H25&lt;=0.1*D25,"Programar","OK"))))</f>
        <v/>
      </c>
    </row>
    <row r="26" customFormat="false" ht="15" hidden="false" customHeight="false" outlineLevel="0" collapsed="false">
      <c r="A26" s="12"/>
      <c r="B26" s="18" t="str">
        <f aca="false">IF(A26="","",IFERROR(INDEX(Inventario!$B$7:$B$46,MATCH(A26,Inventario!$A$7:$A$46,0)),""))</f>
        <v/>
      </c>
      <c r="C26" s="12"/>
      <c r="D26" s="23"/>
      <c r="E26" s="19"/>
      <c r="F26" s="17" t="str">
        <f aca="false">IF(A26="","",E26+D26)</f>
        <v/>
      </c>
      <c r="G26" s="17" t="str">
        <f aca="false">IF(A26="","",IFERROR(INDEX(Inventario!$N$7:$N$46,MATCH(A26,Inventario!$A$7:$A$46,0)),0))</f>
        <v/>
      </c>
      <c r="H26" s="17" t="str">
        <f aca="false">IF(A26="","",F26-G26)</f>
        <v/>
      </c>
      <c r="I26" s="18" t="str">
        <f aca="false">IF(A26="","",IF(N(G26)=0,"Sin lectura",IF(H26&lt;=0,"VENCIDO",IF(H26&lt;=0.1*D26,"Programar","OK"))))</f>
        <v/>
      </c>
    </row>
    <row r="27" customFormat="false" ht="15" hidden="false" customHeight="false" outlineLevel="0" collapsed="false">
      <c r="A27" s="12"/>
      <c r="B27" s="18" t="str">
        <f aca="false">IF(A27="","",IFERROR(INDEX(Inventario!$B$7:$B$46,MATCH(A27,Inventario!$A$7:$A$46,0)),""))</f>
        <v/>
      </c>
      <c r="C27" s="12"/>
      <c r="D27" s="23"/>
      <c r="E27" s="19"/>
      <c r="F27" s="17" t="str">
        <f aca="false">IF(A27="","",E27+D27)</f>
        <v/>
      </c>
      <c r="G27" s="17" t="str">
        <f aca="false">IF(A27="","",IFERROR(INDEX(Inventario!$N$7:$N$46,MATCH(A27,Inventario!$A$7:$A$46,0)),0))</f>
        <v/>
      </c>
      <c r="H27" s="17" t="str">
        <f aca="false">IF(A27="","",F27-G27)</f>
        <v/>
      </c>
      <c r="I27" s="18" t="str">
        <f aca="false">IF(A27="","",IF(N(G27)=0,"Sin lectura",IF(H27&lt;=0,"VENCIDO",IF(H27&lt;=0.1*D27,"Programar","OK"))))</f>
        <v/>
      </c>
    </row>
    <row r="28" customFormat="false" ht="15" hidden="false" customHeight="false" outlineLevel="0" collapsed="false">
      <c r="A28" s="12"/>
      <c r="B28" s="18" t="str">
        <f aca="false">IF(A28="","",IFERROR(INDEX(Inventario!$B$7:$B$46,MATCH(A28,Inventario!$A$7:$A$46,0)),""))</f>
        <v/>
      </c>
      <c r="C28" s="12"/>
      <c r="D28" s="23"/>
      <c r="E28" s="19"/>
      <c r="F28" s="17" t="str">
        <f aca="false">IF(A28="","",E28+D28)</f>
        <v/>
      </c>
      <c r="G28" s="17" t="str">
        <f aca="false">IF(A28="","",IFERROR(INDEX(Inventario!$N$7:$N$46,MATCH(A28,Inventario!$A$7:$A$46,0)),0))</f>
        <v/>
      </c>
      <c r="H28" s="17" t="str">
        <f aca="false">IF(A28="","",F28-G28)</f>
        <v/>
      </c>
      <c r="I28" s="18" t="str">
        <f aca="false">IF(A28="","",IF(N(G28)=0,"Sin lectura",IF(H28&lt;=0,"VENCIDO",IF(H28&lt;=0.1*D28,"Programar","OK"))))</f>
        <v/>
      </c>
    </row>
    <row r="29" customFormat="false" ht="15" hidden="false" customHeight="false" outlineLevel="0" collapsed="false">
      <c r="A29" s="12"/>
      <c r="B29" s="18" t="str">
        <f aca="false">IF(A29="","",IFERROR(INDEX(Inventario!$B$7:$B$46,MATCH(A29,Inventario!$A$7:$A$46,0)),""))</f>
        <v/>
      </c>
      <c r="C29" s="12"/>
      <c r="D29" s="23"/>
      <c r="E29" s="19"/>
      <c r="F29" s="17" t="str">
        <f aca="false">IF(A29="","",E29+D29)</f>
        <v/>
      </c>
      <c r="G29" s="17" t="str">
        <f aca="false">IF(A29="","",IFERROR(INDEX(Inventario!$N$7:$N$46,MATCH(A29,Inventario!$A$7:$A$46,0)),0))</f>
        <v/>
      </c>
      <c r="H29" s="17" t="str">
        <f aca="false">IF(A29="","",F29-G29)</f>
        <v/>
      </c>
      <c r="I29" s="18" t="str">
        <f aca="false">IF(A29="","",IF(N(G29)=0,"Sin lectura",IF(H29&lt;=0,"VENCIDO",IF(H29&lt;=0.1*D29,"Programar","OK"))))</f>
        <v/>
      </c>
    </row>
    <row r="30" customFormat="false" ht="15" hidden="false" customHeight="false" outlineLevel="0" collapsed="false">
      <c r="A30" s="12"/>
      <c r="B30" s="18" t="str">
        <f aca="false">IF(A30="","",IFERROR(INDEX(Inventario!$B$7:$B$46,MATCH(A30,Inventario!$A$7:$A$46,0)),""))</f>
        <v/>
      </c>
      <c r="C30" s="12"/>
      <c r="D30" s="23"/>
      <c r="E30" s="19"/>
      <c r="F30" s="17" t="str">
        <f aca="false">IF(A30="","",E30+D30)</f>
        <v/>
      </c>
      <c r="G30" s="17" t="str">
        <f aca="false">IF(A30="","",IFERROR(INDEX(Inventario!$N$7:$N$46,MATCH(A30,Inventario!$A$7:$A$46,0)),0))</f>
        <v/>
      </c>
      <c r="H30" s="17" t="str">
        <f aca="false">IF(A30="","",F30-G30)</f>
        <v/>
      </c>
      <c r="I30" s="18" t="str">
        <f aca="false">IF(A30="","",IF(N(G30)=0,"Sin lectura",IF(H30&lt;=0,"VENCIDO",IF(H30&lt;=0.1*D30,"Programar","OK"))))</f>
        <v/>
      </c>
    </row>
    <row r="31" customFormat="false" ht="15" hidden="false" customHeight="false" outlineLevel="0" collapsed="false">
      <c r="A31" s="12"/>
      <c r="B31" s="18" t="str">
        <f aca="false">IF(A31="","",IFERROR(INDEX(Inventario!$B$7:$B$46,MATCH(A31,Inventario!$A$7:$A$46,0)),""))</f>
        <v/>
      </c>
      <c r="C31" s="12"/>
      <c r="D31" s="23"/>
      <c r="E31" s="19"/>
      <c r="F31" s="17" t="str">
        <f aca="false">IF(A31="","",E31+D31)</f>
        <v/>
      </c>
      <c r="G31" s="17" t="str">
        <f aca="false">IF(A31="","",IFERROR(INDEX(Inventario!$N$7:$N$46,MATCH(A31,Inventario!$A$7:$A$46,0)),0))</f>
        <v/>
      </c>
      <c r="H31" s="17" t="str">
        <f aca="false">IF(A31="","",F31-G31)</f>
        <v/>
      </c>
      <c r="I31" s="18" t="str">
        <f aca="false">IF(A31="","",IF(N(G31)=0,"Sin lectura",IF(H31&lt;=0,"VENCIDO",IF(H31&lt;=0.1*D31,"Programar","OK"))))</f>
        <v/>
      </c>
    </row>
    <row r="32" customFormat="false" ht="15" hidden="false" customHeight="false" outlineLevel="0" collapsed="false">
      <c r="A32" s="12"/>
      <c r="B32" s="18" t="str">
        <f aca="false">IF(A32="","",IFERROR(INDEX(Inventario!$B$7:$B$46,MATCH(A32,Inventario!$A$7:$A$46,0)),""))</f>
        <v/>
      </c>
      <c r="C32" s="12"/>
      <c r="D32" s="23"/>
      <c r="E32" s="19"/>
      <c r="F32" s="17" t="str">
        <f aca="false">IF(A32="","",E32+D32)</f>
        <v/>
      </c>
      <c r="G32" s="17" t="str">
        <f aca="false">IF(A32="","",IFERROR(INDEX(Inventario!$N$7:$N$46,MATCH(A32,Inventario!$A$7:$A$46,0)),0))</f>
        <v/>
      </c>
      <c r="H32" s="17" t="str">
        <f aca="false">IF(A32="","",F32-G32)</f>
        <v/>
      </c>
      <c r="I32" s="18" t="str">
        <f aca="false">IF(A32="","",IF(N(G32)=0,"Sin lectura",IF(H32&lt;=0,"VENCIDO",IF(H32&lt;=0.1*D32,"Programar","OK"))))</f>
        <v/>
      </c>
    </row>
    <row r="33" customFormat="false" ht="15" hidden="false" customHeight="false" outlineLevel="0" collapsed="false">
      <c r="A33" s="12"/>
      <c r="B33" s="18" t="str">
        <f aca="false">IF(A33="","",IFERROR(INDEX(Inventario!$B$7:$B$46,MATCH(A33,Inventario!$A$7:$A$46,0)),""))</f>
        <v/>
      </c>
      <c r="C33" s="12"/>
      <c r="D33" s="23"/>
      <c r="E33" s="19"/>
      <c r="F33" s="17" t="str">
        <f aca="false">IF(A33="","",E33+D33)</f>
        <v/>
      </c>
      <c r="G33" s="17" t="str">
        <f aca="false">IF(A33="","",IFERROR(INDEX(Inventario!$N$7:$N$46,MATCH(A33,Inventario!$A$7:$A$46,0)),0))</f>
        <v/>
      </c>
      <c r="H33" s="17" t="str">
        <f aca="false">IF(A33="","",F33-G33)</f>
        <v/>
      </c>
      <c r="I33" s="18" t="str">
        <f aca="false">IF(A33="","",IF(N(G33)=0,"Sin lectura",IF(H33&lt;=0,"VENCIDO",IF(H33&lt;=0.1*D33,"Programar","OK"))))</f>
        <v/>
      </c>
    </row>
    <row r="34" customFormat="false" ht="15" hidden="false" customHeight="false" outlineLevel="0" collapsed="false">
      <c r="A34" s="12"/>
      <c r="B34" s="18" t="str">
        <f aca="false">IF(A34="","",IFERROR(INDEX(Inventario!$B$7:$B$46,MATCH(A34,Inventario!$A$7:$A$46,0)),""))</f>
        <v/>
      </c>
      <c r="C34" s="12"/>
      <c r="D34" s="23"/>
      <c r="E34" s="19"/>
      <c r="F34" s="17" t="str">
        <f aca="false">IF(A34="","",E34+D34)</f>
        <v/>
      </c>
      <c r="G34" s="17" t="str">
        <f aca="false">IF(A34="","",IFERROR(INDEX(Inventario!$N$7:$N$46,MATCH(A34,Inventario!$A$7:$A$46,0)),0))</f>
        <v/>
      </c>
      <c r="H34" s="17" t="str">
        <f aca="false">IF(A34="","",F34-G34)</f>
        <v/>
      </c>
      <c r="I34" s="18" t="str">
        <f aca="false">IF(A34="","",IF(N(G34)=0,"Sin lectura",IF(H34&lt;=0,"VENCIDO",IF(H34&lt;=0.1*D34,"Programar","OK"))))</f>
        <v/>
      </c>
    </row>
    <row r="35" customFormat="false" ht="15" hidden="false" customHeight="false" outlineLevel="0" collapsed="false">
      <c r="A35" s="12"/>
      <c r="B35" s="18" t="str">
        <f aca="false">IF(A35="","",IFERROR(INDEX(Inventario!$B$7:$B$46,MATCH(A35,Inventario!$A$7:$A$46,0)),""))</f>
        <v/>
      </c>
      <c r="C35" s="12"/>
      <c r="D35" s="23"/>
      <c r="E35" s="19"/>
      <c r="F35" s="17" t="str">
        <f aca="false">IF(A35="","",E35+D35)</f>
        <v/>
      </c>
      <c r="G35" s="17" t="str">
        <f aca="false">IF(A35="","",IFERROR(INDEX(Inventario!$N$7:$N$46,MATCH(A35,Inventario!$A$7:$A$46,0)),0))</f>
        <v/>
      </c>
      <c r="H35" s="17" t="str">
        <f aca="false">IF(A35="","",F35-G35)</f>
        <v/>
      </c>
      <c r="I35" s="18" t="str">
        <f aca="false">IF(A35="","",IF(N(G35)=0,"Sin lectura",IF(H35&lt;=0,"VENCIDO",IF(H35&lt;=0.1*D35,"Programar","OK"))))</f>
        <v/>
      </c>
    </row>
    <row r="36" customFormat="false" ht="15" hidden="false" customHeight="false" outlineLevel="0" collapsed="false">
      <c r="A36" s="12"/>
      <c r="B36" s="18" t="str">
        <f aca="false">IF(A36="","",IFERROR(INDEX(Inventario!$B$7:$B$46,MATCH(A36,Inventario!$A$7:$A$46,0)),""))</f>
        <v/>
      </c>
      <c r="C36" s="12"/>
      <c r="D36" s="23"/>
      <c r="E36" s="19"/>
      <c r="F36" s="17" t="str">
        <f aca="false">IF(A36="","",E36+D36)</f>
        <v/>
      </c>
      <c r="G36" s="17" t="str">
        <f aca="false">IF(A36="","",IFERROR(INDEX(Inventario!$N$7:$N$46,MATCH(A36,Inventario!$A$7:$A$46,0)),0))</f>
        <v/>
      </c>
      <c r="H36" s="17" t="str">
        <f aca="false">IF(A36="","",F36-G36)</f>
        <v/>
      </c>
      <c r="I36" s="18" t="str">
        <f aca="false">IF(A36="","",IF(N(G36)=0,"Sin lectura",IF(H36&lt;=0,"VENCIDO",IF(H36&lt;=0.1*D36,"Programar","OK"))))</f>
        <v/>
      </c>
    </row>
    <row r="37" customFormat="false" ht="15" hidden="false" customHeight="false" outlineLevel="0" collapsed="false">
      <c r="A37" s="12"/>
      <c r="B37" s="18" t="str">
        <f aca="false">IF(A37="","",IFERROR(INDEX(Inventario!$B$7:$B$46,MATCH(A37,Inventario!$A$7:$A$46,0)),""))</f>
        <v/>
      </c>
      <c r="C37" s="12"/>
      <c r="D37" s="23"/>
      <c r="E37" s="19"/>
      <c r="F37" s="17" t="str">
        <f aca="false">IF(A37="","",E37+D37)</f>
        <v/>
      </c>
      <c r="G37" s="17" t="str">
        <f aca="false">IF(A37="","",IFERROR(INDEX(Inventario!$N$7:$N$46,MATCH(A37,Inventario!$A$7:$A$46,0)),0))</f>
        <v/>
      </c>
      <c r="H37" s="17" t="str">
        <f aca="false">IF(A37="","",F37-G37)</f>
        <v/>
      </c>
      <c r="I37" s="18" t="str">
        <f aca="false">IF(A37="","",IF(N(G37)=0,"Sin lectura",IF(H37&lt;=0,"VENCIDO",IF(H37&lt;=0.1*D37,"Programar","OK"))))</f>
        <v/>
      </c>
    </row>
    <row r="38" customFormat="false" ht="15" hidden="false" customHeight="false" outlineLevel="0" collapsed="false">
      <c r="A38" s="12"/>
      <c r="B38" s="18" t="str">
        <f aca="false">IF(A38="","",IFERROR(INDEX(Inventario!$B$7:$B$46,MATCH(A38,Inventario!$A$7:$A$46,0)),""))</f>
        <v/>
      </c>
      <c r="C38" s="12"/>
      <c r="D38" s="23"/>
      <c r="E38" s="19"/>
      <c r="F38" s="17" t="str">
        <f aca="false">IF(A38="","",E38+D38)</f>
        <v/>
      </c>
      <c r="G38" s="17" t="str">
        <f aca="false">IF(A38="","",IFERROR(INDEX(Inventario!$N$7:$N$46,MATCH(A38,Inventario!$A$7:$A$46,0)),0))</f>
        <v/>
      </c>
      <c r="H38" s="17" t="str">
        <f aca="false">IF(A38="","",F38-G38)</f>
        <v/>
      </c>
      <c r="I38" s="18" t="str">
        <f aca="false">IF(A38="","",IF(N(G38)=0,"Sin lectura",IF(H38&lt;=0,"VENCIDO",IF(H38&lt;=0.1*D38,"Programar","OK"))))</f>
        <v/>
      </c>
    </row>
    <row r="39" customFormat="false" ht="15" hidden="false" customHeight="false" outlineLevel="0" collapsed="false">
      <c r="A39" s="12"/>
      <c r="B39" s="18" t="str">
        <f aca="false">IF(A39="","",IFERROR(INDEX(Inventario!$B$7:$B$46,MATCH(A39,Inventario!$A$7:$A$46,0)),""))</f>
        <v/>
      </c>
      <c r="C39" s="12"/>
      <c r="D39" s="23"/>
      <c r="E39" s="19"/>
      <c r="F39" s="17" t="str">
        <f aca="false">IF(A39="","",E39+D39)</f>
        <v/>
      </c>
      <c r="G39" s="17" t="str">
        <f aca="false">IF(A39="","",IFERROR(INDEX(Inventario!$N$7:$N$46,MATCH(A39,Inventario!$A$7:$A$46,0)),0))</f>
        <v/>
      </c>
      <c r="H39" s="17" t="str">
        <f aca="false">IF(A39="","",F39-G39)</f>
        <v/>
      </c>
      <c r="I39" s="18" t="str">
        <f aca="false">IF(A39="","",IF(N(G39)=0,"Sin lectura",IF(H39&lt;=0,"VENCIDO",IF(H39&lt;=0.1*D39,"Programar","OK"))))</f>
        <v/>
      </c>
    </row>
    <row r="40" customFormat="false" ht="15" hidden="false" customHeight="false" outlineLevel="0" collapsed="false">
      <c r="A40" s="12"/>
      <c r="B40" s="18" t="str">
        <f aca="false">IF(A40="","",IFERROR(INDEX(Inventario!$B$7:$B$46,MATCH(A40,Inventario!$A$7:$A$46,0)),""))</f>
        <v/>
      </c>
      <c r="C40" s="12"/>
      <c r="D40" s="23"/>
      <c r="E40" s="19"/>
      <c r="F40" s="17" t="str">
        <f aca="false">IF(A40="","",E40+D40)</f>
        <v/>
      </c>
      <c r="G40" s="17" t="str">
        <f aca="false">IF(A40="","",IFERROR(INDEX(Inventario!$N$7:$N$46,MATCH(A40,Inventario!$A$7:$A$46,0)),0))</f>
        <v/>
      </c>
      <c r="H40" s="17" t="str">
        <f aca="false">IF(A40="","",F40-G40)</f>
        <v/>
      </c>
      <c r="I40" s="18" t="str">
        <f aca="false">IF(A40="","",IF(N(G40)=0,"Sin lectura",IF(H40&lt;=0,"VENCIDO",IF(H40&lt;=0.1*D40,"Programar","OK"))))</f>
        <v/>
      </c>
    </row>
    <row r="41" customFormat="false" ht="15" hidden="false" customHeight="false" outlineLevel="0" collapsed="false">
      <c r="A41" s="12"/>
      <c r="B41" s="18" t="str">
        <f aca="false">IF(A41="","",IFERROR(INDEX(Inventario!$B$7:$B$46,MATCH(A41,Inventario!$A$7:$A$46,0)),""))</f>
        <v/>
      </c>
      <c r="C41" s="12"/>
      <c r="D41" s="23"/>
      <c r="E41" s="19"/>
      <c r="F41" s="17" t="str">
        <f aca="false">IF(A41="","",E41+D41)</f>
        <v/>
      </c>
      <c r="G41" s="17" t="str">
        <f aca="false">IF(A41="","",IFERROR(INDEX(Inventario!$N$7:$N$46,MATCH(A41,Inventario!$A$7:$A$46,0)),0))</f>
        <v/>
      </c>
      <c r="H41" s="17" t="str">
        <f aca="false">IF(A41="","",F41-G41)</f>
        <v/>
      </c>
      <c r="I41" s="18" t="str">
        <f aca="false">IF(A41="","",IF(N(G41)=0,"Sin lectura",IF(H41&lt;=0,"VENCIDO",IF(H41&lt;=0.1*D41,"Programar","OK"))))</f>
        <v/>
      </c>
    </row>
    <row r="42" customFormat="false" ht="15" hidden="false" customHeight="false" outlineLevel="0" collapsed="false">
      <c r="A42" s="12"/>
      <c r="B42" s="18" t="str">
        <f aca="false">IF(A42="","",IFERROR(INDEX(Inventario!$B$7:$B$46,MATCH(A42,Inventario!$A$7:$A$46,0)),""))</f>
        <v/>
      </c>
      <c r="C42" s="12"/>
      <c r="D42" s="23"/>
      <c r="E42" s="19"/>
      <c r="F42" s="17" t="str">
        <f aca="false">IF(A42="","",E42+D42)</f>
        <v/>
      </c>
      <c r="G42" s="17" t="str">
        <f aca="false">IF(A42="","",IFERROR(INDEX(Inventario!$N$7:$N$46,MATCH(A42,Inventario!$A$7:$A$46,0)),0))</f>
        <v/>
      </c>
      <c r="H42" s="17" t="str">
        <f aca="false">IF(A42="","",F42-G42)</f>
        <v/>
      </c>
      <c r="I42" s="18" t="str">
        <f aca="false">IF(A42="","",IF(N(G42)=0,"Sin lectura",IF(H42&lt;=0,"VENCIDO",IF(H42&lt;=0.1*D42,"Programar","OK"))))</f>
        <v/>
      </c>
    </row>
    <row r="43" customFormat="false" ht="15" hidden="false" customHeight="false" outlineLevel="0" collapsed="false">
      <c r="A43" s="12"/>
      <c r="B43" s="18" t="str">
        <f aca="false">IF(A43="","",IFERROR(INDEX(Inventario!$B$7:$B$46,MATCH(A43,Inventario!$A$7:$A$46,0)),""))</f>
        <v/>
      </c>
      <c r="C43" s="12"/>
      <c r="D43" s="23"/>
      <c r="E43" s="19"/>
      <c r="F43" s="17" t="str">
        <f aca="false">IF(A43="","",E43+D43)</f>
        <v/>
      </c>
      <c r="G43" s="17" t="str">
        <f aca="false">IF(A43="","",IFERROR(INDEX(Inventario!$N$7:$N$46,MATCH(A43,Inventario!$A$7:$A$46,0)),0))</f>
        <v/>
      </c>
      <c r="H43" s="17" t="str">
        <f aca="false">IF(A43="","",F43-G43)</f>
        <v/>
      </c>
      <c r="I43" s="18" t="str">
        <f aca="false">IF(A43="","",IF(N(G43)=0,"Sin lectura",IF(H43&lt;=0,"VENCIDO",IF(H43&lt;=0.1*D43,"Programar","OK"))))</f>
        <v/>
      </c>
    </row>
    <row r="44" customFormat="false" ht="15" hidden="false" customHeight="false" outlineLevel="0" collapsed="false">
      <c r="A44" s="12"/>
      <c r="B44" s="18" t="str">
        <f aca="false">IF(A44="","",IFERROR(INDEX(Inventario!$B$7:$B$46,MATCH(A44,Inventario!$A$7:$A$46,0)),""))</f>
        <v/>
      </c>
      <c r="C44" s="12"/>
      <c r="D44" s="23"/>
      <c r="E44" s="19"/>
      <c r="F44" s="17" t="str">
        <f aca="false">IF(A44="","",E44+D44)</f>
        <v/>
      </c>
      <c r="G44" s="17" t="str">
        <f aca="false">IF(A44="","",IFERROR(INDEX(Inventario!$N$7:$N$46,MATCH(A44,Inventario!$A$7:$A$46,0)),0))</f>
        <v/>
      </c>
      <c r="H44" s="17" t="str">
        <f aca="false">IF(A44="","",F44-G44)</f>
        <v/>
      </c>
      <c r="I44" s="18" t="str">
        <f aca="false">IF(A44="","",IF(N(G44)=0,"Sin lectura",IF(H44&lt;=0,"VENCIDO",IF(H44&lt;=0.1*D44,"Programar","OK"))))</f>
        <v/>
      </c>
    </row>
    <row r="45" customFormat="false" ht="15" hidden="false" customHeight="false" outlineLevel="0" collapsed="false">
      <c r="A45" s="12"/>
      <c r="B45" s="18" t="str">
        <f aca="false">IF(A45="","",IFERROR(INDEX(Inventario!$B$7:$B$46,MATCH(A45,Inventario!$A$7:$A$46,0)),""))</f>
        <v/>
      </c>
      <c r="C45" s="12"/>
      <c r="D45" s="23"/>
      <c r="E45" s="19"/>
      <c r="F45" s="17" t="str">
        <f aca="false">IF(A45="","",E45+D45)</f>
        <v/>
      </c>
      <c r="G45" s="17" t="str">
        <f aca="false">IF(A45="","",IFERROR(INDEX(Inventario!$N$7:$N$46,MATCH(A45,Inventario!$A$7:$A$46,0)),0))</f>
        <v/>
      </c>
      <c r="H45" s="17" t="str">
        <f aca="false">IF(A45="","",F45-G45)</f>
        <v/>
      </c>
      <c r="I45" s="18" t="str">
        <f aca="false">IF(A45="","",IF(N(G45)=0,"Sin lectura",IF(H45&lt;=0,"VENCIDO",IF(H45&lt;=0.1*D45,"Programar","OK"))))</f>
        <v/>
      </c>
    </row>
    <row r="46" customFormat="false" ht="15" hidden="false" customHeight="false" outlineLevel="0" collapsed="false">
      <c r="A46" s="12"/>
      <c r="B46" s="18" t="str">
        <f aca="false">IF(A46="","",IFERROR(INDEX(Inventario!$B$7:$B$46,MATCH(A46,Inventario!$A$7:$A$46,0)),""))</f>
        <v/>
      </c>
      <c r="C46" s="12"/>
      <c r="D46" s="23"/>
      <c r="E46" s="19"/>
      <c r="F46" s="17" t="str">
        <f aca="false">IF(A46="","",E46+D46)</f>
        <v/>
      </c>
      <c r="G46" s="17" t="str">
        <f aca="false">IF(A46="","",IFERROR(INDEX(Inventario!$N$7:$N$46,MATCH(A46,Inventario!$A$7:$A$46,0)),0))</f>
        <v/>
      </c>
      <c r="H46" s="17" t="str">
        <f aca="false">IF(A46="","",F46-G46)</f>
        <v/>
      </c>
      <c r="I46" s="18" t="str">
        <f aca="false">IF(A46="","",IF(N(G46)=0,"Sin lectura",IF(H46&lt;=0,"VENCIDO",IF(H46&lt;=0.1*D46,"Programar","OK"))))</f>
        <v/>
      </c>
    </row>
    <row r="47" customFormat="false" ht="15" hidden="false" customHeight="false" outlineLevel="0" collapsed="false">
      <c r="A47" s="12"/>
      <c r="B47" s="18" t="str">
        <f aca="false">IF(A47="","",IFERROR(INDEX(Inventario!$B$7:$B$46,MATCH(A47,Inventario!$A$7:$A$46,0)),""))</f>
        <v/>
      </c>
      <c r="C47" s="12"/>
      <c r="D47" s="23"/>
      <c r="E47" s="19"/>
      <c r="F47" s="17" t="str">
        <f aca="false">IF(A47="","",E47+D47)</f>
        <v/>
      </c>
      <c r="G47" s="17" t="str">
        <f aca="false">IF(A47="","",IFERROR(INDEX(Inventario!$N$7:$N$46,MATCH(A47,Inventario!$A$7:$A$46,0)),0))</f>
        <v/>
      </c>
      <c r="H47" s="17" t="str">
        <f aca="false">IF(A47="","",F47-G47)</f>
        <v/>
      </c>
      <c r="I47" s="18" t="str">
        <f aca="false">IF(A47="","",IF(N(G47)=0,"Sin lectura",IF(H47&lt;=0,"VENCIDO",IF(H47&lt;=0.1*D47,"Programar","OK"))))</f>
        <v/>
      </c>
    </row>
    <row r="48" customFormat="false" ht="15" hidden="false" customHeight="false" outlineLevel="0" collapsed="false">
      <c r="A48" s="12"/>
      <c r="B48" s="18" t="str">
        <f aca="false">IF(A48="","",IFERROR(INDEX(Inventario!$B$7:$B$46,MATCH(A48,Inventario!$A$7:$A$46,0)),""))</f>
        <v/>
      </c>
      <c r="C48" s="12"/>
      <c r="D48" s="23"/>
      <c r="E48" s="19"/>
      <c r="F48" s="17" t="str">
        <f aca="false">IF(A48="","",E48+D48)</f>
        <v/>
      </c>
      <c r="G48" s="17" t="str">
        <f aca="false">IF(A48="","",IFERROR(INDEX(Inventario!$N$7:$N$46,MATCH(A48,Inventario!$A$7:$A$46,0)),0))</f>
        <v/>
      </c>
      <c r="H48" s="17" t="str">
        <f aca="false">IF(A48="","",F48-G48)</f>
        <v/>
      </c>
      <c r="I48" s="18" t="str">
        <f aca="false">IF(A48="","",IF(N(G48)=0,"Sin lectura",IF(H48&lt;=0,"VENCIDO",IF(H48&lt;=0.1*D48,"Programar","OK"))))</f>
        <v/>
      </c>
    </row>
    <row r="49" customFormat="false" ht="15" hidden="false" customHeight="false" outlineLevel="0" collapsed="false">
      <c r="A49" s="12"/>
      <c r="B49" s="18" t="str">
        <f aca="false">IF(A49="","",IFERROR(INDEX(Inventario!$B$7:$B$46,MATCH(A49,Inventario!$A$7:$A$46,0)),""))</f>
        <v/>
      </c>
      <c r="C49" s="12"/>
      <c r="D49" s="23"/>
      <c r="E49" s="19"/>
      <c r="F49" s="17" t="str">
        <f aca="false">IF(A49="","",E49+D49)</f>
        <v/>
      </c>
      <c r="G49" s="17" t="str">
        <f aca="false">IF(A49="","",IFERROR(INDEX(Inventario!$N$7:$N$46,MATCH(A49,Inventario!$A$7:$A$46,0)),0))</f>
        <v/>
      </c>
      <c r="H49" s="17" t="str">
        <f aca="false">IF(A49="","",F49-G49)</f>
        <v/>
      </c>
      <c r="I49" s="18" t="str">
        <f aca="false">IF(A49="","",IF(N(G49)=0,"Sin lectura",IF(H49&lt;=0,"VENCIDO",IF(H49&lt;=0.1*D49,"Programar","OK"))))</f>
        <v/>
      </c>
    </row>
    <row r="50" customFormat="false" ht="15" hidden="false" customHeight="false" outlineLevel="0" collapsed="false">
      <c r="A50" s="12"/>
      <c r="B50" s="18" t="str">
        <f aca="false">IF(A50="","",IFERROR(INDEX(Inventario!$B$7:$B$46,MATCH(A50,Inventario!$A$7:$A$46,0)),""))</f>
        <v/>
      </c>
      <c r="C50" s="12"/>
      <c r="D50" s="23"/>
      <c r="E50" s="19"/>
      <c r="F50" s="17" t="str">
        <f aca="false">IF(A50="","",E50+D50)</f>
        <v/>
      </c>
      <c r="G50" s="17" t="str">
        <f aca="false">IF(A50="","",IFERROR(INDEX(Inventario!$N$7:$N$46,MATCH(A50,Inventario!$A$7:$A$46,0)),0))</f>
        <v/>
      </c>
      <c r="H50" s="17" t="str">
        <f aca="false">IF(A50="","",F50-G50)</f>
        <v/>
      </c>
      <c r="I50" s="18" t="str">
        <f aca="false">IF(A50="","",IF(N(G50)=0,"Sin lectura",IF(H50&lt;=0,"VENCIDO",IF(H50&lt;=0.1*D50,"Programar","OK"))))</f>
        <v/>
      </c>
    </row>
    <row r="51" customFormat="false" ht="15" hidden="false" customHeight="false" outlineLevel="0" collapsed="false">
      <c r="A51" s="12"/>
      <c r="B51" s="18" t="str">
        <f aca="false">IF(A51="","",IFERROR(INDEX(Inventario!$B$7:$B$46,MATCH(A51,Inventario!$A$7:$A$46,0)),""))</f>
        <v/>
      </c>
      <c r="C51" s="12"/>
      <c r="D51" s="23"/>
      <c r="E51" s="19"/>
      <c r="F51" s="17" t="str">
        <f aca="false">IF(A51="","",E51+D51)</f>
        <v/>
      </c>
      <c r="G51" s="17" t="str">
        <f aca="false">IF(A51="","",IFERROR(INDEX(Inventario!$N$7:$N$46,MATCH(A51,Inventario!$A$7:$A$46,0)),0))</f>
        <v/>
      </c>
      <c r="H51" s="17" t="str">
        <f aca="false">IF(A51="","",F51-G51)</f>
        <v/>
      </c>
      <c r="I51" s="18" t="str">
        <f aca="false">IF(A51="","",IF(N(G51)=0,"Sin lectura",IF(H51&lt;=0,"VENCIDO",IF(H51&lt;=0.1*D51,"Programar","OK"))))</f>
        <v/>
      </c>
    </row>
    <row r="52" customFormat="false" ht="15" hidden="false" customHeight="false" outlineLevel="0" collapsed="false">
      <c r="A52" s="12"/>
      <c r="B52" s="18" t="str">
        <f aca="false">IF(A52="","",IFERROR(INDEX(Inventario!$B$7:$B$46,MATCH(A52,Inventario!$A$7:$A$46,0)),""))</f>
        <v/>
      </c>
      <c r="C52" s="12"/>
      <c r="D52" s="23"/>
      <c r="E52" s="19"/>
      <c r="F52" s="17" t="str">
        <f aca="false">IF(A52="","",E52+D52)</f>
        <v/>
      </c>
      <c r="G52" s="17" t="str">
        <f aca="false">IF(A52="","",IFERROR(INDEX(Inventario!$N$7:$N$46,MATCH(A52,Inventario!$A$7:$A$46,0)),0))</f>
        <v/>
      </c>
      <c r="H52" s="17" t="str">
        <f aca="false">IF(A52="","",F52-G52)</f>
        <v/>
      </c>
      <c r="I52" s="18" t="str">
        <f aca="false">IF(A52="","",IF(N(G52)=0,"Sin lectura",IF(H52&lt;=0,"VENCIDO",IF(H52&lt;=0.1*D52,"Programar","OK"))))</f>
        <v/>
      </c>
    </row>
    <row r="53" customFormat="false" ht="15" hidden="false" customHeight="false" outlineLevel="0" collapsed="false">
      <c r="A53" s="12"/>
      <c r="B53" s="18" t="str">
        <f aca="false">IF(A53="","",IFERROR(INDEX(Inventario!$B$7:$B$46,MATCH(A53,Inventario!$A$7:$A$46,0)),""))</f>
        <v/>
      </c>
      <c r="C53" s="12"/>
      <c r="D53" s="23"/>
      <c r="E53" s="19"/>
      <c r="F53" s="17" t="str">
        <f aca="false">IF(A53="","",E53+D53)</f>
        <v/>
      </c>
      <c r="G53" s="17" t="str">
        <f aca="false">IF(A53="","",IFERROR(INDEX(Inventario!$N$7:$N$46,MATCH(A53,Inventario!$A$7:$A$46,0)),0))</f>
        <v/>
      </c>
      <c r="H53" s="17" t="str">
        <f aca="false">IF(A53="","",F53-G53)</f>
        <v/>
      </c>
      <c r="I53" s="18" t="str">
        <f aca="false">IF(A53="","",IF(N(G53)=0,"Sin lectura",IF(H53&lt;=0,"VENCIDO",IF(H53&lt;=0.1*D53,"Programar","OK"))))</f>
        <v/>
      </c>
    </row>
    <row r="54" customFormat="false" ht="15" hidden="false" customHeight="false" outlineLevel="0" collapsed="false">
      <c r="A54" s="12"/>
      <c r="B54" s="18" t="str">
        <f aca="false">IF(A54="","",IFERROR(INDEX(Inventario!$B$7:$B$46,MATCH(A54,Inventario!$A$7:$A$46,0)),""))</f>
        <v/>
      </c>
      <c r="C54" s="12"/>
      <c r="D54" s="23"/>
      <c r="E54" s="19"/>
      <c r="F54" s="17" t="str">
        <f aca="false">IF(A54="","",E54+D54)</f>
        <v/>
      </c>
      <c r="G54" s="17" t="str">
        <f aca="false">IF(A54="","",IFERROR(INDEX(Inventario!$N$7:$N$46,MATCH(A54,Inventario!$A$7:$A$46,0)),0))</f>
        <v/>
      </c>
      <c r="H54" s="17" t="str">
        <f aca="false">IF(A54="","",F54-G54)</f>
        <v/>
      </c>
      <c r="I54" s="18" t="str">
        <f aca="false">IF(A54="","",IF(N(G54)=0,"Sin lectura",IF(H54&lt;=0,"VENCIDO",IF(H54&lt;=0.1*D54,"Programar","OK"))))</f>
        <v/>
      </c>
    </row>
    <row r="55" customFormat="false" ht="15" hidden="false" customHeight="false" outlineLevel="0" collapsed="false">
      <c r="A55" s="12"/>
      <c r="B55" s="18" t="str">
        <f aca="false">IF(A55="","",IFERROR(INDEX(Inventario!$B$7:$B$46,MATCH(A55,Inventario!$A$7:$A$46,0)),""))</f>
        <v/>
      </c>
      <c r="C55" s="12"/>
      <c r="D55" s="23"/>
      <c r="E55" s="19"/>
      <c r="F55" s="17" t="str">
        <f aca="false">IF(A55="","",E55+D55)</f>
        <v/>
      </c>
      <c r="G55" s="17" t="str">
        <f aca="false">IF(A55="","",IFERROR(INDEX(Inventario!$N$7:$N$46,MATCH(A55,Inventario!$A$7:$A$46,0)),0))</f>
        <v/>
      </c>
      <c r="H55" s="17" t="str">
        <f aca="false">IF(A55="","",F55-G55)</f>
        <v/>
      </c>
      <c r="I55" s="18" t="str">
        <f aca="false">IF(A55="","",IF(N(G55)=0,"Sin lectura",IF(H55&lt;=0,"VENCIDO",IF(H55&lt;=0.1*D55,"Programar","OK"))))</f>
        <v/>
      </c>
    </row>
    <row r="56" customFormat="false" ht="15" hidden="false" customHeight="false" outlineLevel="0" collapsed="false">
      <c r="A56" s="12"/>
      <c r="B56" s="18" t="str">
        <f aca="false">IF(A56="","",IFERROR(INDEX(Inventario!$B$7:$B$46,MATCH(A56,Inventario!$A$7:$A$46,0)),""))</f>
        <v/>
      </c>
      <c r="C56" s="12"/>
      <c r="D56" s="23"/>
      <c r="E56" s="19"/>
      <c r="F56" s="17" t="str">
        <f aca="false">IF(A56="","",E56+D56)</f>
        <v/>
      </c>
      <c r="G56" s="17" t="str">
        <f aca="false">IF(A56="","",IFERROR(INDEX(Inventario!$N$7:$N$46,MATCH(A56,Inventario!$A$7:$A$46,0)),0))</f>
        <v/>
      </c>
      <c r="H56" s="17" t="str">
        <f aca="false">IF(A56="","",F56-G56)</f>
        <v/>
      </c>
      <c r="I56" s="18" t="str">
        <f aca="false">IF(A56="","",IF(N(G56)=0,"Sin lectura",IF(H56&lt;=0,"VENCIDO",IF(H56&lt;=0.1*D56,"Programar","OK"))))</f>
        <v/>
      </c>
    </row>
    <row r="57" customFormat="false" ht="15" hidden="false" customHeight="false" outlineLevel="0" collapsed="false">
      <c r="A57" s="12"/>
      <c r="B57" s="18" t="str">
        <f aca="false">IF(A57="","",IFERROR(INDEX(Inventario!$B$7:$B$46,MATCH(A57,Inventario!$A$7:$A$46,0)),""))</f>
        <v/>
      </c>
      <c r="C57" s="12"/>
      <c r="D57" s="23"/>
      <c r="E57" s="19"/>
      <c r="F57" s="17" t="str">
        <f aca="false">IF(A57="","",E57+D57)</f>
        <v/>
      </c>
      <c r="G57" s="17" t="str">
        <f aca="false">IF(A57="","",IFERROR(INDEX(Inventario!$N$7:$N$46,MATCH(A57,Inventario!$A$7:$A$46,0)),0))</f>
        <v/>
      </c>
      <c r="H57" s="17" t="str">
        <f aca="false">IF(A57="","",F57-G57)</f>
        <v/>
      </c>
      <c r="I57" s="18" t="str">
        <f aca="false">IF(A57="","",IF(N(G57)=0,"Sin lectura",IF(H57&lt;=0,"VENCIDO",IF(H57&lt;=0.1*D57,"Programar","OK"))))</f>
        <v/>
      </c>
    </row>
    <row r="58" customFormat="false" ht="15" hidden="false" customHeight="false" outlineLevel="0" collapsed="false">
      <c r="A58" s="12"/>
      <c r="B58" s="18" t="str">
        <f aca="false">IF(A58="","",IFERROR(INDEX(Inventario!$B$7:$B$46,MATCH(A58,Inventario!$A$7:$A$46,0)),""))</f>
        <v/>
      </c>
      <c r="C58" s="12"/>
      <c r="D58" s="23"/>
      <c r="E58" s="19"/>
      <c r="F58" s="17" t="str">
        <f aca="false">IF(A58="","",E58+D58)</f>
        <v/>
      </c>
      <c r="G58" s="17" t="str">
        <f aca="false">IF(A58="","",IFERROR(INDEX(Inventario!$N$7:$N$46,MATCH(A58,Inventario!$A$7:$A$46,0)),0))</f>
        <v/>
      </c>
      <c r="H58" s="17" t="str">
        <f aca="false">IF(A58="","",F58-G58)</f>
        <v/>
      </c>
      <c r="I58" s="18" t="str">
        <f aca="false">IF(A58="","",IF(N(G58)=0,"Sin lectura",IF(H58&lt;=0,"VENCIDO",IF(H58&lt;=0.1*D58,"Programar","OK"))))</f>
        <v/>
      </c>
    </row>
    <row r="59" customFormat="false" ht="15" hidden="false" customHeight="false" outlineLevel="0" collapsed="false">
      <c r="A59" s="12"/>
      <c r="B59" s="18" t="str">
        <f aca="false">IF(A59="","",IFERROR(INDEX(Inventario!$B$7:$B$46,MATCH(A59,Inventario!$A$7:$A$46,0)),""))</f>
        <v/>
      </c>
      <c r="C59" s="12"/>
      <c r="D59" s="23"/>
      <c r="E59" s="19"/>
      <c r="F59" s="17" t="str">
        <f aca="false">IF(A59="","",E59+D59)</f>
        <v/>
      </c>
      <c r="G59" s="17" t="str">
        <f aca="false">IF(A59="","",IFERROR(INDEX(Inventario!$N$7:$N$46,MATCH(A59,Inventario!$A$7:$A$46,0)),0))</f>
        <v/>
      </c>
      <c r="H59" s="17" t="str">
        <f aca="false">IF(A59="","",F59-G59)</f>
        <v/>
      </c>
      <c r="I59" s="18" t="str">
        <f aca="false">IF(A59="","",IF(N(G59)=0,"Sin lectura",IF(H59&lt;=0,"VENCIDO",IF(H59&lt;=0.1*D59,"Programar","OK"))))</f>
        <v/>
      </c>
    </row>
    <row r="60" customFormat="false" ht="15" hidden="false" customHeight="false" outlineLevel="0" collapsed="false">
      <c r="A60" s="12"/>
      <c r="B60" s="18" t="str">
        <f aca="false">IF(A60="","",IFERROR(INDEX(Inventario!$B$7:$B$46,MATCH(A60,Inventario!$A$7:$A$46,0)),""))</f>
        <v/>
      </c>
      <c r="C60" s="12"/>
      <c r="D60" s="23"/>
      <c r="E60" s="19"/>
      <c r="F60" s="17" t="str">
        <f aca="false">IF(A60="","",E60+D60)</f>
        <v/>
      </c>
      <c r="G60" s="17" t="str">
        <f aca="false">IF(A60="","",IFERROR(INDEX(Inventario!$N$7:$N$46,MATCH(A60,Inventario!$A$7:$A$46,0)),0))</f>
        <v/>
      </c>
      <c r="H60" s="17" t="str">
        <f aca="false">IF(A60="","",F60-G60)</f>
        <v/>
      </c>
      <c r="I60" s="18" t="str">
        <f aca="false">IF(A60="","",IF(N(G60)=0,"Sin lectura",IF(H60&lt;=0,"VENCIDO",IF(H60&lt;=0.1*D60,"Programar","OK"))))</f>
        <v/>
      </c>
    </row>
    <row r="61" customFormat="false" ht="15" hidden="false" customHeight="false" outlineLevel="0" collapsed="false">
      <c r="A61" s="12"/>
      <c r="B61" s="18" t="str">
        <f aca="false">IF(A61="","",IFERROR(INDEX(Inventario!$B$7:$B$46,MATCH(A61,Inventario!$A$7:$A$46,0)),""))</f>
        <v/>
      </c>
      <c r="C61" s="12"/>
      <c r="D61" s="23"/>
      <c r="E61" s="19"/>
      <c r="F61" s="17" t="str">
        <f aca="false">IF(A61="","",E61+D61)</f>
        <v/>
      </c>
      <c r="G61" s="17" t="str">
        <f aca="false">IF(A61="","",IFERROR(INDEX(Inventario!$N$7:$N$46,MATCH(A61,Inventario!$A$7:$A$46,0)),0))</f>
        <v/>
      </c>
      <c r="H61" s="17" t="str">
        <f aca="false">IF(A61="","",F61-G61)</f>
        <v/>
      </c>
      <c r="I61" s="18" t="str">
        <f aca="false">IF(A61="","",IF(N(G61)=0,"Sin lectura",IF(H61&lt;=0,"VENCIDO",IF(H61&lt;=0.1*D61,"Programar","OK"))))</f>
        <v/>
      </c>
    </row>
    <row r="62" customFormat="false" ht="15" hidden="false" customHeight="false" outlineLevel="0" collapsed="false">
      <c r="A62" s="12"/>
      <c r="B62" s="18" t="str">
        <f aca="false">IF(A62="","",IFERROR(INDEX(Inventario!$B$7:$B$46,MATCH(A62,Inventario!$A$7:$A$46,0)),""))</f>
        <v/>
      </c>
      <c r="C62" s="12"/>
      <c r="D62" s="23"/>
      <c r="E62" s="19"/>
      <c r="F62" s="17" t="str">
        <f aca="false">IF(A62="","",E62+D62)</f>
        <v/>
      </c>
      <c r="G62" s="17" t="str">
        <f aca="false">IF(A62="","",IFERROR(INDEX(Inventario!$N$7:$N$46,MATCH(A62,Inventario!$A$7:$A$46,0)),0))</f>
        <v/>
      </c>
      <c r="H62" s="17" t="str">
        <f aca="false">IF(A62="","",F62-G62)</f>
        <v/>
      </c>
      <c r="I62" s="18" t="str">
        <f aca="false">IF(A62="","",IF(N(G62)=0,"Sin lectura",IF(H62&lt;=0,"VENCIDO",IF(H62&lt;=0.1*D62,"Programar","OK"))))</f>
        <v/>
      </c>
    </row>
    <row r="63" customFormat="false" ht="15" hidden="false" customHeight="false" outlineLevel="0" collapsed="false">
      <c r="A63" s="12"/>
      <c r="B63" s="18" t="str">
        <f aca="false">IF(A63="","",IFERROR(INDEX(Inventario!$B$7:$B$46,MATCH(A63,Inventario!$A$7:$A$46,0)),""))</f>
        <v/>
      </c>
      <c r="C63" s="12"/>
      <c r="D63" s="23"/>
      <c r="E63" s="19"/>
      <c r="F63" s="17" t="str">
        <f aca="false">IF(A63="","",E63+D63)</f>
        <v/>
      </c>
      <c r="G63" s="17" t="str">
        <f aca="false">IF(A63="","",IFERROR(INDEX(Inventario!$N$7:$N$46,MATCH(A63,Inventario!$A$7:$A$46,0)),0))</f>
        <v/>
      </c>
      <c r="H63" s="17" t="str">
        <f aca="false">IF(A63="","",F63-G63)</f>
        <v/>
      </c>
      <c r="I63" s="18" t="str">
        <f aca="false">IF(A63="","",IF(N(G63)=0,"Sin lectura",IF(H63&lt;=0,"VENCIDO",IF(H63&lt;=0.1*D63,"Programar","OK"))))</f>
        <v/>
      </c>
    </row>
    <row r="64" customFormat="false" ht="15" hidden="false" customHeight="false" outlineLevel="0" collapsed="false">
      <c r="A64" s="12"/>
      <c r="B64" s="18" t="str">
        <f aca="false">IF(A64="","",IFERROR(INDEX(Inventario!$B$7:$B$46,MATCH(A64,Inventario!$A$7:$A$46,0)),""))</f>
        <v/>
      </c>
      <c r="C64" s="12"/>
      <c r="D64" s="23"/>
      <c r="E64" s="19"/>
      <c r="F64" s="17" t="str">
        <f aca="false">IF(A64="","",E64+D64)</f>
        <v/>
      </c>
      <c r="G64" s="17" t="str">
        <f aca="false">IF(A64="","",IFERROR(INDEX(Inventario!$N$7:$N$46,MATCH(A64,Inventario!$A$7:$A$46,0)),0))</f>
        <v/>
      </c>
      <c r="H64" s="17" t="str">
        <f aca="false">IF(A64="","",F64-G64)</f>
        <v/>
      </c>
      <c r="I64" s="18" t="str">
        <f aca="false">IF(A64="","",IF(N(G64)=0,"Sin lectura",IF(H64&lt;=0,"VENCIDO",IF(H64&lt;=0.1*D64,"Programar","OK"))))</f>
        <v/>
      </c>
    </row>
    <row r="65" customFormat="false" ht="15" hidden="false" customHeight="false" outlineLevel="0" collapsed="false">
      <c r="A65" s="12"/>
      <c r="B65" s="18" t="str">
        <f aca="false">IF(A65="","",IFERROR(INDEX(Inventario!$B$7:$B$46,MATCH(A65,Inventario!$A$7:$A$46,0)),""))</f>
        <v/>
      </c>
      <c r="C65" s="12"/>
      <c r="D65" s="23"/>
      <c r="E65" s="19"/>
      <c r="F65" s="17" t="str">
        <f aca="false">IF(A65="","",E65+D65)</f>
        <v/>
      </c>
      <c r="G65" s="17" t="str">
        <f aca="false">IF(A65="","",IFERROR(INDEX(Inventario!$N$7:$N$46,MATCH(A65,Inventario!$A$7:$A$46,0)),0))</f>
        <v/>
      </c>
      <c r="H65" s="17" t="str">
        <f aca="false">IF(A65="","",F65-G65)</f>
        <v/>
      </c>
      <c r="I65" s="18" t="str">
        <f aca="false">IF(A65="","",IF(N(G65)=0,"Sin lectura",IF(H65&lt;=0,"VENCIDO",IF(H65&lt;=0.1*D65,"Programar","OK"))))</f>
        <v/>
      </c>
    </row>
    <row r="66" customFormat="false" ht="15" hidden="false" customHeight="false" outlineLevel="0" collapsed="false">
      <c r="A66" s="12"/>
      <c r="B66" s="18" t="str">
        <f aca="false">IF(A66="","",IFERROR(INDEX(Inventario!$B$7:$B$46,MATCH(A66,Inventario!$A$7:$A$46,0)),""))</f>
        <v/>
      </c>
      <c r="C66" s="12"/>
      <c r="D66" s="23"/>
      <c r="E66" s="19"/>
      <c r="F66" s="17" t="str">
        <f aca="false">IF(A66="","",E66+D66)</f>
        <v/>
      </c>
      <c r="G66" s="17" t="str">
        <f aca="false">IF(A66="","",IFERROR(INDEX(Inventario!$N$7:$N$46,MATCH(A66,Inventario!$A$7:$A$46,0)),0))</f>
        <v/>
      </c>
      <c r="H66" s="17" t="str">
        <f aca="false">IF(A66="","",F66-G66)</f>
        <v/>
      </c>
      <c r="I66" s="18" t="str">
        <f aca="false">IF(A66="","",IF(N(G66)=0,"Sin lectura",IF(H66&lt;=0,"VENCIDO",IF(H66&lt;=0.1*D66,"Programar","OK"))))</f>
        <v/>
      </c>
    </row>
  </sheetData>
  <mergeCells count="2">
    <mergeCell ref="A1:I1"/>
    <mergeCell ref="A2:I2"/>
  </mergeCells>
  <conditionalFormatting sqref="I7:I66">
    <cfRule type="expression" priority="2" aboveAverage="0" equalAverage="0" bottom="0" percent="0" rank="0" text="" dxfId="0">
      <formula>I7="VENCIDO"</formula>
    </cfRule>
    <cfRule type="expression" priority="3" aboveAverage="0" equalAverage="0" bottom="0" percent="0" rank="0" text="" dxfId="1">
      <formula>I7="Programar"</formula>
    </cfRule>
    <cfRule type="expression" priority="4" aboveAverage="0" equalAverage="0" bottom="0" percent="0" rank="0" text="" dxfId="2">
      <formula>I7="OK"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2026-10-19T09:06:05Z</dcterms:created>
  <dc:creator>openpyxl</dc:creator>
  <dc:description/>
  <dc:language>en-US</dc:language>
  <cp:lastModifiedBy/>
  <dcterms:modified xsi:type="dcterms:W3CDTF">2026-10-19T09:06:05Z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